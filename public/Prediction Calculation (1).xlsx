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\Kannan\ROP\ITTI Solution\"/>
    </mc:Choice>
  </mc:AlternateContent>
  <xr:revisionPtr revIDLastSave="0" documentId="8_{A949EEA2-3B28-4896-9897-A36C38836C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lculation" sheetId="5" r:id="rId1"/>
    <sheet name="Additional Details" sheetId="6" r:id="rId2"/>
    <sheet name="Usage" sheetId="8" r:id="rId3"/>
    <sheet name="Closing Stock 31st Jan" sheetId="9" r:id="rId4"/>
    <sheet name="Sheet5" sheetId="10" r:id="rId5"/>
  </sheets>
  <definedNames>
    <definedName name="_xlnm._FilterDatabase" localSheetId="0" hidden="1">Calculation!$A$11:$M$11</definedName>
    <definedName name="_xlnm._FilterDatabase" localSheetId="2" hidden="1">Usage!$A$1:$E$3662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5" l="1" a="1"/>
  <c r="I12" i="5" s="1"/>
  <c r="D8" i="5"/>
  <c r="H13" i="5"/>
  <c r="J13" i="5" s="1"/>
  <c r="H14" i="5"/>
  <c r="J14" i="5" s="1"/>
  <c r="H15" i="5"/>
  <c r="J15" i="5" s="1"/>
  <c r="H16" i="5"/>
  <c r="J16" i="5" s="1"/>
  <c r="H17" i="5"/>
  <c r="J17" i="5" s="1"/>
  <c r="H18" i="5"/>
  <c r="J18" i="5" s="1"/>
  <c r="H19" i="5"/>
  <c r="J19" i="5" s="1"/>
  <c r="H20" i="5"/>
  <c r="J20" i="5" s="1"/>
  <c r="H21" i="5"/>
  <c r="J21" i="5" s="1"/>
  <c r="H22" i="5"/>
  <c r="J22" i="5" s="1"/>
  <c r="H23" i="5"/>
  <c r="J23" i="5" s="1"/>
  <c r="H24" i="5"/>
  <c r="J24" i="5" s="1"/>
  <c r="H25" i="5"/>
  <c r="J25" i="5" s="1"/>
  <c r="H26" i="5"/>
  <c r="J26" i="5" s="1"/>
  <c r="H27" i="5"/>
  <c r="J27" i="5" s="1"/>
  <c r="H28" i="5"/>
  <c r="J28" i="5" s="1"/>
  <c r="H29" i="5"/>
  <c r="J29" i="5" s="1"/>
  <c r="H30" i="5"/>
  <c r="J30" i="5" s="1"/>
  <c r="H31" i="5"/>
  <c r="J31" i="5" s="1"/>
  <c r="H32" i="5"/>
  <c r="J32" i="5" s="1"/>
  <c r="H33" i="5"/>
  <c r="J33" i="5" s="1"/>
  <c r="H34" i="5"/>
  <c r="J34" i="5" s="1"/>
  <c r="H35" i="5"/>
  <c r="J35" i="5" s="1"/>
  <c r="H36" i="5"/>
  <c r="J36" i="5" s="1"/>
  <c r="H37" i="5"/>
  <c r="J37" i="5" s="1"/>
  <c r="H38" i="5"/>
  <c r="J38" i="5" s="1"/>
  <c r="H39" i="5"/>
  <c r="J39" i="5" s="1"/>
  <c r="H40" i="5"/>
  <c r="J40" i="5" s="1"/>
  <c r="H41" i="5"/>
  <c r="J41" i="5" s="1"/>
  <c r="H42" i="5"/>
  <c r="J42" i="5" s="1"/>
  <c r="H43" i="5"/>
  <c r="J43" i="5" s="1"/>
  <c r="H44" i="5"/>
  <c r="J44" i="5" s="1"/>
  <c r="H45" i="5"/>
  <c r="J45" i="5" s="1"/>
  <c r="H46" i="5"/>
  <c r="J46" i="5" s="1"/>
  <c r="H47" i="5"/>
  <c r="J47" i="5" s="1"/>
  <c r="H48" i="5"/>
  <c r="J48" i="5" s="1"/>
  <c r="H49" i="5"/>
  <c r="J49" i="5" s="1"/>
  <c r="H50" i="5"/>
  <c r="J50" i="5" s="1"/>
  <c r="H51" i="5"/>
  <c r="J51" i="5" s="1"/>
  <c r="H52" i="5"/>
  <c r="J52" i="5" s="1"/>
  <c r="H53" i="5"/>
  <c r="J53" i="5" s="1"/>
  <c r="H54" i="5"/>
  <c r="J54" i="5" s="1"/>
  <c r="H55" i="5"/>
  <c r="J55" i="5" s="1"/>
  <c r="H56" i="5"/>
  <c r="J56" i="5" s="1"/>
  <c r="H57" i="5"/>
  <c r="J57" i="5" s="1"/>
  <c r="H58" i="5"/>
  <c r="J58" i="5" s="1"/>
  <c r="H59" i="5"/>
  <c r="J59" i="5" s="1"/>
  <c r="H60" i="5"/>
  <c r="J60" i="5" s="1"/>
  <c r="H61" i="5"/>
  <c r="J61" i="5" s="1"/>
  <c r="H62" i="5"/>
  <c r="J62" i="5" s="1"/>
  <c r="H63" i="5"/>
  <c r="J63" i="5" s="1"/>
  <c r="H64" i="5"/>
  <c r="J64" i="5" s="1"/>
  <c r="H65" i="5"/>
  <c r="J65" i="5" s="1"/>
  <c r="H66" i="5"/>
  <c r="J66" i="5" s="1"/>
  <c r="H67" i="5"/>
  <c r="J67" i="5" s="1"/>
  <c r="H68" i="5"/>
  <c r="J68" i="5" s="1"/>
  <c r="H69" i="5"/>
  <c r="J69" i="5" s="1"/>
  <c r="H70" i="5"/>
  <c r="J70" i="5" s="1"/>
  <c r="H71" i="5"/>
  <c r="J71" i="5" s="1"/>
  <c r="H72" i="5"/>
  <c r="J72" i="5" s="1"/>
  <c r="H73" i="5"/>
  <c r="J73" i="5" s="1"/>
  <c r="H74" i="5"/>
  <c r="J74" i="5" s="1"/>
  <c r="H75" i="5"/>
  <c r="J75" i="5" s="1"/>
  <c r="H76" i="5"/>
  <c r="J76" i="5" s="1"/>
  <c r="H77" i="5"/>
  <c r="J77" i="5" s="1"/>
  <c r="H78" i="5"/>
  <c r="J78" i="5" s="1"/>
  <c r="H79" i="5"/>
  <c r="J79" i="5" s="1"/>
  <c r="H80" i="5"/>
  <c r="J80" i="5" s="1"/>
  <c r="H81" i="5"/>
  <c r="J81" i="5" s="1"/>
  <c r="H82" i="5"/>
  <c r="J82" i="5" s="1"/>
  <c r="H83" i="5"/>
  <c r="J83" i="5" s="1"/>
  <c r="H84" i="5"/>
  <c r="J84" i="5" s="1"/>
  <c r="H85" i="5"/>
  <c r="J85" i="5" s="1"/>
  <c r="H86" i="5"/>
  <c r="J86" i="5" s="1"/>
  <c r="H87" i="5"/>
  <c r="J87" i="5" s="1"/>
  <c r="H88" i="5"/>
  <c r="J88" i="5" s="1"/>
  <c r="H89" i="5"/>
  <c r="J89" i="5" s="1"/>
  <c r="H90" i="5"/>
  <c r="J90" i="5" s="1"/>
  <c r="H91" i="5"/>
  <c r="J91" i="5" s="1"/>
  <c r="H92" i="5"/>
  <c r="J92" i="5" s="1"/>
  <c r="H93" i="5"/>
  <c r="J93" i="5" s="1"/>
  <c r="H94" i="5"/>
  <c r="J94" i="5" s="1"/>
  <c r="H95" i="5"/>
  <c r="J95" i="5" s="1"/>
  <c r="H96" i="5"/>
  <c r="J96" i="5" s="1"/>
  <c r="H97" i="5"/>
  <c r="J97" i="5" s="1"/>
  <c r="H98" i="5"/>
  <c r="J98" i="5" s="1"/>
  <c r="H99" i="5"/>
  <c r="J99" i="5" s="1"/>
  <c r="H100" i="5"/>
  <c r="J100" i="5" s="1"/>
  <c r="H101" i="5"/>
  <c r="J101" i="5" s="1"/>
  <c r="H102" i="5"/>
  <c r="J102" i="5" s="1"/>
  <c r="H103" i="5"/>
  <c r="J103" i="5" s="1"/>
  <c r="H104" i="5"/>
  <c r="J104" i="5" s="1"/>
  <c r="H105" i="5"/>
  <c r="J105" i="5" s="1"/>
  <c r="H106" i="5"/>
  <c r="J106" i="5" s="1"/>
  <c r="H107" i="5"/>
  <c r="J107" i="5" s="1"/>
  <c r="H108" i="5"/>
  <c r="J108" i="5" s="1"/>
  <c r="H109" i="5"/>
  <c r="J109" i="5" s="1"/>
  <c r="H110" i="5"/>
  <c r="J110" i="5" s="1"/>
  <c r="H111" i="5"/>
  <c r="J111" i="5" s="1"/>
  <c r="H112" i="5"/>
  <c r="J112" i="5" s="1"/>
  <c r="H113" i="5"/>
  <c r="J113" i="5" s="1"/>
  <c r="H114" i="5"/>
  <c r="J114" i="5" s="1"/>
  <c r="H115" i="5"/>
  <c r="J115" i="5" s="1"/>
  <c r="H116" i="5"/>
  <c r="J116" i="5" s="1"/>
  <c r="H117" i="5"/>
  <c r="J117" i="5" s="1"/>
  <c r="H118" i="5"/>
  <c r="J118" i="5" s="1"/>
  <c r="H119" i="5"/>
  <c r="J119" i="5" s="1"/>
  <c r="H120" i="5"/>
  <c r="J120" i="5" s="1"/>
  <c r="H121" i="5"/>
  <c r="J121" i="5" s="1"/>
  <c r="H122" i="5"/>
  <c r="J122" i="5" s="1"/>
  <c r="H123" i="5"/>
  <c r="J123" i="5" s="1"/>
  <c r="H124" i="5"/>
  <c r="J124" i="5" s="1"/>
  <c r="H125" i="5"/>
  <c r="J125" i="5" s="1"/>
  <c r="H126" i="5"/>
  <c r="J126" i="5" s="1"/>
  <c r="H127" i="5"/>
  <c r="J127" i="5" s="1"/>
  <c r="H128" i="5"/>
  <c r="J128" i="5" s="1"/>
  <c r="H129" i="5"/>
  <c r="J129" i="5" s="1"/>
  <c r="H130" i="5"/>
  <c r="J130" i="5" s="1"/>
  <c r="H131" i="5"/>
  <c r="J131" i="5" s="1"/>
  <c r="H132" i="5"/>
  <c r="J132" i="5" s="1"/>
  <c r="H133" i="5"/>
  <c r="J133" i="5" s="1"/>
  <c r="H134" i="5"/>
  <c r="J134" i="5" s="1"/>
  <c r="H135" i="5"/>
  <c r="J135" i="5" s="1"/>
  <c r="H136" i="5"/>
  <c r="J136" i="5" s="1"/>
  <c r="H137" i="5"/>
  <c r="J137" i="5" s="1"/>
  <c r="H138" i="5"/>
  <c r="J138" i="5" s="1"/>
  <c r="H139" i="5"/>
  <c r="J139" i="5" s="1"/>
  <c r="H140" i="5"/>
  <c r="J140" i="5" s="1"/>
  <c r="H141" i="5"/>
  <c r="J141" i="5" s="1"/>
  <c r="H142" i="5"/>
  <c r="J142" i="5" s="1"/>
  <c r="H143" i="5"/>
  <c r="J143" i="5" s="1"/>
  <c r="H144" i="5"/>
  <c r="J144" i="5" s="1"/>
  <c r="H145" i="5"/>
  <c r="J145" i="5" s="1"/>
  <c r="H146" i="5"/>
  <c r="J146" i="5" s="1"/>
  <c r="H147" i="5"/>
  <c r="J147" i="5" s="1"/>
  <c r="H148" i="5"/>
  <c r="J148" i="5" s="1"/>
  <c r="H149" i="5"/>
  <c r="J149" i="5" s="1"/>
  <c r="H150" i="5"/>
  <c r="J150" i="5" s="1"/>
  <c r="H151" i="5"/>
  <c r="J151" i="5" s="1"/>
  <c r="H152" i="5"/>
  <c r="J152" i="5" s="1"/>
  <c r="H153" i="5"/>
  <c r="J153" i="5" s="1"/>
  <c r="H154" i="5"/>
  <c r="J154" i="5" s="1"/>
  <c r="H155" i="5"/>
  <c r="J155" i="5" s="1"/>
  <c r="H156" i="5"/>
  <c r="J156" i="5" s="1"/>
  <c r="H157" i="5"/>
  <c r="J157" i="5" s="1"/>
  <c r="H158" i="5"/>
  <c r="J158" i="5" s="1"/>
  <c r="H159" i="5"/>
  <c r="J159" i="5" s="1"/>
  <c r="H160" i="5"/>
  <c r="J160" i="5" s="1"/>
  <c r="H161" i="5"/>
  <c r="J161" i="5" s="1"/>
  <c r="H162" i="5"/>
  <c r="J162" i="5" s="1"/>
  <c r="H163" i="5"/>
  <c r="J163" i="5" s="1"/>
  <c r="H164" i="5"/>
  <c r="J164" i="5" s="1"/>
  <c r="H165" i="5"/>
  <c r="J165" i="5" s="1"/>
  <c r="H166" i="5"/>
  <c r="J166" i="5" s="1"/>
  <c r="H167" i="5"/>
  <c r="J167" i="5" s="1"/>
  <c r="H168" i="5"/>
  <c r="J168" i="5" s="1"/>
  <c r="H169" i="5"/>
  <c r="J169" i="5" s="1"/>
  <c r="H170" i="5"/>
  <c r="J170" i="5" s="1"/>
  <c r="H171" i="5"/>
  <c r="J171" i="5" s="1"/>
  <c r="H172" i="5"/>
  <c r="J172" i="5" s="1"/>
  <c r="H173" i="5"/>
  <c r="J173" i="5" s="1"/>
  <c r="H174" i="5"/>
  <c r="J174" i="5" s="1"/>
  <c r="H175" i="5"/>
  <c r="J175" i="5" s="1"/>
  <c r="H176" i="5"/>
  <c r="J176" i="5" s="1"/>
  <c r="H177" i="5"/>
  <c r="J177" i="5" s="1"/>
  <c r="H178" i="5"/>
  <c r="J178" i="5" s="1"/>
  <c r="H179" i="5"/>
  <c r="J179" i="5" s="1"/>
  <c r="H180" i="5"/>
  <c r="J180" i="5" s="1"/>
  <c r="H181" i="5"/>
  <c r="J181" i="5" s="1"/>
  <c r="H182" i="5"/>
  <c r="J182" i="5" s="1"/>
  <c r="H183" i="5"/>
  <c r="J183" i="5" s="1"/>
  <c r="H184" i="5"/>
  <c r="J184" i="5" s="1"/>
  <c r="H185" i="5"/>
  <c r="J185" i="5" s="1"/>
  <c r="H186" i="5"/>
  <c r="J186" i="5" s="1"/>
  <c r="H187" i="5"/>
  <c r="J187" i="5" s="1"/>
  <c r="H188" i="5"/>
  <c r="J188" i="5" s="1"/>
  <c r="H189" i="5"/>
  <c r="J189" i="5" s="1"/>
  <c r="H190" i="5"/>
  <c r="J190" i="5" s="1"/>
  <c r="H191" i="5"/>
  <c r="J191" i="5" s="1"/>
  <c r="H192" i="5"/>
  <c r="J192" i="5" s="1"/>
  <c r="H193" i="5"/>
  <c r="J193" i="5" s="1"/>
  <c r="H194" i="5"/>
  <c r="J194" i="5" s="1"/>
  <c r="H195" i="5"/>
  <c r="J195" i="5" s="1"/>
  <c r="H196" i="5"/>
  <c r="J196" i="5" s="1"/>
  <c r="H197" i="5"/>
  <c r="J197" i="5" s="1"/>
  <c r="H198" i="5"/>
  <c r="J198" i="5" s="1"/>
  <c r="H199" i="5"/>
  <c r="J199" i="5" s="1"/>
  <c r="H200" i="5"/>
  <c r="J200" i="5" s="1"/>
  <c r="H201" i="5"/>
  <c r="J201" i="5" s="1"/>
  <c r="H202" i="5"/>
  <c r="J202" i="5" s="1"/>
  <c r="H203" i="5"/>
  <c r="J203" i="5" s="1"/>
  <c r="H204" i="5"/>
  <c r="J204" i="5" s="1"/>
  <c r="H205" i="5"/>
  <c r="J205" i="5" s="1"/>
  <c r="H206" i="5"/>
  <c r="J206" i="5" s="1"/>
  <c r="H207" i="5"/>
  <c r="J207" i="5" s="1"/>
  <c r="H208" i="5"/>
  <c r="J208" i="5" s="1"/>
  <c r="H209" i="5"/>
  <c r="J209" i="5" s="1"/>
  <c r="H210" i="5"/>
  <c r="J210" i="5" s="1"/>
  <c r="H211" i="5"/>
  <c r="J211" i="5" s="1"/>
  <c r="H212" i="5"/>
  <c r="J212" i="5" s="1"/>
  <c r="H213" i="5"/>
  <c r="J213" i="5" s="1"/>
  <c r="H214" i="5"/>
  <c r="J214" i="5" s="1"/>
  <c r="H215" i="5"/>
  <c r="J215" i="5" s="1"/>
  <c r="H216" i="5"/>
  <c r="J216" i="5" s="1"/>
  <c r="H217" i="5"/>
  <c r="J217" i="5" s="1"/>
  <c r="H218" i="5"/>
  <c r="J218" i="5" s="1"/>
  <c r="H219" i="5"/>
  <c r="J219" i="5" s="1"/>
  <c r="H220" i="5"/>
  <c r="J220" i="5" s="1"/>
  <c r="H221" i="5"/>
  <c r="J221" i="5" s="1"/>
  <c r="H222" i="5"/>
  <c r="J222" i="5" s="1"/>
  <c r="H223" i="5"/>
  <c r="J223" i="5" s="1"/>
  <c r="H224" i="5"/>
  <c r="J224" i="5" s="1"/>
  <c r="H225" i="5"/>
  <c r="J225" i="5" s="1"/>
  <c r="H226" i="5"/>
  <c r="J226" i="5" s="1"/>
  <c r="H227" i="5"/>
  <c r="J227" i="5" s="1"/>
  <c r="H228" i="5"/>
  <c r="J228" i="5" s="1"/>
  <c r="H229" i="5"/>
  <c r="J229" i="5" s="1"/>
  <c r="H230" i="5"/>
  <c r="J230" i="5" s="1"/>
  <c r="H231" i="5"/>
  <c r="J231" i="5" s="1"/>
  <c r="H232" i="5"/>
  <c r="J232" i="5" s="1"/>
  <c r="H233" i="5"/>
  <c r="J233" i="5" s="1"/>
  <c r="H234" i="5"/>
  <c r="J234" i="5" s="1"/>
  <c r="H235" i="5"/>
  <c r="J235" i="5" s="1"/>
  <c r="H236" i="5"/>
  <c r="J236" i="5" s="1"/>
  <c r="H237" i="5"/>
  <c r="J237" i="5" s="1"/>
  <c r="H238" i="5"/>
  <c r="J238" i="5" s="1"/>
  <c r="H239" i="5"/>
  <c r="J239" i="5" s="1"/>
  <c r="H240" i="5"/>
  <c r="J240" i="5" s="1"/>
  <c r="H241" i="5"/>
  <c r="J241" i="5" s="1"/>
  <c r="H242" i="5"/>
  <c r="J242" i="5" s="1"/>
  <c r="H243" i="5"/>
  <c r="J243" i="5" s="1"/>
  <c r="H244" i="5"/>
  <c r="J244" i="5" s="1"/>
  <c r="H245" i="5"/>
  <c r="J245" i="5" s="1"/>
  <c r="H246" i="5"/>
  <c r="J246" i="5" s="1"/>
  <c r="H247" i="5"/>
  <c r="J247" i="5" s="1"/>
  <c r="H248" i="5"/>
  <c r="J248" i="5" s="1"/>
  <c r="H249" i="5"/>
  <c r="J249" i="5" s="1"/>
  <c r="H250" i="5"/>
  <c r="J250" i="5" s="1"/>
  <c r="H251" i="5"/>
  <c r="J251" i="5" s="1"/>
  <c r="H252" i="5"/>
  <c r="J252" i="5" s="1"/>
  <c r="H253" i="5"/>
  <c r="J253" i="5" s="1"/>
  <c r="H254" i="5"/>
  <c r="J254" i="5" s="1"/>
  <c r="H255" i="5"/>
  <c r="J255" i="5" s="1"/>
  <c r="H256" i="5"/>
  <c r="J256" i="5" s="1"/>
  <c r="H257" i="5"/>
  <c r="J257" i="5" s="1"/>
  <c r="H258" i="5"/>
  <c r="J258" i="5" s="1"/>
  <c r="H259" i="5"/>
  <c r="J259" i="5" s="1"/>
  <c r="H260" i="5"/>
  <c r="J260" i="5" s="1"/>
  <c r="H261" i="5"/>
  <c r="J261" i="5" s="1"/>
  <c r="H262" i="5"/>
  <c r="J262" i="5" s="1"/>
  <c r="H263" i="5"/>
  <c r="J263" i="5" s="1"/>
  <c r="H264" i="5"/>
  <c r="J264" i="5" s="1"/>
  <c r="H265" i="5"/>
  <c r="J265" i="5" s="1"/>
  <c r="H266" i="5"/>
  <c r="J266" i="5" s="1"/>
  <c r="H267" i="5"/>
  <c r="J267" i="5" s="1"/>
  <c r="H268" i="5"/>
  <c r="J268" i="5" s="1"/>
  <c r="H269" i="5"/>
  <c r="J269" i="5" s="1"/>
  <c r="H270" i="5"/>
  <c r="J270" i="5" s="1"/>
  <c r="H271" i="5"/>
  <c r="J271" i="5" s="1"/>
  <c r="H272" i="5"/>
  <c r="J272" i="5" s="1"/>
  <c r="H273" i="5"/>
  <c r="J273" i="5" s="1"/>
  <c r="H274" i="5"/>
  <c r="J274" i="5" s="1"/>
  <c r="H275" i="5"/>
  <c r="J275" i="5" s="1"/>
  <c r="H276" i="5"/>
  <c r="J276" i="5" s="1"/>
  <c r="H277" i="5"/>
  <c r="J277" i="5" s="1"/>
  <c r="H278" i="5"/>
  <c r="J278" i="5" s="1"/>
  <c r="H279" i="5"/>
  <c r="J279" i="5" s="1"/>
  <c r="H280" i="5"/>
  <c r="J280" i="5" s="1"/>
  <c r="H281" i="5"/>
  <c r="J281" i="5" s="1"/>
  <c r="H282" i="5"/>
  <c r="J282" i="5" s="1"/>
  <c r="H283" i="5"/>
  <c r="J283" i="5" s="1"/>
  <c r="H284" i="5"/>
  <c r="J284" i="5" s="1"/>
  <c r="H285" i="5"/>
  <c r="J285" i="5" s="1"/>
  <c r="H286" i="5"/>
  <c r="J286" i="5" s="1"/>
  <c r="H287" i="5"/>
  <c r="J287" i="5" s="1"/>
  <c r="H288" i="5"/>
  <c r="J288" i="5" s="1"/>
  <c r="H289" i="5"/>
  <c r="J289" i="5" s="1"/>
  <c r="H290" i="5"/>
  <c r="J290" i="5" s="1"/>
  <c r="H291" i="5"/>
  <c r="J291" i="5" s="1"/>
  <c r="H292" i="5"/>
  <c r="J292" i="5" s="1"/>
  <c r="H293" i="5"/>
  <c r="J293" i="5" s="1"/>
  <c r="H294" i="5"/>
  <c r="J294" i="5" s="1"/>
  <c r="H295" i="5"/>
  <c r="J295" i="5" s="1"/>
  <c r="H296" i="5"/>
  <c r="J296" i="5" s="1"/>
  <c r="H297" i="5"/>
  <c r="J297" i="5" s="1"/>
  <c r="H298" i="5"/>
  <c r="J298" i="5" s="1"/>
  <c r="H299" i="5"/>
  <c r="J299" i="5" s="1"/>
  <c r="H300" i="5"/>
  <c r="J300" i="5" s="1"/>
  <c r="H301" i="5"/>
  <c r="J301" i="5" s="1"/>
  <c r="H302" i="5"/>
  <c r="J302" i="5" s="1"/>
  <c r="H303" i="5"/>
  <c r="J303" i="5" s="1"/>
  <c r="H304" i="5"/>
  <c r="J304" i="5" s="1"/>
  <c r="H305" i="5"/>
  <c r="J305" i="5" s="1"/>
  <c r="H306" i="5"/>
  <c r="J306" i="5" s="1"/>
  <c r="H307" i="5"/>
  <c r="J307" i="5" s="1"/>
  <c r="H308" i="5"/>
  <c r="J308" i="5" s="1"/>
  <c r="H309" i="5"/>
  <c r="J309" i="5" s="1"/>
  <c r="H310" i="5"/>
  <c r="J310" i="5" s="1"/>
  <c r="H311" i="5"/>
  <c r="J311" i="5" s="1"/>
  <c r="H312" i="5"/>
  <c r="J312" i="5" s="1"/>
  <c r="H313" i="5"/>
  <c r="J313" i="5" s="1"/>
  <c r="H314" i="5"/>
  <c r="J314" i="5" s="1"/>
  <c r="H315" i="5"/>
  <c r="J315" i="5" s="1"/>
  <c r="H316" i="5"/>
  <c r="J316" i="5" s="1"/>
  <c r="H317" i="5"/>
  <c r="J317" i="5" s="1"/>
  <c r="H318" i="5"/>
  <c r="J318" i="5" s="1"/>
  <c r="H319" i="5"/>
  <c r="J319" i="5" s="1"/>
  <c r="H320" i="5"/>
  <c r="J320" i="5" s="1"/>
  <c r="H321" i="5"/>
  <c r="J321" i="5" s="1"/>
  <c r="H322" i="5"/>
  <c r="J322" i="5" s="1"/>
  <c r="H323" i="5"/>
  <c r="J323" i="5" s="1"/>
  <c r="H324" i="5"/>
  <c r="J324" i="5" s="1"/>
  <c r="H325" i="5"/>
  <c r="J325" i="5" s="1"/>
  <c r="H326" i="5"/>
  <c r="J326" i="5" s="1"/>
  <c r="H327" i="5"/>
  <c r="J327" i="5" s="1"/>
  <c r="H328" i="5"/>
  <c r="J328" i="5" s="1"/>
  <c r="H329" i="5"/>
  <c r="J329" i="5" s="1"/>
  <c r="H330" i="5"/>
  <c r="J330" i="5" s="1"/>
  <c r="H331" i="5"/>
  <c r="J331" i="5" s="1"/>
  <c r="H332" i="5"/>
  <c r="J332" i="5" s="1"/>
  <c r="H333" i="5"/>
  <c r="J333" i="5" s="1"/>
  <c r="H334" i="5"/>
  <c r="J334" i="5" s="1"/>
  <c r="H335" i="5"/>
  <c r="J335" i="5" s="1"/>
  <c r="H336" i="5"/>
  <c r="J336" i="5" s="1"/>
  <c r="H337" i="5"/>
  <c r="J337" i="5" s="1"/>
  <c r="H338" i="5"/>
  <c r="J338" i="5" s="1"/>
  <c r="H339" i="5"/>
  <c r="J339" i="5" s="1"/>
  <c r="H340" i="5"/>
  <c r="J340" i="5" s="1"/>
  <c r="H341" i="5"/>
  <c r="J341" i="5" s="1"/>
  <c r="H342" i="5"/>
  <c r="J342" i="5" s="1"/>
  <c r="H343" i="5"/>
  <c r="J343" i="5" s="1"/>
  <c r="H344" i="5"/>
  <c r="J344" i="5" s="1"/>
  <c r="H345" i="5"/>
  <c r="J345" i="5" s="1"/>
  <c r="H346" i="5"/>
  <c r="J346" i="5" s="1"/>
  <c r="H347" i="5"/>
  <c r="J347" i="5" s="1"/>
  <c r="H348" i="5"/>
  <c r="J348" i="5" s="1"/>
  <c r="H349" i="5"/>
  <c r="J349" i="5" s="1"/>
  <c r="H350" i="5"/>
  <c r="J350" i="5" s="1"/>
  <c r="H351" i="5"/>
  <c r="J351" i="5" s="1"/>
  <c r="H352" i="5"/>
  <c r="J352" i="5" s="1"/>
  <c r="H353" i="5"/>
  <c r="J353" i="5" s="1"/>
  <c r="H354" i="5"/>
  <c r="J354" i="5" s="1"/>
  <c r="H355" i="5"/>
  <c r="J355" i="5" s="1"/>
  <c r="H356" i="5"/>
  <c r="J356" i="5" s="1"/>
  <c r="H357" i="5"/>
  <c r="J357" i="5" s="1"/>
  <c r="H358" i="5"/>
  <c r="J358" i="5" s="1"/>
  <c r="H359" i="5"/>
  <c r="J359" i="5" s="1"/>
  <c r="H360" i="5"/>
  <c r="J360" i="5" s="1"/>
  <c r="H361" i="5"/>
  <c r="J361" i="5" s="1"/>
  <c r="H362" i="5"/>
  <c r="J362" i="5" s="1"/>
  <c r="H363" i="5"/>
  <c r="J363" i="5" s="1"/>
  <c r="H364" i="5"/>
  <c r="J364" i="5" s="1"/>
  <c r="H365" i="5"/>
  <c r="J365" i="5" s="1"/>
  <c r="H366" i="5"/>
  <c r="J366" i="5" s="1"/>
  <c r="H367" i="5"/>
  <c r="J367" i="5" s="1"/>
  <c r="H368" i="5"/>
  <c r="J368" i="5" s="1"/>
  <c r="H369" i="5"/>
  <c r="J369" i="5" s="1"/>
  <c r="H370" i="5"/>
  <c r="J370" i="5" s="1"/>
  <c r="H371" i="5"/>
  <c r="J371" i="5" s="1"/>
  <c r="H372" i="5"/>
  <c r="J372" i="5" s="1"/>
  <c r="H373" i="5"/>
  <c r="J373" i="5" s="1"/>
  <c r="H374" i="5"/>
  <c r="J374" i="5" s="1"/>
  <c r="H375" i="5"/>
  <c r="J375" i="5" s="1"/>
  <c r="H376" i="5"/>
  <c r="J376" i="5" s="1"/>
  <c r="H377" i="5"/>
  <c r="J377" i="5" s="1"/>
  <c r="H378" i="5"/>
  <c r="J378" i="5" s="1"/>
  <c r="H379" i="5"/>
  <c r="J379" i="5" s="1"/>
  <c r="H380" i="5"/>
  <c r="J380" i="5" s="1"/>
  <c r="H381" i="5"/>
  <c r="J381" i="5" s="1"/>
  <c r="H382" i="5"/>
  <c r="J382" i="5" s="1"/>
  <c r="H383" i="5"/>
  <c r="J383" i="5" s="1"/>
  <c r="H384" i="5"/>
  <c r="J384" i="5" s="1"/>
  <c r="H385" i="5"/>
  <c r="J385" i="5" s="1"/>
  <c r="H386" i="5"/>
  <c r="J386" i="5" s="1"/>
  <c r="H387" i="5"/>
  <c r="J387" i="5" s="1"/>
  <c r="H388" i="5"/>
  <c r="J388" i="5" s="1"/>
  <c r="H389" i="5"/>
  <c r="J389" i="5" s="1"/>
  <c r="H390" i="5"/>
  <c r="J390" i="5" s="1"/>
  <c r="H391" i="5"/>
  <c r="J391" i="5" s="1"/>
  <c r="H392" i="5"/>
  <c r="J392" i="5" s="1"/>
  <c r="H393" i="5"/>
  <c r="J393" i="5" s="1"/>
  <c r="H394" i="5"/>
  <c r="J394" i="5" s="1"/>
  <c r="H395" i="5"/>
  <c r="J395" i="5" s="1"/>
  <c r="H396" i="5"/>
  <c r="J396" i="5" s="1"/>
  <c r="H397" i="5"/>
  <c r="J397" i="5" s="1"/>
  <c r="H398" i="5"/>
  <c r="J398" i="5" s="1"/>
  <c r="H399" i="5"/>
  <c r="J399" i="5" s="1"/>
  <c r="H400" i="5"/>
  <c r="J400" i="5" s="1"/>
  <c r="H401" i="5"/>
  <c r="J401" i="5" s="1"/>
  <c r="H402" i="5"/>
  <c r="J402" i="5" s="1"/>
  <c r="H403" i="5"/>
  <c r="J403" i="5" s="1"/>
  <c r="H404" i="5"/>
  <c r="J404" i="5" s="1"/>
  <c r="H405" i="5"/>
  <c r="J405" i="5" s="1"/>
  <c r="H406" i="5"/>
  <c r="J406" i="5" s="1"/>
  <c r="H407" i="5"/>
  <c r="J407" i="5" s="1"/>
  <c r="H408" i="5"/>
  <c r="J408" i="5" s="1"/>
  <c r="H409" i="5"/>
  <c r="J409" i="5" s="1"/>
  <c r="H410" i="5"/>
  <c r="J410" i="5" s="1"/>
  <c r="H411" i="5"/>
  <c r="J411" i="5" s="1"/>
  <c r="H412" i="5"/>
  <c r="J412" i="5" s="1"/>
  <c r="H413" i="5"/>
  <c r="J413" i="5" s="1"/>
  <c r="H414" i="5"/>
  <c r="J414" i="5" s="1"/>
  <c r="H415" i="5"/>
  <c r="J415" i="5" s="1"/>
  <c r="H416" i="5"/>
  <c r="J416" i="5" s="1"/>
  <c r="H417" i="5"/>
  <c r="J417" i="5" s="1"/>
  <c r="H418" i="5"/>
  <c r="J418" i="5" s="1"/>
  <c r="H419" i="5"/>
  <c r="J419" i="5" s="1"/>
  <c r="H420" i="5"/>
  <c r="J420" i="5" s="1"/>
  <c r="H421" i="5"/>
  <c r="J421" i="5" s="1"/>
  <c r="H422" i="5"/>
  <c r="J422" i="5" s="1"/>
  <c r="H423" i="5"/>
  <c r="J423" i="5" s="1"/>
  <c r="H424" i="5"/>
  <c r="J424" i="5" s="1"/>
  <c r="H425" i="5"/>
  <c r="J425" i="5" s="1"/>
  <c r="H426" i="5"/>
  <c r="J426" i="5" s="1"/>
  <c r="H427" i="5"/>
  <c r="J427" i="5" s="1"/>
  <c r="H428" i="5"/>
  <c r="J428" i="5" s="1"/>
  <c r="H429" i="5"/>
  <c r="J429" i="5" s="1"/>
  <c r="H430" i="5"/>
  <c r="J430" i="5" s="1"/>
  <c r="H431" i="5"/>
  <c r="J431" i="5" s="1"/>
  <c r="H432" i="5"/>
  <c r="J432" i="5" s="1"/>
  <c r="H433" i="5"/>
  <c r="J433" i="5" s="1"/>
  <c r="H434" i="5"/>
  <c r="J434" i="5" s="1"/>
  <c r="H435" i="5"/>
  <c r="J435" i="5" s="1"/>
  <c r="H436" i="5"/>
  <c r="J436" i="5" s="1"/>
  <c r="H437" i="5"/>
  <c r="J437" i="5" s="1"/>
  <c r="H438" i="5"/>
  <c r="J438" i="5" s="1"/>
  <c r="H12" i="5"/>
  <c r="J12" i="5" s="1"/>
  <c r="K35" i="5" l="1"/>
  <c r="L35" i="5" s="1"/>
  <c r="M35" i="5" s="1"/>
  <c r="K156" i="5"/>
  <c r="L156" i="5" s="1"/>
  <c r="M156" i="5" s="1"/>
  <c r="K314" i="5"/>
  <c r="L314" i="5" s="1"/>
  <c r="M314" i="5" s="1"/>
  <c r="K315" i="5"/>
  <c r="L315" i="5" s="1"/>
  <c r="M315" i="5" s="1"/>
  <c r="K155" i="5"/>
  <c r="L155" i="5" s="1"/>
  <c r="M155" i="5" s="1"/>
  <c r="K413" i="5"/>
  <c r="L413" i="5" s="1"/>
  <c r="M413" i="5" s="1"/>
  <c r="K263" i="5"/>
  <c r="L263" i="5" s="1"/>
  <c r="M263" i="5" s="1"/>
  <c r="K153" i="5"/>
  <c r="L153" i="5" s="1"/>
  <c r="M153" i="5" s="1"/>
  <c r="K412" i="5"/>
  <c r="L412" i="5" s="1"/>
  <c r="M412" i="5" s="1"/>
  <c r="K265" i="5"/>
  <c r="L265" i="5" s="1"/>
  <c r="M265" i="5" s="1"/>
  <c r="K264" i="5"/>
  <c r="L264" i="5" s="1"/>
  <c r="M264" i="5" s="1"/>
  <c r="K405" i="5"/>
  <c r="L405" i="5" s="1"/>
  <c r="M405" i="5" s="1"/>
  <c r="K261" i="5"/>
  <c r="L261" i="5" s="1"/>
  <c r="M261" i="5" s="1"/>
  <c r="K100" i="5"/>
  <c r="L100" i="5" s="1"/>
  <c r="M100" i="5" s="1"/>
  <c r="K259" i="5"/>
  <c r="L259" i="5" s="1"/>
  <c r="M259" i="5" s="1"/>
  <c r="K360" i="5"/>
  <c r="L360" i="5" s="1"/>
  <c r="M360" i="5" s="1"/>
  <c r="K214" i="5"/>
  <c r="L214" i="5" s="1"/>
  <c r="M214" i="5" s="1"/>
  <c r="K359" i="5"/>
  <c r="L359" i="5" s="1"/>
  <c r="M359" i="5" s="1"/>
  <c r="K213" i="5"/>
  <c r="L213" i="5" s="1"/>
  <c r="M213" i="5" s="1"/>
  <c r="K63" i="5"/>
  <c r="L63" i="5" s="1"/>
  <c r="M63" i="5" s="1"/>
  <c r="K356" i="5"/>
  <c r="L356" i="5" s="1"/>
  <c r="M356" i="5" s="1"/>
  <c r="K212" i="5"/>
  <c r="L212" i="5" s="1"/>
  <c r="M212" i="5" s="1"/>
  <c r="K61" i="5"/>
  <c r="L61" i="5" s="1"/>
  <c r="M61" i="5" s="1"/>
  <c r="K355" i="5"/>
  <c r="L355" i="5" s="1"/>
  <c r="M355" i="5" s="1"/>
  <c r="K210" i="5"/>
  <c r="L210" i="5" s="1"/>
  <c r="M210" i="5" s="1"/>
  <c r="K60" i="5"/>
  <c r="L60" i="5" s="1"/>
  <c r="M60" i="5" s="1"/>
  <c r="K410" i="5"/>
  <c r="L410" i="5" s="1"/>
  <c r="M410" i="5" s="1"/>
  <c r="K403" i="5"/>
  <c r="L403" i="5" s="1"/>
  <c r="M403" i="5" s="1"/>
  <c r="K209" i="5"/>
  <c r="L209" i="5" s="1"/>
  <c r="M209" i="5" s="1"/>
  <c r="K59" i="5"/>
  <c r="L59" i="5" s="1"/>
  <c r="M59" i="5" s="1"/>
  <c r="K302" i="5"/>
  <c r="L302" i="5" s="1"/>
  <c r="M302" i="5" s="1"/>
  <c r="K301" i="5"/>
  <c r="L301" i="5" s="1"/>
  <c r="M301" i="5" s="1"/>
  <c r="K269" i="5"/>
  <c r="L269" i="5" s="1"/>
  <c r="M269" i="5" s="1"/>
  <c r="K116" i="5"/>
  <c r="L116" i="5" s="1"/>
  <c r="M116" i="5" s="1"/>
  <c r="K409" i="5"/>
  <c r="L409" i="5" s="1"/>
  <c r="M409" i="5" s="1"/>
  <c r="K102" i="5"/>
  <c r="L102" i="5" s="1"/>
  <c r="M102" i="5" s="1"/>
  <c r="K101" i="5"/>
  <c r="L101" i="5" s="1"/>
  <c r="M101" i="5" s="1"/>
  <c r="K402" i="5"/>
  <c r="L402" i="5" s="1"/>
  <c r="M402" i="5" s="1"/>
  <c r="K260" i="5"/>
  <c r="L260" i="5" s="1"/>
  <c r="M260" i="5" s="1"/>
  <c r="K99" i="5"/>
  <c r="L99" i="5" s="1"/>
  <c r="M99" i="5" s="1"/>
  <c r="K96" i="5"/>
  <c r="L96" i="5" s="1"/>
  <c r="M96" i="5" s="1"/>
  <c r="K354" i="5"/>
  <c r="L354" i="5" s="1"/>
  <c r="M354" i="5" s="1"/>
  <c r="K353" i="5"/>
  <c r="L353" i="5" s="1"/>
  <c r="M353" i="5" s="1"/>
  <c r="K205" i="5"/>
  <c r="L205" i="5" s="1"/>
  <c r="M205" i="5" s="1"/>
  <c r="K44" i="5"/>
  <c r="L44" i="5" s="1"/>
  <c r="M44" i="5" s="1"/>
  <c r="K321" i="5"/>
  <c r="L321" i="5" s="1"/>
  <c r="M321" i="5" s="1"/>
  <c r="K43" i="5"/>
  <c r="L43" i="5" s="1"/>
  <c r="M43" i="5" s="1"/>
  <c r="K319" i="5"/>
  <c r="L319" i="5" s="1"/>
  <c r="M319" i="5" s="1"/>
  <c r="K160" i="5"/>
  <c r="L160" i="5" s="1"/>
  <c r="M160" i="5" s="1"/>
  <c r="K42" i="5"/>
  <c r="L42" i="5" s="1"/>
  <c r="M42" i="5" s="1"/>
  <c r="K154" i="5"/>
  <c r="L154" i="5" s="1"/>
  <c r="M154" i="5" s="1"/>
  <c r="K152" i="5"/>
  <c r="L152" i="5" s="1"/>
  <c r="M152" i="5" s="1"/>
  <c r="K115" i="5"/>
  <c r="L115" i="5" s="1"/>
  <c r="M115" i="5" s="1"/>
  <c r="K372" i="5"/>
  <c r="L372" i="5" s="1"/>
  <c r="M372" i="5" s="1"/>
  <c r="K203" i="5"/>
  <c r="L203" i="5" s="1"/>
  <c r="M203" i="5" s="1"/>
  <c r="K316" i="5"/>
  <c r="L316" i="5" s="1"/>
  <c r="M316" i="5" s="1"/>
  <c r="K159" i="5"/>
  <c r="L159" i="5" s="1"/>
  <c r="M159" i="5" s="1"/>
  <c r="K401" i="5"/>
  <c r="L401" i="5" s="1"/>
  <c r="M401" i="5" s="1"/>
  <c r="K352" i="5"/>
  <c r="L352" i="5" s="1"/>
  <c r="M352" i="5" s="1"/>
  <c r="K300" i="5"/>
  <c r="L300" i="5" s="1"/>
  <c r="M300" i="5" s="1"/>
  <c r="K244" i="5"/>
  <c r="L244" i="5" s="1"/>
  <c r="M244" i="5" s="1"/>
  <c r="K202" i="5"/>
  <c r="L202" i="5" s="1"/>
  <c r="M202" i="5" s="1"/>
  <c r="K150" i="5"/>
  <c r="L150" i="5" s="1"/>
  <c r="M150" i="5" s="1"/>
  <c r="K95" i="5"/>
  <c r="L95" i="5" s="1"/>
  <c r="M95" i="5" s="1"/>
  <c r="K41" i="5"/>
  <c r="L41" i="5" s="1"/>
  <c r="M41" i="5" s="1"/>
  <c r="K400" i="5"/>
  <c r="L400" i="5" s="1"/>
  <c r="M400" i="5" s="1"/>
  <c r="K299" i="5"/>
  <c r="L299" i="5" s="1"/>
  <c r="M299" i="5" s="1"/>
  <c r="K201" i="5"/>
  <c r="L201" i="5" s="1"/>
  <c r="M201" i="5" s="1"/>
  <c r="K94" i="5"/>
  <c r="L94" i="5" s="1"/>
  <c r="M94" i="5" s="1"/>
  <c r="K12" i="5"/>
  <c r="L12" i="5" s="1"/>
  <c r="M12" i="5" s="1"/>
  <c r="K242" i="5"/>
  <c r="L242" i="5" s="1"/>
  <c r="M242" i="5" s="1"/>
  <c r="K93" i="5"/>
  <c r="L93" i="5" s="1"/>
  <c r="M93" i="5" s="1"/>
  <c r="K184" i="5"/>
  <c r="L184" i="5" s="1"/>
  <c r="M184" i="5" s="1"/>
  <c r="K26" i="5"/>
  <c r="L26" i="5" s="1"/>
  <c r="M26" i="5" s="1"/>
  <c r="K46" i="5"/>
  <c r="L46" i="5" s="1"/>
  <c r="M46" i="5" s="1"/>
  <c r="K66" i="5"/>
  <c r="L66" i="5" s="1"/>
  <c r="M66" i="5" s="1"/>
  <c r="K86" i="5"/>
  <c r="L86" i="5" s="1"/>
  <c r="M86" i="5" s="1"/>
  <c r="K106" i="5"/>
  <c r="L106" i="5" s="1"/>
  <c r="M106" i="5" s="1"/>
  <c r="K126" i="5"/>
  <c r="L126" i="5" s="1"/>
  <c r="M126" i="5" s="1"/>
  <c r="K146" i="5"/>
  <c r="L146" i="5" s="1"/>
  <c r="M146" i="5" s="1"/>
  <c r="K166" i="5"/>
  <c r="L166" i="5" s="1"/>
  <c r="M166" i="5" s="1"/>
  <c r="K186" i="5"/>
  <c r="L186" i="5" s="1"/>
  <c r="M186" i="5" s="1"/>
  <c r="K206" i="5"/>
  <c r="L206" i="5" s="1"/>
  <c r="M206" i="5" s="1"/>
  <c r="K226" i="5"/>
  <c r="L226" i="5" s="1"/>
  <c r="M226" i="5" s="1"/>
  <c r="K246" i="5"/>
  <c r="L246" i="5" s="1"/>
  <c r="M246" i="5" s="1"/>
  <c r="K266" i="5"/>
  <c r="L266" i="5" s="1"/>
  <c r="M266" i="5" s="1"/>
  <c r="K286" i="5"/>
  <c r="L286" i="5" s="1"/>
  <c r="M286" i="5" s="1"/>
  <c r="K306" i="5"/>
  <c r="L306" i="5" s="1"/>
  <c r="M306" i="5" s="1"/>
  <c r="K326" i="5"/>
  <c r="L326" i="5" s="1"/>
  <c r="M326" i="5" s="1"/>
  <c r="K346" i="5"/>
  <c r="L346" i="5" s="1"/>
  <c r="M346" i="5" s="1"/>
  <c r="K366" i="5"/>
  <c r="L366" i="5" s="1"/>
  <c r="M366" i="5" s="1"/>
  <c r="K386" i="5"/>
  <c r="L386" i="5" s="1"/>
  <c r="M386" i="5" s="1"/>
  <c r="K406" i="5"/>
  <c r="L406" i="5" s="1"/>
  <c r="M406" i="5" s="1"/>
  <c r="K426" i="5"/>
  <c r="L426" i="5" s="1"/>
  <c r="M426" i="5" s="1"/>
  <c r="K27" i="5"/>
  <c r="L27" i="5" s="1"/>
  <c r="M27" i="5" s="1"/>
  <c r="K47" i="5"/>
  <c r="L47" i="5" s="1"/>
  <c r="M47" i="5" s="1"/>
  <c r="K67" i="5"/>
  <c r="L67" i="5" s="1"/>
  <c r="M67" i="5" s="1"/>
  <c r="K87" i="5"/>
  <c r="L87" i="5" s="1"/>
  <c r="M87" i="5" s="1"/>
  <c r="K107" i="5"/>
  <c r="L107" i="5" s="1"/>
  <c r="M107" i="5" s="1"/>
  <c r="K127" i="5"/>
  <c r="L127" i="5" s="1"/>
  <c r="M127" i="5" s="1"/>
  <c r="K147" i="5"/>
  <c r="L147" i="5" s="1"/>
  <c r="M147" i="5" s="1"/>
  <c r="K187" i="5"/>
  <c r="L187" i="5" s="1"/>
  <c r="M187" i="5" s="1"/>
  <c r="K207" i="5"/>
  <c r="L207" i="5" s="1"/>
  <c r="M207" i="5" s="1"/>
  <c r="K227" i="5"/>
  <c r="L227" i="5" s="1"/>
  <c r="M227" i="5" s="1"/>
  <c r="K247" i="5"/>
  <c r="L247" i="5" s="1"/>
  <c r="M247" i="5" s="1"/>
  <c r="K267" i="5"/>
  <c r="L267" i="5" s="1"/>
  <c r="M267" i="5" s="1"/>
  <c r="K287" i="5"/>
  <c r="L287" i="5" s="1"/>
  <c r="M287" i="5" s="1"/>
  <c r="K307" i="5"/>
  <c r="L307" i="5" s="1"/>
  <c r="M307" i="5" s="1"/>
  <c r="K347" i="5"/>
  <c r="L347" i="5" s="1"/>
  <c r="M347" i="5" s="1"/>
  <c r="K367" i="5"/>
  <c r="L367" i="5" s="1"/>
  <c r="M367" i="5" s="1"/>
  <c r="K387" i="5"/>
  <c r="L387" i="5" s="1"/>
  <c r="M387" i="5" s="1"/>
  <c r="K407" i="5"/>
  <c r="L407" i="5" s="1"/>
  <c r="M407" i="5" s="1"/>
  <c r="K427" i="5"/>
  <c r="L427" i="5" s="1"/>
  <c r="M427" i="5" s="1"/>
  <c r="K167" i="5"/>
  <c r="L167" i="5" s="1"/>
  <c r="M167" i="5" s="1"/>
  <c r="K327" i="5"/>
  <c r="L327" i="5" s="1"/>
  <c r="M327" i="5" s="1"/>
  <c r="K28" i="5"/>
  <c r="L28" i="5" s="1"/>
  <c r="M28" i="5" s="1"/>
  <c r="K48" i="5"/>
  <c r="L48" i="5" s="1"/>
  <c r="M48" i="5" s="1"/>
  <c r="K68" i="5"/>
  <c r="L68" i="5" s="1"/>
  <c r="M68" i="5" s="1"/>
  <c r="K88" i="5"/>
  <c r="L88" i="5" s="1"/>
  <c r="M88" i="5" s="1"/>
  <c r="K108" i="5"/>
  <c r="L108" i="5" s="1"/>
  <c r="M108" i="5" s="1"/>
  <c r="K128" i="5"/>
  <c r="L128" i="5" s="1"/>
  <c r="M128" i="5" s="1"/>
  <c r="K148" i="5"/>
  <c r="L148" i="5" s="1"/>
  <c r="M148" i="5" s="1"/>
  <c r="K168" i="5"/>
  <c r="L168" i="5" s="1"/>
  <c r="M168" i="5" s="1"/>
  <c r="K188" i="5"/>
  <c r="L188" i="5" s="1"/>
  <c r="M188" i="5" s="1"/>
  <c r="K208" i="5"/>
  <c r="L208" i="5" s="1"/>
  <c r="M208" i="5" s="1"/>
  <c r="K228" i="5"/>
  <c r="L228" i="5" s="1"/>
  <c r="M228" i="5" s="1"/>
  <c r="K248" i="5"/>
  <c r="L248" i="5" s="1"/>
  <c r="M248" i="5" s="1"/>
  <c r="K268" i="5"/>
  <c r="L268" i="5" s="1"/>
  <c r="M268" i="5" s="1"/>
  <c r="K288" i="5"/>
  <c r="L288" i="5" s="1"/>
  <c r="M288" i="5" s="1"/>
  <c r="K308" i="5"/>
  <c r="L308" i="5" s="1"/>
  <c r="M308" i="5" s="1"/>
  <c r="K328" i="5"/>
  <c r="L328" i="5" s="1"/>
  <c r="M328" i="5" s="1"/>
  <c r="K348" i="5"/>
  <c r="L348" i="5" s="1"/>
  <c r="M348" i="5" s="1"/>
  <c r="K368" i="5"/>
  <c r="L368" i="5" s="1"/>
  <c r="M368" i="5" s="1"/>
  <c r="K388" i="5"/>
  <c r="L388" i="5" s="1"/>
  <c r="M388" i="5" s="1"/>
  <c r="K408" i="5"/>
  <c r="L408" i="5" s="1"/>
  <c r="M408" i="5" s="1"/>
  <c r="K428" i="5"/>
  <c r="L428" i="5" s="1"/>
  <c r="M428" i="5" s="1"/>
  <c r="K31" i="5"/>
  <c r="L31" i="5" s="1"/>
  <c r="M31" i="5" s="1"/>
  <c r="K51" i="5"/>
  <c r="L51" i="5" s="1"/>
  <c r="M51" i="5" s="1"/>
  <c r="K71" i="5"/>
  <c r="L71" i="5" s="1"/>
  <c r="M71" i="5" s="1"/>
  <c r="K91" i="5"/>
  <c r="L91" i="5" s="1"/>
  <c r="M91" i="5" s="1"/>
  <c r="K111" i="5"/>
  <c r="L111" i="5" s="1"/>
  <c r="M111" i="5" s="1"/>
  <c r="K131" i="5"/>
  <c r="L131" i="5" s="1"/>
  <c r="M131" i="5" s="1"/>
  <c r="K151" i="5"/>
  <c r="L151" i="5" s="1"/>
  <c r="M151" i="5" s="1"/>
  <c r="K171" i="5"/>
  <c r="L171" i="5" s="1"/>
  <c r="M171" i="5" s="1"/>
  <c r="K191" i="5"/>
  <c r="L191" i="5" s="1"/>
  <c r="M191" i="5" s="1"/>
  <c r="K211" i="5"/>
  <c r="L211" i="5" s="1"/>
  <c r="M211" i="5" s="1"/>
  <c r="K231" i="5"/>
  <c r="L231" i="5" s="1"/>
  <c r="M231" i="5" s="1"/>
  <c r="K251" i="5"/>
  <c r="L251" i="5" s="1"/>
  <c r="M251" i="5" s="1"/>
  <c r="K271" i="5"/>
  <c r="L271" i="5" s="1"/>
  <c r="M271" i="5" s="1"/>
  <c r="K291" i="5"/>
  <c r="L291" i="5" s="1"/>
  <c r="M291" i="5" s="1"/>
  <c r="K311" i="5"/>
  <c r="L311" i="5" s="1"/>
  <c r="M311" i="5" s="1"/>
  <c r="K331" i="5"/>
  <c r="L331" i="5" s="1"/>
  <c r="M331" i="5" s="1"/>
  <c r="K351" i="5"/>
  <c r="L351" i="5" s="1"/>
  <c r="M351" i="5" s="1"/>
  <c r="K371" i="5"/>
  <c r="L371" i="5" s="1"/>
  <c r="M371" i="5" s="1"/>
  <c r="K391" i="5"/>
  <c r="L391" i="5" s="1"/>
  <c r="M391" i="5" s="1"/>
  <c r="K411" i="5"/>
  <c r="L411" i="5" s="1"/>
  <c r="M411" i="5" s="1"/>
  <c r="K431" i="5"/>
  <c r="L431" i="5" s="1"/>
  <c r="M431" i="5" s="1"/>
  <c r="K17" i="5"/>
  <c r="L17" i="5" s="1"/>
  <c r="M17" i="5" s="1"/>
  <c r="K37" i="5"/>
  <c r="L37" i="5" s="1"/>
  <c r="M37" i="5" s="1"/>
  <c r="K57" i="5"/>
  <c r="L57" i="5" s="1"/>
  <c r="M57" i="5" s="1"/>
  <c r="K77" i="5"/>
  <c r="L77" i="5" s="1"/>
  <c r="M77" i="5" s="1"/>
  <c r="K97" i="5"/>
  <c r="L97" i="5" s="1"/>
  <c r="M97" i="5" s="1"/>
  <c r="K117" i="5"/>
  <c r="L117" i="5" s="1"/>
  <c r="M117" i="5" s="1"/>
  <c r="K137" i="5"/>
  <c r="L137" i="5" s="1"/>
  <c r="M137" i="5" s="1"/>
  <c r="K157" i="5"/>
  <c r="L157" i="5" s="1"/>
  <c r="M157" i="5" s="1"/>
  <c r="K177" i="5"/>
  <c r="L177" i="5" s="1"/>
  <c r="M177" i="5" s="1"/>
  <c r="K197" i="5"/>
  <c r="L197" i="5" s="1"/>
  <c r="M197" i="5" s="1"/>
  <c r="K217" i="5"/>
  <c r="L217" i="5" s="1"/>
  <c r="M217" i="5" s="1"/>
  <c r="K237" i="5"/>
  <c r="L237" i="5" s="1"/>
  <c r="M237" i="5" s="1"/>
  <c r="K257" i="5"/>
  <c r="L257" i="5" s="1"/>
  <c r="M257" i="5" s="1"/>
  <c r="K277" i="5"/>
  <c r="L277" i="5" s="1"/>
  <c r="M277" i="5" s="1"/>
  <c r="K297" i="5"/>
  <c r="L297" i="5" s="1"/>
  <c r="M297" i="5" s="1"/>
  <c r="K317" i="5"/>
  <c r="L317" i="5" s="1"/>
  <c r="M317" i="5" s="1"/>
  <c r="K337" i="5"/>
  <c r="L337" i="5" s="1"/>
  <c r="M337" i="5" s="1"/>
  <c r="K357" i="5"/>
  <c r="L357" i="5" s="1"/>
  <c r="M357" i="5" s="1"/>
  <c r="K377" i="5"/>
  <c r="L377" i="5" s="1"/>
  <c r="M377" i="5" s="1"/>
  <c r="K397" i="5"/>
  <c r="L397" i="5" s="1"/>
  <c r="M397" i="5" s="1"/>
  <c r="K417" i="5"/>
  <c r="L417" i="5" s="1"/>
  <c r="M417" i="5" s="1"/>
  <c r="K437" i="5"/>
  <c r="L437" i="5" s="1"/>
  <c r="M437" i="5" s="1"/>
  <c r="K18" i="5"/>
  <c r="L18" i="5" s="1"/>
  <c r="M18" i="5" s="1"/>
  <c r="K38" i="5"/>
  <c r="L38" i="5" s="1"/>
  <c r="M38" i="5" s="1"/>
  <c r="K58" i="5"/>
  <c r="L58" i="5" s="1"/>
  <c r="M58" i="5" s="1"/>
  <c r="K78" i="5"/>
  <c r="L78" i="5" s="1"/>
  <c r="M78" i="5" s="1"/>
  <c r="K98" i="5"/>
  <c r="L98" i="5" s="1"/>
  <c r="M98" i="5" s="1"/>
  <c r="K118" i="5"/>
  <c r="L118" i="5" s="1"/>
  <c r="M118" i="5" s="1"/>
  <c r="K138" i="5"/>
  <c r="L138" i="5" s="1"/>
  <c r="M138" i="5" s="1"/>
  <c r="K158" i="5"/>
  <c r="L158" i="5" s="1"/>
  <c r="M158" i="5" s="1"/>
  <c r="K178" i="5"/>
  <c r="L178" i="5" s="1"/>
  <c r="M178" i="5" s="1"/>
  <c r="K198" i="5"/>
  <c r="L198" i="5" s="1"/>
  <c r="M198" i="5" s="1"/>
  <c r="K218" i="5"/>
  <c r="L218" i="5" s="1"/>
  <c r="M218" i="5" s="1"/>
  <c r="K238" i="5"/>
  <c r="L238" i="5" s="1"/>
  <c r="M238" i="5" s="1"/>
  <c r="K258" i="5"/>
  <c r="L258" i="5" s="1"/>
  <c r="M258" i="5" s="1"/>
  <c r="K278" i="5"/>
  <c r="L278" i="5" s="1"/>
  <c r="M278" i="5" s="1"/>
  <c r="K298" i="5"/>
  <c r="L298" i="5" s="1"/>
  <c r="M298" i="5" s="1"/>
  <c r="K318" i="5"/>
  <c r="L318" i="5" s="1"/>
  <c r="M318" i="5" s="1"/>
  <c r="K338" i="5"/>
  <c r="L338" i="5" s="1"/>
  <c r="M338" i="5" s="1"/>
  <c r="K358" i="5"/>
  <c r="L358" i="5" s="1"/>
  <c r="M358" i="5" s="1"/>
  <c r="K378" i="5"/>
  <c r="L378" i="5" s="1"/>
  <c r="M378" i="5" s="1"/>
  <c r="K398" i="5"/>
  <c r="L398" i="5" s="1"/>
  <c r="M398" i="5" s="1"/>
  <c r="K418" i="5"/>
  <c r="L418" i="5" s="1"/>
  <c r="M418" i="5" s="1"/>
  <c r="K19" i="5"/>
  <c r="L19" i="5" s="1"/>
  <c r="M19" i="5" s="1"/>
  <c r="K45" i="5"/>
  <c r="L45" i="5" s="1"/>
  <c r="M45" i="5" s="1"/>
  <c r="K75" i="5"/>
  <c r="L75" i="5" s="1"/>
  <c r="M75" i="5" s="1"/>
  <c r="K103" i="5"/>
  <c r="L103" i="5" s="1"/>
  <c r="M103" i="5" s="1"/>
  <c r="K133" i="5"/>
  <c r="L133" i="5" s="1"/>
  <c r="M133" i="5" s="1"/>
  <c r="K161" i="5"/>
  <c r="L161" i="5" s="1"/>
  <c r="M161" i="5" s="1"/>
  <c r="K190" i="5"/>
  <c r="L190" i="5" s="1"/>
  <c r="M190" i="5" s="1"/>
  <c r="K219" i="5"/>
  <c r="L219" i="5" s="1"/>
  <c r="M219" i="5" s="1"/>
  <c r="K245" i="5"/>
  <c r="L245" i="5" s="1"/>
  <c r="M245" i="5" s="1"/>
  <c r="K275" i="5"/>
  <c r="L275" i="5" s="1"/>
  <c r="M275" i="5" s="1"/>
  <c r="K303" i="5"/>
  <c r="L303" i="5" s="1"/>
  <c r="M303" i="5" s="1"/>
  <c r="K333" i="5"/>
  <c r="L333" i="5" s="1"/>
  <c r="M333" i="5" s="1"/>
  <c r="K361" i="5"/>
  <c r="L361" i="5" s="1"/>
  <c r="M361" i="5" s="1"/>
  <c r="K390" i="5"/>
  <c r="L390" i="5" s="1"/>
  <c r="M390" i="5" s="1"/>
  <c r="K419" i="5"/>
  <c r="L419" i="5" s="1"/>
  <c r="M419" i="5" s="1"/>
  <c r="K52" i="5"/>
  <c r="L52" i="5" s="1"/>
  <c r="M52" i="5" s="1"/>
  <c r="K109" i="5"/>
  <c r="L109" i="5" s="1"/>
  <c r="M109" i="5" s="1"/>
  <c r="K194" i="5"/>
  <c r="L194" i="5" s="1"/>
  <c r="M194" i="5" s="1"/>
  <c r="K309" i="5"/>
  <c r="L309" i="5" s="1"/>
  <c r="M309" i="5" s="1"/>
  <c r="K23" i="5"/>
  <c r="L23" i="5" s="1"/>
  <c r="M23" i="5" s="1"/>
  <c r="K81" i="5"/>
  <c r="L81" i="5" s="1"/>
  <c r="M81" i="5" s="1"/>
  <c r="K165" i="5"/>
  <c r="L165" i="5" s="1"/>
  <c r="M165" i="5" s="1"/>
  <c r="K253" i="5"/>
  <c r="L253" i="5" s="1"/>
  <c r="M253" i="5" s="1"/>
  <c r="K339" i="5"/>
  <c r="L339" i="5" s="1"/>
  <c r="M339" i="5" s="1"/>
  <c r="K423" i="5"/>
  <c r="L423" i="5" s="1"/>
  <c r="M423" i="5" s="1"/>
  <c r="K20" i="5"/>
  <c r="L20" i="5" s="1"/>
  <c r="M20" i="5" s="1"/>
  <c r="K49" i="5"/>
  <c r="L49" i="5" s="1"/>
  <c r="M49" i="5" s="1"/>
  <c r="K76" i="5"/>
  <c r="L76" i="5" s="1"/>
  <c r="M76" i="5" s="1"/>
  <c r="K104" i="5"/>
  <c r="L104" i="5" s="1"/>
  <c r="M104" i="5" s="1"/>
  <c r="K134" i="5"/>
  <c r="L134" i="5" s="1"/>
  <c r="M134" i="5" s="1"/>
  <c r="K162" i="5"/>
  <c r="L162" i="5" s="1"/>
  <c r="M162" i="5" s="1"/>
  <c r="K192" i="5"/>
  <c r="L192" i="5" s="1"/>
  <c r="M192" i="5" s="1"/>
  <c r="K220" i="5"/>
  <c r="L220" i="5" s="1"/>
  <c r="M220" i="5" s="1"/>
  <c r="K249" i="5"/>
  <c r="L249" i="5" s="1"/>
  <c r="M249" i="5" s="1"/>
  <c r="K276" i="5"/>
  <c r="L276" i="5" s="1"/>
  <c r="M276" i="5" s="1"/>
  <c r="K304" i="5"/>
  <c r="L304" i="5" s="1"/>
  <c r="M304" i="5" s="1"/>
  <c r="K334" i="5"/>
  <c r="L334" i="5" s="1"/>
  <c r="M334" i="5" s="1"/>
  <c r="K362" i="5"/>
  <c r="L362" i="5" s="1"/>
  <c r="M362" i="5" s="1"/>
  <c r="K392" i="5"/>
  <c r="L392" i="5" s="1"/>
  <c r="M392" i="5" s="1"/>
  <c r="K420" i="5"/>
  <c r="L420" i="5" s="1"/>
  <c r="M420" i="5" s="1"/>
  <c r="K22" i="5"/>
  <c r="L22" i="5" s="1"/>
  <c r="M22" i="5" s="1"/>
  <c r="K136" i="5"/>
  <c r="L136" i="5" s="1"/>
  <c r="M136" i="5" s="1"/>
  <c r="K222" i="5"/>
  <c r="L222" i="5" s="1"/>
  <c r="M222" i="5" s="1"/>
  <c r="K280" i="5"/>
  <c r="L280" i="5" s="1"/>
  <c r="M280" i="5" s="1"/>
  <c r="K364" i="5"/>
  <c r="L364" i="5" s="1"/>
  <c r="M364" i="5" s="1"/>
  <c r="K53" i="5"/>
  <c r="L53" i="5" s="1"/>
  <c r="M53" i="5" s="1"/>
  <c r="K139" i="5"/>
  <c r="L139" i="5" s="1"/>
  <c r="M139" i="5" s="1"/>
  <c r="K223" i="5"/>
  <c r="L223" i="5" s="1"/>
  <c r="M223" i="5" s="1"/>
  <c r="K310" i="5"/>
  <c r="L310" i="5" s="1"/>
  <c r="M310" i="5" s="1"/>
  <c r="K395" i="5"/>
  <c r="L395" i="5" s="1"/>
  <c r="M395" i="5" s="1"/>
  <c r="K21" i="5"/>
  <c r="L21" i="5" s="1"/>
  <c r="M21" i="5" s="1"/>
  <c r="K50" i="5"/>
  <c r="L50" i="5" s="1"/>
  <c r="M50" i="5" s="1"/>
  <c r="K79" i="5"/>
  <c r="L79" i="5" s="1"/>
  <c r="M79" i="5" s="1"/>
  <c r="K105" i="5"/>
  <c r="L105" i="5" s="1"/>
  <c r="M105" i="5" s="1"/>
  <c r="K135" i="5"/>
  <c r="L135" i="5" s="1"/>
  <c r="M135" i="5" s="1"/>
  <c r="K163" i="5"/>
  <c r="L163" i="5" s="1"/>
  <c r="M163" i="5" s="1"/>
  <c r="K193" i="5"/>
  <c r="L193" i="5" s="1"/>
  <c r="M193" i="5" s="1"/>
  <c r="K221" i="5"/>
  <c r="L221" i="5" s="1"/>
  <c r="M221" i="5" s="1"/>
  <c r="K250" i="5"/>
  <c r="L250" i="5" s="1"/>
  <c r="M250" i="5" s="1"/>
  <c r="K279" i="5"/>
  <c r="L279" i="5" s="1"/>
  <c r="M279" i="5" s="1"/>
  <c r="K305" i="5"/>
  <c r="L305" i="5" s="1"/>
  <c r="M305" i="5" s="1"/>
  <c r="K335" i="5"/>
  <c r="L335" i="5" s="1"/>
  <c r="M335" i="5" s="1"/>
  <c r="K363" i="5"/>
  <c r="L363" i="5" s="1"/>
  <c r="M363" i="5" s="1"/>
  <c r="K393" i="5"/>
  <c r="L393" i="5" s="1"/>
  <c r="M393" i="5" s="1"/>
  <c r="K421" i="5"/>
  <c r="L421" i="5" s="1"/>
  <c r="M421" i="5" s="1"/>
  <c r="K80" i="5"/>
  <c r="L80" i="5" s="1"/>
  <c r="M80" i="5" s="1"/>
  <c r="K164" i="5"/>
  <c r="L164" i="5" s="1"/>
  <c r="M164" i="5" s="1"/>
  <c r="K252" i="5"/>
  <c r="L252" i="5" s="1"/>
  <c r="M252" i="5" s="1"/>
  <c r="K336" i="5"/>
  <c r="L336" i="5" s="1"/>
  <c r="M336" i="5" s="1"/>
  <c r="K394" i="5"/>
  <c r="L394" i="5" s="1"/>
  <c r="M394" i="5" s="1"/>
  <c r="K422" i="5"/>
  <c r="L422" i="5" s="1"/>
  <c r="M422" i="5" s="1"/>
  <c r="K110" i="5"/>
  <c r="L110" i="5" s="1"/>
  <c r="M110" i="5" s="1"/>
  <c r="K195" i="5"/>
  <c r="L195" i="5" s="1"/>
  <c r="M195" i="5" s="1"/>
  <c r="K281" i="5"/>
  <c r="L281" i="5" s="1"/>
  <c r="M281" i="5" s="1"/>
  <c r="K365" i="5"/>
  <c r="L365" i="5" s="1"/>
  <c r="M365" i="5" s="1"/>
  <c r="K24" i="5"/>
  <c r="L24" i="5" s="1"/>
  <c r="M24" i="5" s="1"/>
  <c r="K54" i="5"/>
  <c r="L54" i="5" s="1"/>
  <c r="M54" i="5" s="1"/>
  <c r="K82" i="5"/>
  <c r="L82" i="5" s="1"/>
  <c r="M82" i="5" s="1"/>
  <c r="K112" i="5"/>
  <c r="L112" i="5" s="1"/>
  <c r="M112" i="5" s="1"/>
  <c r="K140" i="5"/>
  <c r="L140" i="5" s="1"/>
  <c r="M140" i="5" s="1"/>
  <c r="K169" i="5"/>
  <c r="L169" i="5" s="1"/>
  <c r="M169" i="5" s="1"/>
  <c r="K196" i="5"/>
  <c r="L196" i="5" s="1"/>
  <c r="M196" i="5" s="1"/>
  <c r="K224" i="5"/>
  <c r="L224" i="5" s="1"/>
  <c r="M224" i="5" s="1"/>
  <c r="K254" i="5"/>
  <c r="L254" i="5" s="1"/>
  <c r="M254" i="5" s="1"/>
  <c r="K282" i="5"/>
  <c r="L282" i="5" s="1"/>
  <c r="M282" i="5" s="1"/>
  <c r="K312" i="5"/>
  <c r="L312" i="5" s="1"/>
  <c r="M312" i="5" s="1"/>
  <c r="K340" i="5"/>
  <c r="L340" i="5" s="1"/>
  <c r="M340" i="5" s="1"/>
  <c r="K369" i="5"/>
  <c r="L369" i="5" s="1"/>
  <c r="M369" i="5" s="1"/>
  <c r="K396" i="5"/>
  <c r="L396" i="5" s="1"/>
  <c r="M396" i="5" s="1"/>
  <c r="K424" i="5"/>
  <c r="L424" i="5" s="1"/>
  <c r="M424" i="5" s="1"/>
  <c r="K25" i="5"/>
  <c r="L25" i="5" s="1"/>
  <c r="M25" i="5" s="1"/>
  <c r="K55" i="5"/>
  <c r="L55" i="5" s="1"/>
  <c r="M55" i="5" s="1"/>
  <c r="K83" i="5"/>
  <c r="L83" i="5" s="1"/>
  <c r="M83" i="5" s="1"/>
  <c r="K113" i="5"/>
  <c r="L113" i="5" s="1"/>
  <c r="M113" i="5" s="1"/>
  <c r="K141" i="5"/>
  <c r="L141" i="5" s="1"/>
  <c r="M141" i="5" s="1"/>
  <c r="K170" i="5"/>
  <c r="L170" i="5" s="1"/>
  <c r="M170" i="5" s="1"/>
  <c r="K199" i="5"/>
  <c r="L199" i="5" s="1"/>
  <c r="M199" i="5" s="1"/>
  <c r="K225" i="5"/>
  <c r="L225" i="5" s="1"/>
  <c r="M225" i="5" s="1"/>
  <c r="K255" i="5"/>
  <c r="L255" i="5" s="1"/>
  <c r="M255" i="5" s="1"/>
  <c r="K283" i="5"/>
  <c r="L283" i="5" s="1"/>
  <c r="M283" i="5" s="1"/>
  <c r="K313" i="5"/>
  <c r="L313" i="5" s="1"/>
  <c r="M313" i="5" s="1"/>
  <c r="K341" i="5"/>
  <c r="L341" i="5" s="1"/>
  <c r="M341" i="5" s="1"/>
  <c r="K370" i="5"/>
  <c r="L370" i="5" s="1"/>
  <c r="M370" i="5" s="1"/>
  <c r="K399" i="5"/>
  <c r="L399" i="5" s="1"/>
  <c r="M399" i="5" s="1"/>
  <c r="K425" i="5"/>
  <c r="L425" i="5" s="1"/>
  <c r="M425" i="5" s="1"/>
  <c r="K29" i="5"/>
  <c r="L29" i="5" s="1"/>
  <c r="M29" i="5" s="1"/>
  <c r="K56" i="5"/>
  <c r="L56" i="5" s="1"/>
  <c r="M56" i="5" s="1"/>
  <c r="K84" i="5"/>
  <c r="L84" i="5" s="1"/>
  <c r="M84" i="5" s="1"/>
  <c r="K114" i="5"/>
  <c r="L114" i="5" s="1"/>
  <c r="M114" i="5" s="1"/>
  <c r="K142" i="5"/>
  <c r="L142" i="5" s="1"/>
  <c r="M142" i="5" s="1"/>
  <c r="K172" i="5"/>
  <c r="L172" i="5" s="1"/>
  <c r="M172" i="5" s="1"/>
  <c r="K200" i="5"/>
  <c r="L200" i="5" s="1"/>
  <c r="M200" i="5" s="1"/>
  <c r="K229" i="5"/>
  <c r="L229" i="5" s="1"/>
  <c r="M229" i="5" s="1"/>
  <c r="K256" i="5"/>
  <c r="L256" i="5" s="1"/>
  <c r="M256" i="5" s="1"/>
  <c r="K284" i="5"/>
  <c r="L284" i="5" s="1"/>
  <c r="M284" i="5" s="1"/>
  <c r="K34" i="5"/>
  <c r="L34" i="5" s="1"/>
  <c r="M34" i="5" s="1"/>
  <c r="K62" i="5"/>
  <c r="L62" i="5" s="1"/>
  <c r="M62" i="5" s="1"/>
  <c r="K92" i="5"/>
  <c r="L92" i="5" s="1"/>
  <c r="M92" i="5" s="1"/>
  <c r="K120" i="5"/>
  <c r="L120" i="5" s="1"/>
  <c r="M120" i="5" s="1"/>
  <c r="K149" i="5"/>
  <c r="L149" i="5" s="1"/>
  <c r="M149" i="5" s="1"/>
  <c r="K176" i="5"/>
  <c r="L176" i="5" s="1"/>
  <c r="M176" i="5" s="1"/>
  <c r="K204" i="5"/>
  <c r="L204" i="5" s="1"/>
  <c r="M204" i="5" s="1"/>
  <c r="K234" i="5"/>
  <c r="L234" i="5" s="1"/>
  <c r="M234" i="5" s="1"/>
  <c r="K262" i="5"/>
  <c r="L262" i="5" s="1"/>
  <c r="M262" i="5" s="1"/>
  <c r="K292" i="5"/>
  <c r="L292" i="5" s="1"/>
  <c r="M292" i="5" s="1"/>
  <c r="K320" i="5"/>
  <c r="L320" i="5" s="1"/>
  <c r="M320" i="5" s="1"/>
  <c r="K349" i="5"/>
  <c r="L349" i="5" s="1"/>
  <c r="M349" i="5" s="1"/>
  <c r="K376" i="5"/>
  <c r="L376" i="5" s="1"/>
  <c r="M376" i="5" s="1"/>
  <c r="K404" i="5"/>
  <c r="L404" i="5" s="1"/>
  <c r="M404" i="5" s="1"/>
  <c r="K434" i="5"/>
  <c r="L434" i="5" s="1"/>
  <c r="M434" i="5" s="1"/>
  <c r="K350" i="5"/>
  <c r="L350" i="5" s="1"/>
  <c r="M350" i="5" s="1"/>
  <c r="K243" i="5"/>
  <c r="L243" i="5" s="1"/>
  <c r="M243" i="5" s="1"/>
  <c r="K145" i="5"/>
  <c r="L145" i="5" s="1"/>
  <c r="M145" i="5" s="1"/>
  <c r="K40" i="5"/>
  <c r="L40" i="5" s="1"/>
  <c r="M40" i="5" s="1"/>
  <c r="K345" i="5"/>
  <c r="L345" i="5" s="1"/>
  <c r="M345" i="5" s="1"/>
  <c r="K189" i="5"/>
  <c r="L189" i="5" s="1"/>
  <c r="M189" i="5" s="1"/>
  <c r="K39" i="5"/>
  <c r="L39" i="5" s="1"/>
  <c r="M39" i="5" s="1"/>
  <c r="K438" i="5"/>
  <c r="L438" i="5" s="1"/>
  <c r="M438" i="5" s="1"/>
  <c r="K344" i="5"/>
  <c r="L344" i="5" s="1"/>
  <c r="M344" i="5" s="1"/>
  <c r="K241" i="5"/>
  <c r="L241" i="5" s="1"/>
  <c r="M241" i="5" s="1"/>
  <c r="K143" i="5"/>
  <c r="L143" i="5" s="1"/>
  <c r="M143" i="5" s="1"/>
  <c r="K36" i="5"/>
  <c r="L36" i="5" s="1"/>
  <c r="M36" i="5" s="1"/>
  <c r="K294" i="5"/>
  <c r="L294" i="5" s="1"/>
  <c r="M294" i="5" s="1"/>
  <c r="K132" i="5"/>
  <c r="L132" i="5" s="1"/>
  <c r="M132" i="5" s="1"/>
  <c r="K435" i="5"/>
  <c r="L435" i="5" s="1"/>
  <c r="M435" i="5" s="1"/>
  <c r="K383" i="5"/>
  <c r="L383" i="5" s="1"/>
  <c r="M383" i="5" s="1"/>
  <c r="K293" i="5"/>
  <c r="L293" i="5" s="1"/>
  <c r="M293" i="5" s="1"/>
  <c r="K239" i="5"/>
  <c r="L239" i="5" s="1"/>
  <c r="M239" i="5" s="1"/>
  <c r="K183" i="5"/>
  <c r="L183" i="5" s="1"/>
  <c r="M183" i="5" s="1"/>
  <c r="K130" i="5"/>
  <c r="L130" i="5" s="1"/>
  <c r="M130" i="5" s="1"/>
  <c r="K85" i="5"/>
  <c r="L85" i="5" s="1"/>
  <c r="M85" i="5" s="1"/>
  <c r="K290" i="5"/>
  <c r="L290" i="5" s="1"/>
  <c r="M290" i="5" s="1"/>
  <c r="K182" i="5"/>
  <c r="L182" i="5" s="1"/>
  <c r="M182" i="5" s="1"/>
  <c r="K74" i="5"/>
  <c r="L74" i="5" s="1"/>
  <c r="M74" i="5" s="1"/>
  <c r="K380" i="5"/>
  <c r="L380" i="5" s="1"/>
  <c r="M380" i="5" s="1"/>
  <c r="K72" i="5"/>
  <c r="L72" i="5" s="1"/>
  <c r="M72" i="5" s="1"/>
  <c r="K379" i="5"/>
  <c r="L379" i="5" s="1"/>
  <c r="M379" i="5" s="1"/>
  <c r="K325" i="5"/>
  <c r="L325" i="5" s="1"/>
  <c r="M325" i="5" s="1"/>
  <c r="K274" i="5"/>
  <c r="L274" i="5" s="1"/>
  <c r="M274" i="5" s="1"/>
  <c r="K232" i="5"/>
  <c r="L232" i="5" s="1"/>
  <c r="M232" i="5" s="1"/>
  <c r="K179" i="5"/>
  <c r="L179" i="5" s="1"/>
  <c r="M179" i="5" s="1"/>
  <c r="K123" i="5"/>
  <c r="L123" i="5" s="1"/>
  <c r="M123" i="5" s="1"/>
  <c r="K70" i="5"/>
  <c r="L70" i="5" s="1"/>
  <c r="M70" i="5" s="1"/>
  <c r="K15" i="5"/>
  <c r="L15" i="5" s="1"/>
  <c r="M15" i="5" s="1"/>
  <c r="K416" i="5"/>
  <c r="L416" i="5" s="1"/>
  <c r="M416" i="5" s="1"/>
  <c r="K375" i="5"/>
  <c r="L375" i="5" s="1"/>
  <c r="M375" i="5" s="1"/>
  <c r="K324" i="5"/>
  <c r="L324" i="5" s="1"/>
  <c r="M324" i="5" s="1"/>
  <c r="K273" i="5"/>
  <c r="L273" i="5" s="1"/>
  <c r="M273" i="5" s="1"/>
  <c r="K230" i="5"/>
  <c r="L230" i="5" s="1"/>
  <c r="M230" i="5" s="1"/>
  <c r="K175" i="5"/>
  <c r="L175" i="5" s="1"/>
  <c r="M175" i="5" s="1"/>
  <c r="K122" i="5"/>
  <c r="L122" i="5" s="1"/>
  <c r="M122" i="5" s="1"/>
  <c r="K69" i="5"/>
  <c r="L69" i="5" s="1"/>
  <c r="M69" i="5" s="1"/>
  <c r="K14" i="5"/>
  <c r="L14" i="5" s="1"/>
  <c r="M14" i="5" s="1"/>
  <c r="K389" i="5"/>
  <c r="L389" i="5" s="1"/>
  <c r="M389" i="5" s="1"/>
  <c r="K296" i="5"/>
  <c r="L296" i="5" s="1"/>
  <c r="M296" i="5" s="1"/>
  <c r="K144" i="5"/>
  <c r="L144" i="5" s="1"/>
  <c r="M144" i="5" s="1"/>
  <c r="K385" i="5"/>
  <c r="L385" i="5" s="1"/>
  <c r="M385" i="5" s="1"/>
  <c r="K295" i="5"/>
  <c r="L295" i="5" s="1"/>
  <c r="M295" i="5" s="1"/>
  <c r="K185" i="5"/>
  <c r="L185" i="5" s="1"/>
  <c r="M185" i="5" s="1"/>
  <c r="K90" i="5"/>
  <c r="L90" i="5" s="1"/>
  <c r="M90" i="5" s="1"/>
  <c r="K436" i="5"/>
  <c r="L436" i="5" s="1"/>
  <c r="M436" i="5" s="1"/>
  <c r="K384" i="5"/>
  <c r="L384" i="5" s="1"/>
  <c r="M384" i="5" s="1"/>
  <c r="K343" i="5"/>
  <c r="L343" i="5" s="1"/>
  <c r="M343" i="5" s="1"/>
  <c r="K240" i="5"/>
  <c r="L240" i="5" s="1"/>
  <c r="M240" i="5" s="1"/>
  <c r="K89" i="5"/>
  <c r="L89" i="5" s="1"/>
  <c r="M89" i="5" s="1"/>
  <c r="K342" i="5"/>
  <c r="L342" i="5" s="1"/>
  <c r="M342" i="5" s="1"/>
  <c r="K33" i="5"/>
  <c r="L33" i="5" s="1"/>
  <c r="M33" i="5" s="1"/>
  <c r="K433" i="5"/>
  <c r="L433" i="5" s="1"/>
  <c r="M433" i="5" s="1"/>
  <c r="K382" i="5"/>
  <c r="L382" i="5" s="1"/>
  <c r="M382" i="5" s="1"/>
  <c r="K332" i="5"/>
  <c r="L332" i="5" s="1"/>
  <c r="M332" i="5" s="1"/>
  <c r="K236" i="5"/>
  <c r="L236" i="5" s="1"/>
  <c r="M236" i="5" s="1"/>
  <c r="K129" i="5"/>
  <c r="L129" i="5" s="1"/>
  <c r="M129" i="5" s="1"/>
  <c r="K32" i="5"/>
  <c r="L32" i="5" s="1"/>
  <c r="M32" i="5" s="1"/>
  <c r="K430" i="5"/>
  <c r="L430" i="5" s="1"/>
  <c r="M430" i="5" s="1"/>
  <c r="K124" i="5"/>
  <c r="L124" i="5" s="1"/>
  <c r="M124" i="5" s="1"/>
  <c r="K415" i="5"/>
  <c r="L415" i="5" s="1"/>
  <c r="M415" i="5" s="1"/>
  <c r="K374" i="5"/>
  <c r="L374" i="5" s="1"/>
  <c r="M374" i="5" s="1"/>
  <c r="K323" i="5"/>
  <c r="L323" i="5" s="1"/>
  <c r="M323" i="5" s="1"/>
  <c r="K272" i="5"/>
  <c r="L272" i="5" s="1"/>
  <c r="M272" i="5" s="1"/>
  <c r="K216" i="5"/>
  <c r="L216" i="5" s="1"/>
  <c r="M216" i="5" s="1"/>
  <c r="K174" i="5"/>
  <c r="L174" i="5" s="1"/>
  <c r="M174" i="5" s="1"/>
  <c r="K121" i="5"/>
  <c r="L121" i="5" s="1"/>
  <c r="M121" i="5" s="1"/>
  <c r="K65" i="5"/>
  <c r="L65" i="5" s="1"/>
  <c r="M65" i="5" s="1"/>
  <c r="K13" i="5"/>
  <c r="L13" i="5" s="1"/>
  <c r="M13" i="5" s="1"/>
  <c r="K432" i="5"/>
  <c r="L432" i="5" s="1"/>
  <c r="M432" i="5" s="1"/>
  <c r="K381" i="5"/>
  <c r="L381" i="5" s="1"/>
  <c r="M381" i="5" s="1"/>
  <c r="K330" i="5"/>
  <c r="L330" i="5" s="1"/>
  <c r="M330" i="5" s="1"/>
  <c r="K289" i="5"/>
  <c r="L289" i="5" s="1"/>
  <c r="M289" i="5" s="1"/>
  <c r="K235" i="5"/>
  <c r="L235" i="5" s="1"/>
  <c r="M235" i="5" s="1"/>
  <c r="K181" i="5"/>
  <c r="L181" i="5" s="1"/>
  <c r="M181" i="5" s="1"/>
  <c r="K125" i="5"/>
  <c r="L125" i="5" s="1"/>
  <c r="M125" i="5" s="1"/>
  <c r="K73" i="5"/>
  <c r="L73" i="5" s="1"/>
  <c r="M73" i="5" s="1"/>
  <c r="K30" i="5"/>
  <c r="L30" i="5" s="1"/>
  <c r="M30" i="5" s="1"/>
  <c r="K329" i="5"/>
  <c r="L329" i="5" s="1"/>
  <c r="M329" i="5" s="1"/>
  <c r="K285" i="5"/>
  <c r="L285" i="5" s="1"/>
  <c r="M285" i="5" s="1"/>
  <c r="K233" i="5"/>
  <c r="L233" i="5" s="1"/>
  <c r="M233" i="5" s="1"/>
  <c r="K180" i="5"/>
  <c r="L180" i="5" s="1"/>
  <c r="M180" i="5" s="1"/>
  <c r="K16" i="5"/>
  <c r="L16" i="5" s="1"/>
  <c r="M16" i="5" s="1"/>
  <c r="K429" i="5"/>
  <c r="L429" i="5" s="1"/>
  <c r="M429" i="5" s="1"/>
  <c r="K414" i="5"/>
  <c r="L414" i="5" s="1"/>
  <c r="M414" i="5" s="1"/>
  <c r="K373" i="5"/>
  <c r="L373" i="5" s="1"/>
  <c r="M373" i="5" s="1"/>
  <c r="K322" i="5"/>
  <c r="L322" i="5" s="1"/>
  <c r="M322" i="5" s="1"/>
  <c r="K270" i="5"/>
  <c r="L270" i="5" s="1"/>
  <c r="M270" i="5" s="1"/>
  <c r="K215" i="5"/>
  <c r="L215" i="5" s="1"/>
  <c r="M215" i="5" s="1"/>
  <c r="K173" i="5"/>
  <c r="L173" i="5" s="1"/>
  <c r="M173" i="5" s="1"/>
  <c r="K119" i="5"/>
  <c r="L119" i="5" s="1"/>
  <c r="M119" i="5" s="1"/>
  <c r="K64" i="5"/>
  <c r="L64" i="5" s="1"/>
  <c r="M6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<sst xmlns="http://schemas.openxmlformats.org/spreadsheetml/2006/main" count="5085" uniqueCount="479">
  <si>
    <t>EA</t>
  </si>
  <si>
    <t>ROCKAT LEAVES</t>
  </si>
  <si>
    <t>TOMATOES</t>
  </si>
  <si>
    <t>product_name</t>
  </si>
  <si>
    <t>product_group_ID</t>
  </si>
  <si>
    <t>inventory_unit</t>
  </si>
  <si>
    <t>purchase_price</t>
  </si>
  <si>
    <t>Number Of Units in One Case/Package</t>
  </si>
  <si>
    <t>BB REGULAR BUNS</t>
  </si>
  <si>
    <t>BUNS BIG TASTY 5"</t>
  </si>
  <si>
    <t>BB BIGMAC BUNS</t>
  </si>
  <si>
    <t>FRENCH FRIES LW</t>
  </si>
  <si>
    <t>LB</t>
  </si>
  <si>
    <t>FILET-O-FISH PATTY</t>
  </si>
  <si>
    <t>BIGTASTY SAUCE POUCH</t>
  </si>
  <si>
    <t>TUB</t>
  </si>
  <si>
    <t>MIX SUNDAE</t>
  </si>
  <si>
    <t>LTR</t>
  </si>
  <si>
    <t>CHEESE SLICES</t>
  </si>
  <si>
    <t>SLC</t>
  </si>
  <si>
    <t>CHEESE EMMENTAL</t>
  </si>
  <si>
    <t>SYRUP COCA COLA</t>
  </si>
  <si>
    <t>BB QUARTER BUNS</t>
  </si>
  <si>
    <t>SYRUP FANTA ORANGE</t>
  </si>
  <si>
    <t>ICECREAM CONE FORSAN</t>
  </si>
  <si>
    <t>CO2 CYLINDER-16 KG</t>
  </si>
  <si>
    <t>KG</t>
  </si>
  <si>
    <t>SALAD MUSTARD (NEW)</t>
  </si>
  <si>
    <t>ONION SLIVERED</t>
  </si>
  <si>
    <t>SALT 24PCS</t>
  </si>
  <si>
    <t>86:14 MFY SEASONING</t>
  </si>
  <si>
    <t>SYRUP DIET COKE</t>
  </si>
  <si>
    <t>BLACK PEPPER</t>
  </si>
  <si>
    <t>PKT</t>
  </si>
  <si>
    <t>KETCHUP PACKETS</t>
  </si>
  <si>
    <t>SUGAR PURE WHITE</t>
  </si>
  <si>
    <t>BIGMAC SAUCE POUCH</t>
  </si>
  <si>
    <t>DEHYDRATED ONION</t>
  </si>
  <si>
    <t>PKG</t>
  </si>
  <si>
    <t>TEA DILMAH</t>
  </si>
  <si>
    <t>PICKLES BAG(TURKEY)</t>
  </si>
  <si>
    <t>BAG</t>
  </si>
  <si>
    <t>TOPPING HOT FUDGE</t>
  </si>
  <si>
    <t>OZ</t>
  </si>
  <si>
    <t>TOPPING CARAMEL</t>
  </si>
  <si>
    <t>COLD LIDS 12OZ RPET</t>
  </si>
  <si>
    <t>COLD LIDS 16OZ RPET</t>
  </si>
  <si>
    <t>7OZ COLD CUPS</t>
  </si>
  <si>
    <t>BAG FRY SMALL</t>
  </si>
  <si>
    <t>PULPY ORANGE JUICE</t>
  </si>
  <si>
    <t>APPLE JUICE SYRUP</t>
  </si>
  <si>
    <t>12OZ COLD CUP</t>
  </si>
  <si>
    <t>BOX FRY REGULAR</t>
  </si>
  <si>
    <t>SYRUP SPRITE</t>
  </si>
  <si>
    <t>COFFEE STIRRER</t>
  </si>
  <si>
    <t>NAPKINS</t>
  </si>
  <si>
    <t>MILK VANILLA</t>
  </si>
  <si>
    <t>MILK CHOCOLATE</t>
  </si>
  <si>
    <t>STRAWS WRAPPED</t>
  </si>
  <si>
    <t>CARRIER 2 CUPS</t>
  </si>
  <si>
    <t>8OZ SUNDAE CUPS</t>
  </si>
  <si>
    <t>CLAM 6PCS NUG BOX</t>
  </si>
  <si>
    <t>SPOON SUNDAE WRAPPED</t>
  </si>
  <si>
    <t>WRAP BEEFBURGER</t>
  </si>
  <si>
    <t>CHEESEBURGER WRAP</t>
  </si>
  <si>
    <t>WRAP CHICKEN BURGER</t>
  </si>
  <si>
    <t>9 NUGGETS CLAMSHELL</t>
  </si>
  <si>
    <t>CLAMSHELL BIG MAC</t>
  </si>
  <si>
    <t>8OZ SUNDAE LID</t>
  </si>
  <si>
    <t>CLAMSHEL BIG TASTY</t>
  </si>
  <si>
    <t>REG GENERIC WRAP</t>
  </si>
  <si>
    <t>CONE WRAP SLEEVES</t>
  </si>
  <si>
    <t>CONE HOLDER</t>
  </si>
  <si>
    <t>CARRIER DRINK 4 CUPS</t>
  </si>
  <si>
    <t>TRAYLINER MCCAFE</t>
  </si>
  <si>
    <t>CHICKEN NUGGETS</t>
  </si>
  <si>
    <t>MAYO PACKETS 10GRMS</t>
  </si>
  <si>
    <t>WATER BOTTLED</t>
  </si>
  <si>
    <t>DRESSING CAESAR</t>
  </si>
  <si>
    <t>GRILLED CHICKEN</t>
  </si>
  <si>
    <t>GARLIC MAYO POUCH</t>
  </si>
  <si>
    <t>CHEESE PARMESAN</t>
  </si>
  <si>
    <t>COLD LIDS 30OZ RPET</t>
  </si>
  <si>
    <t>LIGHT MAYO POUCH</t>
  </si>
  <si>
    <t>SAUCE BBQ CUPS</t>
  </si>
  <si>
    <t>SWEET &amp; SOUR SAUCE</t>
  </si>
  <si>
    <t>BOX MEDIUM FRIES</t>
  </si>
  <si>
    <t>HAPPY TOY</t>
  </si>
  <si>
    <t>KETCHUP BULK</t>
  </si>
  <si>
    <t>SHREEDED LETUCE</t>
  </si>
  <si>
    <t>CLAMSHELL CKN BIGMAC</t>
  </si>
  <si>
    <t>HAPPY MEAL BOX</t>
  </si>
  <si>
    <t>30 OZ COLD CUPS</t>
  </si>
  <si>
    <t>OREO PIECES</t>
  </si>
  <si>
    <t>CLAMSHELL 4PCS NUGGE</t>
  </si>
  <si>
    <t>BOX FRY LARGE</t>
  </si>
  <si>
    <t>MCFLURRY SPOON</t>
  </si>
  <si>
    <t>MCFLURRY LID</t>
  </si>
  <si>
    <t>CUPS MCFLURRY OREO</t>
  </si>
  <si>
    <t>DOUBLE CHEESE WRAP</t>
  </si>
  <si>
    <t>DIJON MUSTARD POUCH</t>
  </si>
  <si>
    <t>BUNS WATER SPLIT 5"</t>
  </si>
  <si>
    <t>A BAG HOTPACK 2024</t>
  </si>
  <si>
    <t>B BAG HOTPACK 2024</t>
  </si>
  <si>
    <t>C BAG HOTPACK 2024</t>
  </si>
  <si>
    <t>BAG "D" WITH HANDLE</t>
  </si>
  <si>
    <t>E BAG HOTPACK 2024</t>
  </si>
  <si>
    <t>BAGS E WITH HANDLE</t>
  </si>
  <si>
    <t>CLEAR PLASTIC CUP</t>
  </si>
  <si>
    <t>FC GRAND CHKN PATTY</t>
  </si>
  <si>
    <t>MUSTARD MAYO POUCH</t>
  </si>
  <si>
    <t>CLAMSH GRAND CHICKEN</t>
  </si>
  <si>
    <t>ICEBERG SALAD LETTUC</t>
  </si>
  <si>
    <t>WRAPPED KNIFE</t>
  </si>
  <si>
    <t>WRAPPED FORK</t>
  </si>
  <si>
    <t>BREAK FAST ROLL</t>
  </si>
  <si>
    <t>14 OZ CLEAR CUP</t>
  </si>
  <si>
    <t>CLEAR PLASTIC LID</t>
  </si>
  <si>
    <t>CHICKEN SAUSAGE</t>
  </si>
  <si>
    <t>HASH BROWN</t>
  </si>
  <si>
    <t>ENGLISH MUFFINS(FSB)</t>
  </si>
  <si>
    <t>CLAMSHELL BREAKFAST</t>
  </si>
  <si>
    <t>WRAP MC MUFFIN</t>
  </si>
  <si>
    <t>HASH BROWN BAG</t>
  </si>
  <si>
    <t>RAHIMA EGGS</t>
  </si>
  <si>
    <t>12/16 MCCAFE LIDS</t>
  </si>
  <si>
    <t>UNSTALTED BUTTER</t>
  </si>
  <si>
    <t>FC MCHICKEN PATTY SP</t>
  </si>
  <si>
    <t>APPLE BITES</t>
  </si>
  <si>
    <t>10" GENERIC BALLOONS</t>
  </si>
  <si>
    <t>BALLOONS STICK</t>
  </si>
  <si>
    <t>12OZ MCCAFE HOT CUP</t>
  </si>
  <si>
    <t>10:1 BEEF PATTY BRF</t>
  </si>
  <si>
    <t>4:1 BEEF PATTY</t>
  </si>
  <si>
    <t>3:1 BEEF PATTY BRF</t>
  </si>
  <si>
    <t>FLAT BREAD (INDIA)</t>
  </si>
  <si>
    <t>SOUFFLE CUPS</t>
  </si>
  <si>
    <t>4OZ MCCAFE HOT CUPS</t>
  </si>
  <si>
    <t>16OZ MCCAFE HOT CUPS</t>
  </si>
  <si>
    <t>GENERIC YELLOW BAG</t>
  </si>
  <si>
    <t>MCARABIA CLAMSHELL</t>
  </si>
  <si>
    <t>GROUND COFFEE</t>
  </si>
  <si>
    <t>22OZ PAPER COLD CUPS</t>
  </si>
  <si>
    <t>COFFEE ROSTED BEANS</t>
  </si>
  <si>
    <t>12 OZ CLEAR CUP LID</t>
  </si>
  <si>
    <t>CHICKEN BURGER MALAY</t>
  </si>
  <si>
    <t>SALT FINE</t>
  </si>
  <si>
    <t>CHOCOLATE FRAPPE</t>
  </si>
  <si>
    <t>FC SPICY MCHICKEN PT</t>
  </si>
  <si>
    <t>10 OZ CLEAR CUP</t>
  </si>
  <si>
    <t>16OZ PAPER COLD CUP</t>
  </si>
  <si>
    <t>CLAMSHELL MCCHICKEN</t>
  </si>
  <si>
    <t>CLMASHELL ROYAL 4"</t>
  </si>
  <si>
    <t>CLAMSHELL QUARTER4"</t>
  </si>
  <si>
    <t>CLAMSHELL SPICY 4"</t>
  </si>
  <si>
    <t>CHARITY BOOKLET</t>
  </si>
  <si>
    <t>SPICY GRAND CHICKEN</t>
  </si>
  <si>
    <t>PINEAPPLESTICK FROZN</t>
  </si>
  <si>
    <t>JALAPENO CHEESEBITES</t>
  </si>
  <si>
    <t>KEEPCUP 8OZ</t>
  </si>
  <si>
    <t>KEEPCUP 12OZ</t>
  </si>
  <si>
    <t>SWEET CHILI SAUCE</t>
  </si>
  <si>
    <t>CHICKEN SLEEVES NEW</t>
  </si>
  <si>
    <t>FAJITA CHICKEN STRIP</t>
  </si>
  <si>
    <t>CROUTONS</t>
  </si>
  <si>
    <t>BREAKFAST WRAP BOX</t>
  </si>
  <si>
    <t>WHOLE MILK</t>
  </si>
  <si>
    <t>MUSHROOMS</t>
  </si>
  <si>
    <t>CLAMSHELL JALAPENO</t>
  </si>
  <si>
    <t>MILK CAPPUCCINO</t>
  </si>
  <si>
    <t>FC CHICKEN STRIPS</t>
  </si>
  <si>
    <t>CHICKEN MIDWINGS</t>
  </si>
  <si>
    <t>CHICKEN WING STICK</t>
  </si>
  <si>
    <t>3PCS MCWINGS BAG</t>
  </si>
  <si>
    <t>TRIPLE CHOCO COOKIE</t>
  </si>
  <si>
    <t>DOUBLE CHOCO COOKIE</t>
  </si>
  <si>
    <t>8" TORTILLA PLAIN</t>
  </si>
  <si>
    <t>WRAP CHICKEN BOX</t>
  </si>
  <si>
    <t>OPEN DOOR CERTIFICAT</t>
  </si>
  <si>
    <t>OPEN DOOR LEAFLETS</t>
  </si>
  <si>
    <t>MODELING BALLOONS</t>
  </si>
  <si>
    <t>PARTY HAT CARS</t>
  </si>
  <si>
    <t>PARTY HAT FASHION</t>
  </si>
  <si>
    <t>INVITATION CARD BOYS</t>
  </si>
  <si>
    <t>INVITATION CARD GIRL</t>
  </si>
  <si>
    <t>MAME STICKERS BOYS</t>
  </si>
  <si>
    <t>NAME STICKERS GIRLS</t>
  </si>
  <si>
    <t>TRAYMAT CARS</t>
  </si>
  <si>
    <t>TRAYMAT FASHION</t>
  </si>
  <si>
    <t>ACHIEVEMENT CERT BOY</t>
  </si>
  <si>
    <t>ACHIEVEMENT CERT GIR</t>
  </si>
  <si>
    <t>THANK YOU CARD BOYS</t>
  </si>
  <si>
    <t>THANK YOU CARD GIRLS</t>
  </si>
  <si>
    <t>PAPER PLATES CARS</t>
  </si>
  <si>
    <t>PAPER PLATES FASHION</t>
  </si>
  <si>
    <t>BIRTHDAY PAPER BAG</t>
  </si>
  <si>
    <t>MINI ASIAN CHK PATTY</t>
  </si>
  <si>
    <t>MCCAFE DONUT POUCH</t>
  </si>
  <si>
    <t>SYRUP COKE ZERO</t>
  </si>
  <si>
    <t>14/16 FLAT LIDS RPET</t>
  </si>
  <si>
    <t>CRISPY FRIED ONION</t>
  </si>
  <si>
    <t>INN</t>
  </si>
  <si>
    <t>4.5" DBL SPLIT BUN</t>
  </si>
  <si>
    <t>RED GENERIC SLEEVES</t>
  </si>
  <si>
    <t>BUTTERMILK CHICKEN</t>
  </si>
  <si>
    <t>STRAW AND FRIES PDP</t>
  </si>
  <si>
    <t>VROOM VROOM PDP</t>
  </si>
  <si>
    <t>HAPPY READER BOOKLET</t>
  </si>
  <si>
    <t>MCCAFE WHIPPED CREAM</t>
  </si>
  <si>
    <t>CHEESE CROISSANT</t>
  </si>
  <si>
    <t>ZAATAR CROISSANT</t>
  </si>
  <si>
    <t>CHOCOLATE CROISSANT</t>
  </si>
  <si>
    <t>DVG CHOCOLATE SAUCE</t>
  </si>
  <si>
    <t>DVG VANILLA SAUCE</t>
  </si>
  <si>
    <t>CARAMEL FLVRD SYRUP</t>
  </si>
  <si>
    <t>DAVINCI FRAPEAS PWDR</t>
  </si>
  <si>
    <t>DVG STRAWBERRY MIX</t>
  </si>
  <si>
    <t>16OZ MCCAFE CLR CUP</t>
  </si>
  <si>
    <t>16OZ MCCAFE DOME LID</t>
  </si>
  <si>
    <t>2MCCAFE CUP CARRIER</t>
  </si>
  <si>
    <t>4MCCAFE CUP CARRIER</t>
  </si>
  <si>
    <t>MCCAFE STRAWS 6.5MM</t>
  </si>
  <si>
    <t>MCCAFE PASTRY BOX</t>
  </si>
  <si>
    <t>MCCAFE 1/2 DOZEN BOX</t>
  </si>
  <si>
    <t>MCCAFE TRAY</t>
  </si>
  <si>
    <t>MCCAFE BOARD LINER</t>
  </si>
  <si>
    <t>MCCAFE BAG C W/ TCH</t>
  </si>
  <si>
    <t>MCCAFE BIG BAG 2023</t>
  </si>
  <si>
    <t>MCCAFE PASTRY BAG</t>
  </si>
  <si>
    <t>DVG CARAMEL SAUCE</t>
  </si>
  <si>
    <t>DAVINCI COOLER BASE</t>
  </si>
  <si>
    <t>FRESH BANANA</t>
  </si>
  <si>
    <t>FRESH MILK MCCAFE</t>
  </si>
  <si>
    <t>CHOCOLATE BURST</t>
  </si>
  <si>
    <t>STRAWBERRY BURST</t>
  </si>
  <si>
    <t>MOCHA CAPP BURST</t>
  </si>
  <si>
    <t>BUTTERSCOTCH BURST</t>
  </si>
  <si>
    <t>WOODEN STIRRER</t>
  </si>
  <si>
    <t>STYROLEX CUPS</t>
  </si>
  <si>
    <t>HONEY MUSTARD SAUCE</t>
  </si>
  <si>
    <t>MUNCH BAKERY COUPONS</t>
  </si>
  <si>
    <t>COLORING CRAYONS</t>
  </si>
  <si>
    <t>HIDE &amp; FIND PDP</t>
  </si>
  <si>
    <t>SHOOTING STAR PDP</t>
  </si>
  <si>
    <t>NAT'L DAY BALLOONS</t>
  </si>
  <si>
    <t>DECOR BALLOONS</t>
  </si>
  <si>
    <t>HAPPY DOMINO GAME</t>
  </si>
  <si>
    <t>SALAD BOWL &amp; LIDS</t>
  </si>
  <si>
    <t>COKE CANS</t>
  </si>
  <si>
    <t>FANTA CANS</t>
  </si>
  <si>
    <t>COKE ZERO CANS</t>
  </si>
  <si>
    <t>SPRITE CANS</t>
  </si>
  <si>
    <t>BROWN SUGAR LA BELLE</t>
  </si>
  <si>
    <t>MCCAFE TUMBLER</t>
  </si>
  <si>
    <t>1.5OZ CLEAR CUP&amp;LID</t>
  </si>
  <si>
    <t>12/16 OZ HOT SLEEVES</t>
  </si>
  <si>
    <t>MINIONS HBAND-BOB</t>
  </si>
  <si>
    <t>MINIONS HBAND-OTTO</t>
  </si>
  <si>
    <t>4OZ HOT LIDS</t>
  </si>
  <si>
    <t>PEPPER JACK CHEESE</t>
  </si>
  <si>
    <t>YELLOW GEN WRAP</t>
  </si>
  <si>
    <t>JALAPENO SLICES</t>
  </si>
  <si>
    <t>DVG WHITE CHOCO SAUC</t>
  </si>
  <si>
    <t>TAKEOUT BAG STICKERS</t>
  </si>
  <si>
    <t>MFY STICKER LABEL</t>
  </si>
  <si>
    <t>PERI-PERI SAUCE</t>
  </si>
  <si>
    <t>WET WIPES LIFEBUOY</t>
  </si>
  <si>
    <t>WATER BOTTLE C.GIFT</t>
  </si>
  <si>
    <t>CHIKKER CLAMSHELL</t>
  </si>
  <si>
    <t>CHIKKER BUNS</t>
  </si>
  <si>
    <t>CHILI JACK CHEESE</t>
  </si>
  <si>
    <t>CLAMSHELL CRISPY FIL</t>
  </si>
  <si>
    <t>ORIGINAL SPICY SAUCE</t>
  </si>
  <si>
    <t>SKIMMED MILK MCCAFE</t>
  </si>
  <si>
    <t>LACTOSE FREE MILK</t>
  </si>
  <si>
    <t>NESTLE CONDENSD MILK</t>
  </si>
  <si>
    <t>ALMARAI WHIPPING CRM</t>
  </si>
  <si>
    <t>DOTS COCONUT DONUTS</t>
  </si>
  <si>
    <t>DARK DUETS DONUTS</t>
  </si>
  <si>
    <t>DARK LONG DOTS DONUT</t>
  </si>
  <si>
    <t>GLAZED COATED DONUTS</t>
  </si>
  <si>
    <t>CHIPOTLE DIPPING</t>
  </si>
  <si>
    <t>PERI-PERI DIPPING</t>
  </si>
  <si>
    <t>BROWNIE TOPPINGS</t>
  </si>
  <si>
    <t>MINIONS PDP</t>
  </si>
  <si>
    <t>FRYING OIL</t>
  </si>
  <si>
    <t>SILICON TUMBLER</t>
  </si>
  <si>
    <t>DIAMOND TUMBLER</t>
  </si>
  <si>
    <t>COFFEE TUMBLER (NEW)</t>
  </si>
  <si>
    <t>4.5" BRIOCHE BUNS</t>
  </si>
  <si>
    <t>20 OZ MCCAFE COLDCUP</t>
  </si>
  <si>
    <t>CRUNCHY CHKN CLAMSHL</t>
  </si>
  <si>
    <t>PANINI STICKERS FIFA</t>
  </si>
  <si>
    <t>FIFA WC ARABIC PDP</t>
  </si>
  <si>
    <t>SHAKER FRIES BAG</t>
  </si>
  <si>
    <t>CHAR PERI-PERI SEASN</t>
  </si>
  <si>
    <t>LEMON LOAF CAKE</t>
  </si>
  <si>
    <t>MARBLE LOAF CAKE</t>
  </si>
  <si>
    <t>RECTANGULAR PATTY</t>
  </si>
  <si>
    <t>CHIPOTLE MAYONNAISE</t>
  </si>
  <si>
    <t>CHIPOTLE WRAP (NEW)</t>
  </si>
  <si>
    <t>LONG GLAZED BUN</t>
  </si>
  <si>
    <t>DVG BUTTERSCOTCH FLV</t>
  </si>
  <si>
    <t>TARTAR SAUCE</t>
  </si>
  <si>
    <t>FILET-O-FISH CLAMSHL</t>
  </si>
  <si>
    <t>MCPOPS BAGS</t>
  </si>
  <si>
    <t>CRAZELNUT MCPOPS</t>
  </si>
  <si>
    <t>SPILL PROOF STOPPER</t>
  </si>
  <si>
    <t>BACKPACK(WOTTOLINE)</t>
  </si>
  <si>
    <t>BALLOON GRIP</t>
  </si>
  <si>
    <t>DBL BIGMAC CLAMSHELL</t>
  </si>
  <si>
    <t>ASK AND GUESS PDP 23</t>
  </si>
  <si>
    <t>TRIPLE CHEESE WRAP</t>
  </si>
  <si>
    <t>BDAY CARDS (BOYS)</t>
  </si>
  <si>
    <t>BDAY CARDS (GIRLS)</t>
  </si>
  <si>
    <t>JUST DANCE F. PUPPET</t>
  </si>
  <si>
    <t>PUZZLE PDP</t>
  </si>
  <si>
    <t>LITTLE TASTY WRAP</t>
  </si>
  <si>
    <t>BLUE RASPBERRY BURST</t>
  </si>
  <si>
    <t>MINI ASIAN WRAP</t>
  </si>
  <si>
    <t>DBUP BIGTASTY CLAMSH</t>
  </si>
  <si>
    <t>DBUP MCCHIKEN CLAMSH</t>
  </si>
  <si>
    <t>COLORING FLAG PDP</t>
  </si>
  <si>
    <t>BACKPACK (NEW) 30PCS</t>
  </si>
  <si>
    <t>ACTION DICE PDP</t>
  </si>
  <si>
    <t>SHOPPING BAG</t>
  </si>
  <si>
    <t>BIG MAC TAG</t>
  </si>
  <si>
    <t>FRENCH FRIES TAG</t>
  </si>
  <si>
    <t>POKEMON HEADBAND</t>
  </si>
  <si>
    <t>SPRITE ZERO SYRUP</t>
  </si>
  <si>
    <t>CUSTARD&amp;COCOA DONUTS</t>
  </si>
  <si>
    <t>TABASCO CLAMSHELL</t>
  </si>
  <si>
    <t>CREAMY HOT TOMATO</t>
  </si>
  <si>
    <t>CHILICORN DUSTED BUN</t>
  </si>
  <si>
    <t>CRUNCHY MCSPCY CLAMS</t>
  </si>
  <si>
    <t>FC SPCY CHKN DELUXE</t>
  </si>
  <si>
    <t>DVG MANGO FRUIT MIX</t>
  </si>
  <si>
    <t>BIGTASTY SAUCE CUPS</t>
  </si>
  <si>
    <t>RAMADAN LANTERN</t>
  </si>
  <si>
    <t>SWEETCORN MAYONNAISE</t>
  </si>
  <si>
    <t>CHICKEN SLICES</t>
  </si>
  <si>
    <t>AUSTIN BBQ SAUCE</t>
  </si>
  <si>
    <t>MCCRISPY CLAMSHELL</t>
  </si>
  <si>
    <t>MCCRISPY CHKEN PATTY</t>
  </si>
  <si>
    <t>BLACK SESAME BUN</t>
  </si>
  <si>
    <t>RUSTIC FRIES LW</t>
  </si>
  <si>
    <t>BUENISSIMO BITES</t>
  </si>
  <si>
    <t>GENERIC CLAMSHELL</t>
  </si>
  <si>
    <t>NACHO CHEESE BITES</t>
  </si>
  <si>
    <t>NACHO CHEESE CLAMSHL</t>
  </si>
  <si>
    <t>HYSON GREEN TEA DLMA</t>
  </si>
  <si>
    <t>BREAKFAST TEA DILMAH</t>
  </si>
  <si>
    <t>DAIM TOPPINGS</t>
  </si>
  <si>
    <t>MCFLURRY DAIM CUPS</t>
  </si>
  <si>
    <t>DESPICABLE ME 4 PDP</t>
  </si>
  <si>
    <t>THERMO MUGS TUMBLER</t>
  </si>
  <si>
    <t>WAFFLE CONE (DARK)</t>
  </si>
  <si>
    <t>WAFFLE CONE HOLDER</t>
  </si>
  <si>
    <t>MCCAFE ROASTD COFFEE</t>
  </si>
  <si>
    <t>REG RUSTIC FRIES BOX</t>
  </si>
  <si>
    <t>MED RUSTIC FRIES BOX</t>
  </si>
  <si>
    <t>LAR RUSTIC FRIES BOX</t>
  </si>
  <si>
    <t>MCCAFE NESPRESSO</t>
  </si>
  <si>
    <t>SHAREBOX CLAMSHELL</t>
  </si>
  <si>
    <t>FC SPICY NUGGETS</t>
  </si>
  <si>
    <t>WILTOPIA HEADBAND</t>
  </si>
  <si>
    <t>WATCH RED MODEL</t>
  </si>
  <si>
    <t>WATCH YELLOW MODEL</t>
  </si>
  <si>
    <t>GHOST PEPPER SAUCE</t>
  </si>
  <si>
    <t>GENERIC PUZZLE PDP</t>
  </si>
  <si>
    <t>MCCRISPY HIGH CRUNCH</t>
  </si>
  <si>
    <t>SONIC BOARD GAME PDP</t>
  </si>
  <si>
    <t>POTATO BUN (RASHED)</t>
  </si>
  <si>
    <t>SMOKEY MAYO SAUCE</t>
  </si>
  <si>
    <t>THERMO MUGS (BROWN)</t>
  </si>
  <si>
    <t>CHOCO MUFFIN(PANIKE)</t>
  </si>
  <si>
    <t>SALTED CRMEL MUFFIN</t>
  </si>
  <si>
    <t>PET SIMULATOR (PDP)</t>
  </si>
  <si>
    <t>RAMADAN GIFT BOX</t>
  </si>
  <si>
    <t>INVITATION ARABIC</t>
  </si>
  <si>
    <t>INVITATION ENGLISH</t>
  </si>
  <si>
    <t>THANK YOU CARD PDP</t>
  </si>
  <si>
    <t>COCONUT MILK (ALPRO)</t>
  </si>
  <si>
    <t>SPICY MAGMA SAUCE</t>
  </si>
  <si>
    <t>GARLICMAYO CUPS(NEW)</t>
  </si>
  <si>
    <t>BDAY COLORING SHEET</t>
  </si>
  <si>
    <t>BDAY CONGRATS CERT</t>
  </si>
  <si>
    <t>BDAY PARTY HAT PDP</t>
  </si>
  <si>
    <t>BDAY TICKETS PDP</t>
  </si>
  <si>
    <t>MINECRAFT BUNDLE BOX</t>
  </si>
  <si>
    <t>MINECRAFT GMA TOYS</t>
  </si>
  <si>
    <t>MINECRAFT RED SHIRT</t>
  </si>
  <si>
    <t>MINECRAFT GREY SHIRT</t>
  </si>
  <si>
    <t>MINECRAFT MERCH BAG</t>
  </si>
  <si>
    <t>MINECRAFT SOCKS</t>
  </si>
  <si>
    <t>MASALA SEASONING</t>
  </si>
  <si>
    <t>KITKAT DONUT (POLND)</t>
  </si>
  <si>
    <t>MINECRAFT HEADBAND</t>
  </si>
  <si>
    <t>MATCHING GAME PDP</t>
  </si>
  <si>
    <t>CRDBRD BALLOON HOLDR</t>
  </si>
  <si>
    <t>MINI FLAT BREAD</t>
  </si>
  <si>
    <t>TAHINA SAUCE POUCH</t>
  </si>
  <si>
    <t>BEEF KUFTA PATTY</t>
  </si>
  <si>
    <t>LW CAMEMBERT CHEESE</t>
  </si>
  <si>
    <t>CHEESY BITES CLAMSHL</t>
  </si>
  <si>
    <t>MINI ARABIA CLMSHELL</t>
  </si>
  <si>
    <t>KITKAT MIX</t>
  </si>
  <si>
    <t>KITKAT SAUCE (AFRA)</t>
  </si>
  <si>
    <t>MASK W/ MSK DESIGN</t>
  </si>
  <si>
    <t>MASK W/ SMILE DESIGN</t>
  </si>
  <si>
    <t>MASK W/ STAR DESIGN</t>
  </si>
  <si>
    <t>GENERIC HEADBAND PDP</t>
  </si>
  <si>
    <t>PUZZLE PARK PDP</t>
  </si>
  <si>
    <t>CHOCOLATE SUNDAE MIX</t>
  </si>
  <si>
    <t>4 FLAP MCFLURRY CUPS</t>
  </si>
  <si>
    <t>PERI-PERI WRAP</t>
  </si>
  <si>
    <t>MINI OREO DONUTS</t>
  </si>
  <si>
    <t>CROCS PDP</t>
  </si>
  <si>
    <t>ASIAN SEASONING</t>
  </si>
  <si>
    <t>SPICY BT SAUCE CUP</t>
  </si>
  <si>
    <t>SPICY BIGTASTY SAUCE</t>
  </si>
  <si>
    <t>GREEN STNLESS TUMBLR</t>
  </si>
  <si>
    <t>LOTUS BISCOFF MCBTES</t>
  </si>
  <si>
    <t>8/9 OZ HOT CUP</t>
  </si>
  <si>
    <t>8/9 OZ HOT LIDS</t>
  </si>
  <si>
    <t>KARAK CHAI PREMIX</t>
  </si>
  <si>
    <t>MCCAIN SPICY WEDGES</t>
  </si>
  <si>
    <t>APPLE PIE</t>
  </si>
  <si>
    <t>APPLIE PIE BOX</t>
  </si>
  <si>
    <t>RETRO PINS</t>
  </si>
  <si>
    <t>MAC STICKERS</t>
  </si>
  <si>
    <t>PLAY MOBIL PDP</t>
  </si>
  <si>
    <t>CHEESE PILLOW ORGNAL</t>
  </si>
  <si>
    <t>CHZ PILLOWS CLAMSHLL</t>
  </si>
  <si>
    <t>SPICY HONEY DIPPING</t>
  </si>
  <si>
    <t>FC GARLIC CHCKN PATY</t>
  </si>
  <si>
    <t>SWICY WRAP</t>
  </si>
  <si>
    <t>FRENCH SEASONING</t>
  </si>
  <si>
    <t>3D STORE PDP</t>
  </si>
  <si>
    <t>MCLONG WRAP BOX</t>
  </si>
  <si>
    <t>10 OZ FLAT LID RPET</t>
  </si>
  <si>
    <t>Supplier ID</t>
  </si>
  <si>
    <t>Supplier Name</t>
  </si>
  <si>
    <t>UFS</t>
  </si>
  <si>
    <t>Al Rashed Bakery</t>
  </si>
  <si>
    <t>Kanaani Farms</t>
  </si>
  <si>
    <t>Coco-Cola</t>
  </si>
  <si>
    <t>Del Monte</t>
  </si>
  <si>
    <t>Description</t>
  </si>
  <si>
    <t>FOOD</t>
  </si>
  <si>
    <t>PAPER</t>
  </si>
  <si>
    <t>CONDIMENTS</t>
  </si>
  <si>
    <t>NON-PRODUCT</t>
  </si>
  <si>
    <t>Product_id</t>
  </si>
  <si>
    <t>location</t>
  </si>
  <si>
    <t>date</t>
  </si>
  <si>
    <t>type</t>
  </si>
  <si>
    <t>quantity</t>
  </si>
  <si>
    <t>Sale</t>
  </si>
  <si>
    <t>BALANCE</t>
  </si>
  <si>
    <t>Prediction Period</t>
  </si>
  <si>
    <t>Last Month Same Period</t>
  </si>
  <si>
    <t>Last Year Same Period</t>
  </si>
  <si>
    <t>product_id</t>
  </si>
  <si>
    <t>supplier_id</t>
  </si>
  <si>
    <t>Row Labels</t>
  </si>
  <si>
    <t>(blank)</t>
  </si>
  <si>
    <t>Grand Total</t>
  </si>
  <si>
    <t>Sum of quantity</t>
  </si>
  <si>
    <t>Usage Last Month Same Period</t>
  </si>
  <si>
    <t>Opening Inventory 1st Feb 2026</t>
  </si>
  <si>
    <t>Product Sale of Last Year Same Period</t>
  </si>
  <si>
    <t>UPT</t>
  </si>
  <si>
    <t>Product Sale of Last Month Same Period</t>
  </si>
  <si>
    <t>Expecting Sales Increase</t>
  </si>
  <si>
    <t>Number of Units need to be ordered</t>
  </si>
  <si>
    <t>No of cases needs to be ordered</t>
  </si>
  <si>
    <t>Projection</t>
  </si>
  <si>
    <t>Projected Product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</si>
</sst>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3" fontId="0" fillId="0" borderId="0" xfId="1" applyFont="1"/>
    <xf numFmtId="0" fontId="2" fillId="0" borderId="0" xfId="0" applyFont="1"/>
    <xf numFmtId="43" fontId="0" fillId="0" borderId="0" xfId="0" applyNumberFormat="1"/>
    <xf numFmtId="0" fontId="2" fillId="0" borderId="0" xfId="0" applyFont="1" applyAlignment="1">
      <alignment wrapText="1"/>
    </xf>
    <xf numFmtId="9" fontId="0" fillId="0" borderId="0" xfId="1" applyNumberFormat="1" applyFont="1"/>
    <xf numFmtId="0" fontId="1" fillId="0" borderId="0" xfId="0" applyFont="1" applyAlignment="1">
      <alignment wrapText="1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nan Thangadurai" refreshedDate="46078.57105752315" createdVersion="8" refreshedVersion="8" minRefreshableVersion="3" recordCount="3662" xr:uid="{B2B9E08C-AEB6-4D26-8DC1-576138C1D881}">
  <cacheSource type="worksheet">
    <worksheetSource ref="A1:E1048576" sheet="Usage"/>
  </cacheSource>
  <cacheFields count="5">
    <cacheField name="Product_id" numFmtId="0">
      <sharedItems containsString="0" containsBlank="1" containsNumber="1" containsInteger="1" minValue="1" maxValue="99999" count="524">
        <n v="1"/>
        <n v="2"/>
        <n v="3"/>
        <n v="4"/>
        <n v="5"/>
        <n v="6"/>
        <n v="7"/>
        <n v="8"/>
        <n v="9"/>
        <n v="10"/>
        <n v="12"/>
        <n v="13"/>
        <n v="19"/>
        <n v="20"/>
        <n v="21"/>
        <n v="23"/>
        <n v="26"/>
        <n v="31"/>
        <n v="33"/>
        <n v="42"/>
        <n v="45"/>
        <n v="48"/>
        <n v="50"/>
        <n v="55"/>
        <n v="56"/>
        <n v="62"/>
        <n v="63"/>
        <n v="65"/>
        <n v="67"/>
        <n v="69"/>
        <n v="70"/>
        <n v="76"/>
        <n v="86"/>
        <n v="90"/>
        <n v="93"/>
        <n v="94"/>
        <n v="97"/>
        <n v="98"/>
        <n v="101"/>
        <n v="102"/>
        <n v="103"/>
        <n v="109"/>
        <n v="110"/>
        <n v="111"/>
        <n v="116"/>
        <n v="117"/>
        <n v="118"/>
        <n v="127"/>
        <n v="128"/>
        <n v="131"/>
        <n v="141"/>
        <n v="142"/>
        <n v="143"/>
        <n v="155"/>
        <n v="163"/>
        <n v="166"/>
        <n v="168"/>
        <n v="170"/>
        <n v="187"/>
        <n v="193"/>
        <n v="205"/>
        <n v="206"/>
        <n v="209"/>
        <n v="210"/>
        <n v="223"/>
        <n v="247"/>
        <n v="253"/>
        <n v="254"/>
        <n v="261"/>
        <n v="262"/>
        <n v="268"/>
        <n v="269"/>
        <n v="284"/>
        <n v="285"/>
        <n v="288"/>
        <n v="289"/>
        <n v="295"/>
        <n v="300"/>
        <n v="311"/>
        <n v="330"/>
        <n v="335"/>
        <n v="336"/>
        <n v="337"/>
        <n v="382"/>
        <n v="385"/>
        <n v="386"/>
        <n v="391"/>
        <n v="397"/>
        <n v="398"/>
        <n v="406"/>
        <n v="407"/>
        <n v="408"/>
        <n v="409"/>
        <n v="410"/>
        <n v="419"/>
        <n v="472"/>
        <n v="483"/>
        <n v="591"/>
        <n v="592"/>
        <n v="609"/>
        <n v="708"/>
        <n v="731"/>
        <n v="736"/>
        <n v="803"/>
        <n v="804"/>
        <n v="808"/>
        <n v="821"/>
        <n v="880"/>
        <n v="894"/>
        <n v="994"/>
        <n v="995"/>
        <n v="996"/>
        <n v="997"/>
        <n v="1007"/>
        <n v="1116"/>
        <n v="1125"/>
        <n v="1127"/>
        <n v="1131"/>
        <n v="1139"/>
        <n v="1146"/>
        <n v="1179"/>
        <n v="1224"/>
        <n v="1242"/>
        <n v="1243"/>
        <n v="1244"/>
        <n v="1245"/>
        <n v="1394"/>
        <n v="1441"/>
        <n v="1494"/>
        <n v="1503"/>
        <n v="1541"/>
        <n v="1637"/>
        <n v="1782"/>
        <n v="1798"/>
        <n v="1799"/>
        <n v="1811"/>
        <n v="1812"/>
        <n v="1850"/>
        <n v="1863"/>
        <n v="1870"/>
        <n v="1912"/>
        <n v="2016"/>
        <n v="2254"/>
        <n v="2255"/>
        <n v="2399"/>
        <n v="2441"/>
        <n v="2442"/>
        <n v="2481"/>
        <n v="2540"/>
        <n v="2549"/>
        <n v="2550"/>
        <n v="2589"/>
        <n v="2590"/>
        <n v="2591"/>
        <n v="2601"/>
        <n v="2679"/>
        <n v="2683"/>
        <n v="2684"/>
        <n v="2685"/>
        <n v="2784"/>
        <n v="2785"/>
        <n v="2786"/>
        <n v="2787"/>
        <n v="2814"/>
        <n v="2815"/>
        <n v="2816"/>
        <n v="2817"/>
        <n v="2856"/>
        <n v="2872"/>
        <n v="2956"/>
        <n v="2963"/>
        <n v="3034"/>
        <n v="3087"/>
        <n v="3143"/>
        <n v="3206"/>
        <n v="3236"/>
        <n v="3278"/>
        <n v="3297"/>
        <n v="3309"/>
        <n v="3423"/>
        <n v="3439"/>
        <n v="3471"/>
        <n v="3488"/>
        <n v="3496"/>
        <n v="3557"/>
        <n v="3584"/>
        <n v="3593"/>
        <n v="3594"/>
        <n v="3595"/>
        <n v="3596"/>
        <n v="3597"/>
        <n v="3617"/>
        <n v="3636"/>
        <n v="3646"/>
        <n v="3647"/>
        <n v="3648"/>
        <n v="3735"/>
        <n v="3761"/>
        <n v="3815"/>
        <n v="3866"/>
        <n v="3867"/>
        <n v="3868"/>
        <n v="4027"/>
        <n v="4111"/>
        <n v="4209"/>
        <n v="4334"/>
        <n v="4422"/>
        <n v="4551"/>
        <n v="4596"/>
        <n v="4607"/>
        <n v="4703"/>
        <n v="4704"/>
        <n v="4853"/>
        <n v="4887"/>
        <n v="4926"/>
        <n v="4954"/>
        <n v="4970"/>
        <n v="4980"/>
        <n v="4995"/>
        <n v="4996"/>
        <n v="4997"/>
        <n v="4998"/>
        <n v="4999"/>
        <n v="5012"/>
        <n v="5054"/>
        <n v="5163"/>
        <n v="5209"/>
        <n v="5349"/>
        <n v="5351"/>
        <n v="5358"/>
        <n v="5378"/>
        <n v="5391"/>
        <n v="5429"/>
        <n v="5430"/>
        <n v="5431"/>
        <n v="5432"/>
        <n v="5444"/>
        <n v="5478"/>
        <n v="5481"/>
        <n v="5551"/>
        <n v="5552"/>
        <n v="5565"/>
        <n v="5664"/>
        <n v="5876"/>
        <n v="5935"/>
        <n v="5939"/>
        <n v="5983"/>
        <n v="6053"/>
        <n v="6094"/>
        <n v="6373"/>
        <n v="6374"/>
        <n v="6375"/>
        <n v="6376"/>
        <n v="6472"/>
        <n v="6477"/>
        <n v="6724"/>
        <n v="6757"/>
        <n v="6761"/>
        <n v="6776"/>
        <n v="6810"/>
        <n v="6811"/>
        <n v="6880"/>
        <n v="6928"/>
        <n v="7034"/>
        <n v="7127"/>
        <n v="7205"/>
        <n v="7206"/>
        <n v="7223"/>
        <n v="7301"/>
        <n v="7311"/>
        <n v="7312"/>
        <n v="7313"/>
        <n v="7326"/>
        <n v="7333"/>
        <n v="7421"/>
        <n v="7422"/>
        <n v="7634"/>
        <n v="7919"/>
        <n v="7920"/>
        <n v="7969"/>
        <n v="8159"/>
        <n v="8201"/>
        <n v="8207"/>
        <n v="8322"/>
        <n v="8541"/>
        <n v="8800"/>
        <n v="8801"/>
        <n v="8886"/>
        <n v="8951"/>
        <n v="8970"/>
        <n v="9110"/>
        <n v="9456"/>
        <n v="9903"/>
        <n v="9920"/>
        <n v="9930"/>
        <n v="9931"/>
        <n v="9972"/>
        <n v="10010"/>
        <n v="10264"/>
        <n v="10294"/>
        <n v="10295"/>
        <n v="10296"/>
        <n v="10297"/>
        <n v="10298"/>
        <n v="10299"/>
        <n v="10458"/>
        <n v="10550"/>
        <n v="10594"/>
        <n v="10595"/>
        <n v="10596"/>
        <n v="10597"/>
        <n v="10598"/>
        <n v="10599"/>
        <n v="10629"/>
        <n v="10683"/>
        <n v="10685"/>
        <n v="10754"/>
        <n v="10958"/>
        <n v="11056"/>
        <n v="11162"/>
        <n v="11172"/>
        <n v="11312"/>
        <n v="11313"/>
        <n v="11322"/>
        <n v="11323"/>
        <n v="11588"/>
        <n v="11597"/>
        <n v="11662"/>
        <n v="11663"/>
        <n v="11676"/>
        <n v="11720"/>
        <n v="11883"/>
        <n v="12037"/>
        <n v="12063"/>
        <n v="12234"/>
        <n v="12244"/>
        <n v="12245"/>
        <n v="12322"/>
        <n v="12713"/>
        <n v="13201"/>
        <n v="13229"/>
        <n v="13322"/>
        <n v="13450"/>
        <n v="13451"/>
        <n v="13537"/>
        <n v="13539"/>
        <n v="13540"/>
        <n v="13541"/>
        <n v="13542"/>
        <n v="13837"/>
        <n v="13874"/>
        <n v="14069"/>
        <n v="14165"/>
        <n v="14186"/>
        <n v="14198"/>
        <n v="14265"/>
        <n v="14410"/>
        <n v="14430"/>
        <n v="14540"/>
        <n v="14587"/>
        <n v="14707"/>
        <n v="14752"/>
        <n v="14838"/>
        <n v="15065"/>
        <n v="15114"/>
        <n v="15196"/>
        <n v="15306"/>
        <n v="15339"/>
        <n v="15394"/>
        <n v="15395"/>
        <n v="15652"/>
        <n v="15653"/>
        <n v="15678"/>
        <n v="15825"/>
        <n v="15982"/>
        <n v="16033"/>
        <n v="16045"/>
        <n v="16381"/>
        <n v="16387"/>
        <n v="16564"/>
        <n v="16565"/>
        <n v="16569"/>
        <n v="17091"/>
        <n v="17113"/>
        <n v="17362"/>
        <n v="17363"/>
        <n v="17383"/>
        <n v="17384"/>
        <n v="17385"/>
        <n v="17482"/>
        <n v="17515"/>
        <n v="17581"/>
        <n v="17588"/>
        <n v="17639"/>
        <n v="17771"/>
        <n v="17774"/>
        <n v="17775"/>
        <n v="17849"/>
        <n v="17947"/>
        <n v="18087"/>
        <n v="18088"/>
        <n v="18161"/>
        <n v="18229"/>
        <n v="18309"/>
        <n v="18310"/>
        <n v="18342"/>
        <n v="18471"/>
        <n v="18472"/>
        <n v="18626"/>
        <n v="18640"/>
        <n v="18649"/>
        <n v="19050"/>
        <n v="19051"/>
        <n v="19060"/>
        <n v="19235"/>
        <n v="19236"/>
        <n v="19346"/>
        <n v="19500"/>
        <n v="19541"/>
        <n v="19670"/>
        <n v="19701"/>
        <n v="20091"/>
        <n v="20096"/>
        <n v="20124"/>
        <n v="20245"/>
        <n v="22061"/>
        <n v="22070"/>
        <n v="22388"/>
        <n v="23991"/>
        <n v="24276"/>
        <n v="24737"/>
        <n v="24738"/>
        <n v="30139"/>
        <n v="30140"/>
        <n v="30154"/>
        <n v="34120"/>
        <n v="36055"/>
        <n v="36061"/>
        <n v="37089"/>
        <n v="39852"/>
        <n v="40076"/>
        <n v="40077"/>
        <n v="40078"/>
        <n v="40079"/>
        <n v="45695"/>
        <n v="80174"/>
        <n v="84522"/>
        <n v="84523"/>
        <n v="87096"/>
        <n v="87098"/>
        <n v="91426"/>
        <n v="91427"/>
        <n v="91428"/>
        <n v="91429"/>
        <n v="91430"/>
        <n v="91431"/>
        <n v="91432"/>
        <n v="91433"/>
        <n v="92009"/>
        <n v="92084"/>
        <n v="93111"/>
        <n v="94827"/>
        <n v="94830"/>
        <n v="94833"/>
        <n v="94836"/>
        <n v="94839"/>
        <n v="94842"/>
        <n v="94845"/>
        <n v="94848"/>
        <n v="94872"/>
        <n v="99078"/>
        <n v="99165"/>
        <n v="99166"/>
        <n v="99168"/>
        <n v="99169"/>
        <n v="99170"/>
        <n v="99216"/>
        <n v="99249"/>
        <n v="99305"/>
        <n v="99378"/>
        <n v="99422"/>
        <n v="99903"/>
        <n v="99906"/>
        <n v="99907"/>
        <n v="99908"/>
        <n v="99912"/>
        <n v="99913"/>
        <n v="99914"/>
        <n v="99915"/>
        <n v="99916"/>
        <n v="99917"/>
        <n v="99920"/>
        <n v="99929"/>
        <n v="99931"/>
        <n v="99932"/>
        <n v="99946"/>
        <n v="99967"/>
        <n v="99968"/>
        <n v="99969"/>
        <n v="99970"/>
        <n v="99971"/>
        <n v="99972"/>
        <n v="99973"/>
        <n v="99974"/>
        <n v="99977"/>
        <n v="99978"/>
        <n v="99979"/>
        <n v="99980"/>
        <n v="99981"/>
        <n v="99982"/>
        <n v="99983"/>
        <n v="99984"/>
        <n v="99985"/>
        <n v="99988"/>
        <n v="99989"/>
        <n v="99990"/>
        <n v="99991"/>
        <n v="99992"/>
        <n v="99993"/>
        <n v="99994"/>
        <n v="99995"/>
        <n v="99996"/>
        <n v="99999"/>
        <m/>
      </sharedItems>
    </cacheField>
    <cacheField name="location" numFmtId="0">
      <sharedItems containsString="0" containsBlank="1" containsNumber="1" containsInteger="1" minValue="1830197" maxValue="1830197"/>
    </cacheField>
    <cacheField name="date" numFmtId="0">
      <sharedItems containsNonDate="0" containsDate="1" containsString="0" containsBlank="1" minDate="2026-02-01T00:00:00" maxDate="2026-02-08T00:00:00"/>
    </cacheField>
    <cacheField name="type" numFmtId="0">
      <sharedItems containsBlank="1"/>
    </cacheField>
    <cacheField name="quantity" numFmtId="0">
      <sharedItems containsString="0" containsBlank="1" containsNumber="1" minValue="-6" maxValue="83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2">
  <r>
    <x v="0"/>
    <n v="1830197"/>
    <d v="2026-02-01T00:00:00"/>
    <s v="Sale"/>
    <n v="464"/>
  </r>
  <r>
    <x v="1"/>
    <n v="1830197"/>
    <d v="2026-02-01T00:00:00"/>
    <s v="Sale"/>
    <n v="71"/>
  </r>
  <r>
    <x v="2"/>
    <n v="1830197"/>
    <d v="2026-02-01T00:00:00"/>
    <s v="Sale"/>
    <n v="121"/>
  </r>
  <r>
    <x v="3"/>
    <n v="1830197"/>
    <d v="2026-02-01T00:00:00"/>
    <s v="Sale"/>
    <n v="494.49"/>
  </r>
  <r>
    <x v="4"/>
    <n v="1830197"/>
    <d v="2026-02-01T00:00:00"/>
    <s v="Sale"/>
    <n v="249"/>
  </r>
  <r>
    <x v="5"/>
    <n v="1830197"/>
    <d v="2026-02-01T00:00:00"/>
    <s v="Sale"/>
    <n v="26"/>
  </r>
  <r>
    <x v="6"/>
    <n v="1830197"/>
    <d v="2026-02-01T00:00:00"/>
    <s v="Sale"/>
    <n v="153"/>
  </r>
  <r>
    <x v="7"/>
    <n v="1830197"/>
    <d v="2026-02-01T00:00:00"/>
    <s v="Sale"/>
    <n v="0"/>
  </r>
  <r>
    <x v="8"/>
    <n v="1830197"/>
    <d v="2026-02-01T00:00:00"/>
    <s v="Sale"/>
    <n v="0"/>
  </r>
  <r>
    <x v="9"/>
    <n v="1830197"/>
    <d v="2026-02-01T00:00:00"/>
    <s v="Sale"/>
    <n v="4.1100000000000003"/>
  </r>
  <r>
    <x v="10"/>
    <n v="1830197"/>
    <d v="2026-02-01T00:00:00"/>
    <s v="Sale"/>
    <n v="10.119999999999999"/>
  </r>
  <r>
    <x v="11"/>
    <n v="1830197"/>
    <d v="2026-02-01T00:00:00"/>
    <s v="Sale"/>
    <n v="588"/>
  </r>
  <r>
    <x v="12"/>
    <n v="1830197"/>
    <d v="2026-02-01T00:00:00"/>
    <s v="Sale"/>
    <n v="40"/>
  </r>
  <r>
    <x v="13"/>
    <n v="1830197"/>
    <d v="2026-02-01T00:00:00"/>
    <s v="Sale"/>
    <n v="262"/>
  </r>
  <r>
    <x v="14"/>
    <n v="1830197"/>
    <d v="2026-02-01T00:00:00"/>
    <s v="Sale"/>
    <n v="2"/>
  </r>
  <r>
    <x v="15"/>
    <n v="1830197"/>
    <d v="2026-02-01T00:00:00"/>
    <s v="Sale"/>
    <n v="56"/>
  </r>
  <r>
    <x v="16"/>
    <n v="1830197"/>
    <d v="2026-02-01T00:00:00"/>
    <s v="Sale"/>
    <n v="0.02"/>
  </r>
  <r>
    <x v="17"/>
    <n v="1830197"/>
    <d v="2026-02-01T00:00:00"/>
    <s v="Sale"/>
    <n v="0"/>
  </r>
  <r>
    <x v="18"/>
    <n v="1830197"/>
    <d v="2026-02-01T00:00:00"/>
    <s v="Sale"/>
    <n v="0"/>
  </r>
  <r>
    <x v="19"/>
    <n v="1830197"/>
    <d v="2026-02-01T00:00:00"/>
    <s v="Sale"/>
    <n v="0"/>
  </r>
  <r>
    <x v="20"/>
    <n v="1830197"/>
    <d v="2026-02-01T00:00:00"/>
    <s v="Sale"/>
    <n v="2060"/>
  </r>
  <r>
    <x v="21"/>
    <n v="1830197"/>
    <d v="2026-02-01T00:00:00"/>
    <s v="Sale"/>
    <n v="0"/>
  </r>
  <r>
    <x v="22"/>
    <n v="1830197"/>
    <d v="2026-02-01T00:00:00"/>
    <s v="Sale"/>
    <n v="198"/>
  </r>
  <r>
    <x v="23"/>
    <n v="1830197"/>
    <d v="2026-02-01T00:00:00"/>
    <s v="Sale"/>
    <n v="2.1800000000000002"/>
  </r>
  <r>
    <x v="24"/>
    <n v="1830197"/>
    <d v="2026-02-01T00:00:00"/>
    <s v="Sale"/>
    <n v="1.04"/>
  </r>
  <r>
    <x v="25"/>
    <n v="1830197"/>
    <d v="2026-02-01T00:00:00"/>
    <s v="Sale"/>
    <n v="0"/>
  </r>
  <r>
    <x v="26"/>
    <n v="1830197"/>
    <d v="2026-02-01T00:00:00"/>
    <s v="Sale"/>
    <n v="0.52"/>
  </r>
  <r>
    <x v="27"/>
    <n v="1830197"/>
    <d v="2026-02-01T00:00:00"/>
    <s v="Sale"/>
    <n v="4.5"/>
  </r>
  <r>
    <x v="28"/>
    <n v="1830197"/>
    <d v="2026-02-01T00:00:00"/>
    <s v="Sale"/>
    <n v="0"/>
  </r>
  <r>
    <x v="29"/>
    <n v="1830197"/>
    <d v="2026-02-01T00:00:00"/>
    <s v="Sale"/>
    <n v="5"/>
  </r>
  <r>
    <x v="30"/>
    <n v="1830197"/>
    <d v="2026-02-01T00:00:00"/>
    <s v="Sale"/>
    <n v="1"/>
  </r>
  <r>
    <x v="31"/>
    <n v="1830197"/>
    <d v="2026-02-01T00:00:00"/>
    <s v="Sale"/>
    <n v="23"/>
  </r>
  <r>
    <x v="32"/>
    <n v="1830197"/>
    <d v="2026-02-01T00:00:00"/>
    <s v="Sale"/>
    <n v="88"/>
  </r>
  <r>
    <x v="33"/>
    <n v="1830197"/>
    <d v="2026-02-01T00:00:00"/>
    <s v="Sale"/>
    <n v="1"/>
  </r>
  <r>
    <x v="34"/>
    <n v="1830197"/>
    <d v="2026-02-01T00:00:00"/>
    <s v="Sale"/>
    <n v="0"/>
  </r>
  <r>
    <x v="35"/>
    <n v="1830197"/>
    <d v="2026-02-01T00:00:00"/>
    <s v="Sale"/>
    <n v="6"/>
  </r>
  <r>
    <x v="36"/>
    <n v="1830197"/>
    <d v="2026-02-01T00:00:00"/>
    <s v="Sale"/>
    <n v="0"/>
  </r>
  <r>
    <x v="37"/>
    <n v="1830197"/>
    <d v="2026-02-01T00:00:00"/>
    <s v="Sale"/>
    <n v="0"/>
  </r>
  <r>
    <x v="38"/>
    <n v="1830197"/>
    <d v="2026-02-01T00:00:00"/>
    <s v="Sale"/>
    <n v="44"/>
  </r>
  <r>
    <x v="39"/>
    <n v="1830197"/>
    <d v="2026-02-01T00:00:00"/>
    <s v="Sale"/>
    <n v="0"/>
  </r>
  <r>
    <x v="40"/>
    <n v="1830197"/>
    <d v="2026-02-01T00:00:00"/>
    <s v="Sale"/>
    <n v="6"/>
  </r>
  <r>
    <x v="41"/>
    <n v="1830197"/>
    <d v="2026-02-01T00:00:00"/>
    <s v="Sale"/>
    <n v="79"/>
  </r>
  <r>
    <x v="42"/>
    <n v="1830197"/>
    <d v="2026-02-01T00:00:00"/>
    <s v="Sale"/>
    <n v="33"/>
  </r>
  <r>
    <x v="43"/>
    <n v="1830197"/>
    <d v="2026-02-01T00:00:00"/>
    <s v="Sale"/>
    <n v="74"/>
  </r>
  <r>
    <x v="44"/>
    <n v="1830197"/>
    <d v="2026-02-01T00:00:00"/>
    <s v="Sale"/>
    <n v="131"/>
  </r>
  <r>
    <x v="45"/>
    <n v="1830197"/>
    <d v="2026-02-01T00:00:00"/>
    <s v="Sale"/>
    <n v="717"/>
  </r>
  <r>
    <x v="46"/>
    <n v="1830197"/>
    <d v="2026-02-01T00:00:00"/>
    <s v="Sale"/>
    <n v="0"/>
  </r>
  <r>
    <x v="47"/>
    <n v="1830197"/>
    <d v="2026-02-01T00:00:00"/>
    <s v="Sale"/>
    <n v="196"/>
  </r>
  <r>
    <x v="48"/>
    <n v="1830197"/>
    <d v="2026-02-01T00:00:00"/>
    <s v="Sale"/>
    <n v="0"/>
  </r>
  <r>
    <x v="49"/>
    <n v="1830197"/>
    <d v="2026-02-01T00:00:00"/>
    <s v="Sale"/>
    <n v="0"/>
  </r>
  <r>
    <x v="50"/>
    <n v="1830197"/>
    <d v="2026-02-01T00:00:00"/>
    <s v="Sale"/>
    <n v="0"/>
  </r>
  <r>
    <x v="51"/>
    <n v="1830197"/>
    <d v="2026-02-01T00:00:00"/>
    <s v="Sale"/>
    <n v="0"/>
  </r>
  <r>
    <x v="52"/>
    <n v="1830197"/>
    <d v="2026-02-01T00:00:00"/>
    <s v="Sale"/>
    <n v="0"/>
  </r>
  <r>
    <x v="53"/>
    <n v="1830197"/>
    <d v="2026-02-01T00:00:00"/>
    <s v="Sale"/>
    <n v="131"/>
  </r>
  <r>
    <x v="54"/>
    <n v="1830197"/>
    <d v="2026-02-01T00:00:00"/>
    <s v="Sale"/>
    <n v="312"/>
  </r>
  <r>
    <x v="55"/>
    <n v="1830197"/>
    <d v="2026-02-01T00:00:00"/>
    <s v="Sale"/>
    <n v="23"/>
  </r>
  <r>
    <x v="56"/>
    <n v="1830197"/>
    <d v="2026-02-01T00:00:00"/>
    <s v="Sale"/>
    <n v="4.5599999999999996"/>
  </r>
  <r>
    <x v="57"/>
    <n v="1830197"/>
    <d v="2026-02-01T00:00:00"/>
    <s v="Sale"/>
    <n v="0"/>
  </r>
  <r>
    <x v="58"/>
    <n v="1830197"/>
    <d v="2026-02-01T00:00:00"/>
    <s v="Sale"/>
    <n v="5"/>
  </r>
  <r>
    <x v="59"/>
    <n v="1830197"/>
    <d v="2026-02-01T00:00:00"/>
    <s v="Sale"/>
    <n v="6408"/>
  </r>
  <r>
    <x v="60"/>
    <n v="1830197"/>
    <d v="2026-02-01T00:00:00"/>
    <s v="Sale"/>
    <n v="0"/>
  </r>
  <r>
    <x v="61"/>
    <n v="1830197"/>
    <d v="2026-02-01T00:00:00"/>
    <s v="Sale"/>
    <n v="14"/>
  </r>
  <r>
    <x v="62"/>
    <n v="1830197"/>
    <d v="2026-02-01T00:00:00"/>
    <s v="Sale"/>
    <n v="0"/>
  </r>
  <r>
    <x v="63"/>
    <n v="1830197"/>
    <d v="2026-02-01T00:00:00"/>
    <s v="Sale"/>
    <n v="0"/>
  </r>
  <r>
    <x v="64"/>
    <n v="1830197"/>
    <d v="2026-02-01T00:00:00"/>
    <s v="Sale"/>
    <n v="1108"/>
  </r>
  <r>
    <x v="65"/>
    <n v="1830197"/>
    <d v="2026-02-01T00:00:00"/>
    <s v="Sale"/>
    <n v="0"/>
  </r>
  <r>
    <x v="66"/>
    <n v="1830197"/>
    <d v="2026-02-01T00:00:00"/>
    <s v="Sale"/>
    <n v="12.03"/>
  </r>
  <r>
    <x v="67"/>
    <n v="1830197"/>
    <d v="2026-02-01T00:00:00"/>
    <s v="Sale"/>
    <n v="6"/>
  </r>
  <r>
    <x v="68"/>
    <n v="1830197"/>
    <d v="2026-02-01T00:00:00"/>
    <s v="Sale"/>
    <n v="21"/>
  </r>
  <r>
    <x v="69"/>
    <n v="1830197"/>
    <d v="2026-02-01T00:00:00"/>
    <s v="Sale"/>
    <n v="0"/>
  </r>
  <r>
    <x v="70"/>
    <n v="1830197"/>
    <d v="2026-02-01T00:00:00"/>
    <s v="Sale"/>
    <n v="37"/>
  </r>
  <r>
    <x v="71"/>
    <n v="1830197"/>
    <d v="2026-02-01T00:00:00"/>
    <s v="Sale"/>
    <n v="48"/>
  </r>
  <r>
    <x v="72"/>
    <n v="1830197"/>
    <d v="2026-02-01T00:00:00"/>
    <s v="Sale"/>
    <n v="10"/>
  </r>
  <r>
    <x v="73"/>
    <n v="1830197"/>
    <d v="2026-02-01T00:00:00"/>
    <s v="Sale"/>
    <n v="32"/>
  </r>
  <r>
    <x v="74"/>
    <n v="1830197"/>
    <d v="2026-02-01T00:00:00"/>
    <s v="Sale"/>
    <n v="47"/>
  </r>
  <r>
    <x v="75"/>
    <n v="1830197"/>
    <d v="2026-02-01T00:00:00"/>
    <s v="Sale"/>
    <n v="0"/>
  </r>
  <r>
    <x v="76"/>
    <n v="1830197"/>
    <d v="2026-02-01T00:00:00"/>
    <s v="Sale"/>
    <n v="25"/>
  </r>
  <r>
    <x v="77"/>
    <n v="1830197"/>
    <d v="2026-02-01T00:00:00"/>
    <s v="Sale"/>
    <n v="0"/>
  </r>
  <r>
    <x v="78"/>
    <n v="1830197"/>
    <d v="2026-02-01T00:00:00"/>
    <s v="Sale"/>
    <n v="0"/>
  </r>
  <r>
    <x v="79"/>
    <n v="1830197"/>
    <d v="2026-02-01T00:00:00"/>
    <s v="Sale"/>
    <n v="6"/>
  </r>
  <r>
    <x v="80"/>
    <n v="1830197"/>
    <d v="2026-02-01T00:00:00"/>
    <s v="Sale"/>
    <n v="21"/>
  </r>
  <r>
    <x v="81"/>
    <n v="1830197"/>
    <d v="2026-02-01T00:00:00"/>
    <s v="Sale"/>
    <n v="0"/>
  </r>
  <r>
    <x v="82"/>
    <n v="1830197"/>
    <d v="2026-02-01T00:00:00"/>
    <s v="Sale"/>
    <n v="0"/>
  </r>
  <r>
    <x v="83"/>
    <n v="1830197"/>
    <d v="2026-02-01T00:00:00"/>
    <s v="Sale"/>
    <n v="0"/>
  </r>
  <r>
    <x v="84"/>
    <n v="1830197"/>
    <d v="2026-02-01T00:00:00"/>
    <s v="Sale"/>
    <n v="56"/>
  </r>
  <r>
    <x v="85"/>
    <n v="1830197"/>
    <d v="2026-02-01T00:00:00"/>
    <s v="Sale"/>
    <n v="0"/>
  </r>
  <r>
    <x v="86"/>
    <n v="1830197"/>
    <d v="2026-02-01T00:00:00"/>
    <s v="Sale"/>
    <n v="0"/>
  </r>
  <r>
    <x v="87"/>
    <n v="1830197"/>
    <d v="2026-02-01T00:00:00"/>
    <s v="Sale"/>
    <n v="0"/>
  </r>
  <r>
    <x v="88"/>
    <n v="1830197"/>
    <d v="2026-02-01T00:00:00"/>
    <s v="Sale"/>
    <n v="0"/>
  </r>
  <r>
    <x v="89"/>
    <n v="1830197"/>
    <d v="2026-02-01T00:00:00"/>
    <s v="Sale"/>
    <n v="0"/>
  </r>
  <r>
    <x v="90"/>
    <n v="1830197"/>
    <d v="2026-02-01T00:00:00"/>
    <s v="Sale"/>
    <n v="1325"/>
  </r>
  <r>
    <x v="91"/>
    <n v="1830197"/>
    <d v="2026-02-01T00:00:00"/>
    <s v="Sale"/>
    <n v="130"/>
  </r>
  <r>
    <x v="92"/>
    <n v="1830197"/>
    <d v="2026-02-01T00:00:00"/>
    <s v="Sale"/>
    <n v="0"/>
  </r>
  <r>
    <x v="93"/>
    <n v="1830197"/>
    <d v="2026-02-01T00:00:00"/>
    <s v="Sale"/>
    <n v="0"/>
  </r>
  <r>
    <x v="94"/>
    <n v="1830197"/>
    <d v="2026-02-01T00:00:00"/>
    <s v="Sale"/>
    <n v="288"/>
  </r>
  <r>
    <x v="95"/>
    <n v="1830197"/>
    <d v="2026-02-01T00:00:00"/>
    <s v="Sale"/>
    <n v="0"/>
  </r>
  <r>
    <x v="96"/>
    <n v="1830197"/>
    <d v="2026-02-01T00:00:00"/>
    <s v="Sale"/>
    <n v="197"/>
  </r>
  <r>
    <x v="97"/>
    <n v="1830197"/>
    <d v="2026-02-01T00:00:00"/>
    <s v="Sale"/>
    <n v="26"/>
  </r>
  <r>
    <x v="98"/>
    <n v="1830197"/>
    <d v="2026-02-01T00:00:00"/>
    <s v="Sale"/>
    <n v="67"/>
  </r>
  <r>
    <x v="99"/>
    <n v="1830197"/>
    <d v="2026-02-01T00:00:00"/>
    <s v="Sale"/>
    <n v="202"/>
  </r>
  <r>
    <x v="100"/>
    <n v="1830197"/>
    <d v="2026-02-01T00:00:00"/>
    <s v="Sale"/>
    <n v="8"/>
  </r>
  <r>
    <x v="101"/>
    <n v="1830197"/>
    <d v="2026-02-01T00:00:00"/>
    <s v="Sale"/>
    <n v="0"/>
  </r>
  <r>
    <x v="102"/>
    <n v="1830197"/>
    <d v="2026-02-01T00:00:00"/>
    <s v="Sale"/>
    <n v="48"/>
  </r>
  <r>
    <x v="103"/>
    <n v="1830197"/>
    <d v="2026-02-01T00:00:00"/>
    <s v="Sale"/>
    <n v="0"/>
  </r>
  <r>
    <x v="104"/>
    <n v="1830197"/>
    <d v="2026-02-01T00:00:00"/>
    <s v="Sale"/>
    <n v="0"/>
  </r>
  <r>
    <x v="105"/>
    <n v="1830197"/>
    <d v="2026-02-01T00:00:00"/>
    <s v="Sale"/>
    <n v="0"/>
  </r>
  <r>
    <x v="106"/>
    <n v="1830197"/>
    <d v="2026-02-01T00:00:00"/>
    <s v="Sale"/>
    <n v="325"/>
  </r>
  <r>
    <x v="107"/>
    <n v="1830197"/>
    <d v="2026-02-01T00:00:00"/>
    <s v="Sale"/>
    <n v="0"/>
  </r>
  <r>
    <x v="108"/>
    <n v="1830197"/>
    <d v="2026-02-01T00:00:00"/>
    <s v="Sale"/>
    <n v="0"/>
  </r>
  <r>
    <x v="109"/>
    <n v="1830197"/>
    <d v="2026-02-01T00:00:00"/>
    <s v="Sale"/>
    <n v="0"/>
  </r>
  <r>
    <x v="110"/>
    <n v="1830197"/>
    <d v="2026-02-01T00:00:00"/>
    <s v="Sale"/>
    <n v="0"/>
  </r>
  <r>
    <x v="111"/>
    <n v="1830197"/>
    <d v="2026-02-01T00:00:00"/>
    <s v="Sale"/>
    <n v="0"/>
  </r>
  <r>
    <x v="112"/>
    <n v="1830197"/>
    <d v="2026-02-01T00:00:00"/>
    <s v="Sale"/>
    <n v="0"/>
  </r>
  <r>
    <x v="113"/>
    <n v="1830197"/>
    <d v="2026-02-01T00:00:00"/>
    <s v="Sale"/>
    <n v="1.58"/>
  </r>
  <r>
    <x v="114"/>
    <n v="1830197"/>
    <d v="2026-02-01T00:00:00"/>
    <s v="Sale"/>
    <n v="21.21"/>
  </r>
  <r>
    <x v="115"/>
    <n v="1830197"/>
    <d v="2026-02-01T00:00:00"/>
    <s v="Sale"/>
    <n v="61"/>
  </r>
  <r>
    <x v="116"/>
    <n v="1830197"/>
    <d v="2026-02-01T00:00:00"/>
    <s v="Sale"/>
    <n v="0"/>
  </r>
  <r>
    <x v="117"/>
    <n v="1830197"/>
    <d v="2026-02-01T00:00:00"/>
    <s v="Sale"/>
    <n v="0"/>
  </r>
  <r>
    <x v="118"/>
    <n v="1830197"/>
    <d v="2026-02-01T00:00:00"/>
    <s v="Sale"/>
    <n v="457"/>
  </r>
  <r>
    <x v="119"/>
    <n v="1830197"/>
    <d v="2026-02-01T00:00:00"/>
    <s v="Sale"/>
    <n v="66"/>
  </r>
  <r>
    <x v="120"/>
    <n v="1830197"/>
    <d v="2026-02-01T00:00:00"/>
    <s v="Sale"/>
    <n v="20"/>
  </r>
  <r>
    <x v="121"/>
    <n v="1830197"/>
    <d v="2026-02-01T00:00:00"/>
    <s v="Sale"/>
    <n v="0"/>
  </r>
  <r>
    <x v="122"/>
    <n v="1830197"/>
    <d v="2026-02-01T00:00:00"/>
    <s v="Sale"/>
    <n v="213"/>
  </r>
  <r>
    <x v="123"/>
    <n v="1830197"/>
    <d v="2026-02-01T00:00:00"/>
    <s v="Sale"/>
    <n v="0"/>
  </r>
  <r>
    <x v="124"/>
    <n v="1830197"/>
    <d v="2026-02-01T00:00:00"/>
    <s v="Sale"/>
    <n v="0"/>
  </r>
  <r>
    <x v="125"/>
    <n v="1830197"/>
    <d v="2026-02-01T00:00:00"/>
    <s v="Sale"/>
    <n v="0"/>
  </r>
  <r>
    <x v="126"/>
    <n v="1830197"/>
    <d v="2026-02-01T00:00:00"/>
    <s v="Sale"/>
    <n v="0"/>
  </r>
  <r>
    <x v="127"/>
    <n v="1830197"/>
    <d v="2026-02-01T00:00:00"/>
    <s v="Sale"/>
    <n v="97"/>
  </r>
  <r>
    <x v="128"/>
    <n v="1830197"/>
    <d v="2026-02-01T00:00:00"/>
    <s v="Sale"/>
    <n v="0"/>
  </r>
  <r>
    <x v="129"/>
    <n v="1830197"/>
    <d v="2026-02-01T00:00:00"/>
    <s v="Sale"/>
    <n v="0"/>
  </r>
  <r>
    <x v="130"/>
    <n v="1830197"/>
    <d v="2026-02-01T00:00:00"/>
    <s v="Sale"/>
    <n v="1"/>
  </r>
  <r>
    <x v="131"/>
    <n v="1830197"/>
    <d v="2026-02-01T00:00:00"/>
    <s v="Sale"/>
    <n v="684"/>
  </r>
  <r>
    <x v="132"/>
    <n v="1830197"/>
    <d v="2026-02-01T00:00:00"/>
    <s v="Sale"/>
    <n v="0"/>
  </r>
  <r>
    <x v="133"/>
    <n v="1830197"/>
    <d v="2026-02-01T00:00:00"/>
    <s v="Sale"/>
    <n v="0"/>
  </r>
  <r>
    <x v="134"/>
    <n v="1830197"/>
    <d v="2026-02-01T00:00:00"/>
    <s v="Sale"/>
    <n v="0"/>
  </r>
  <r>
    <x v="135"/>
    <n v="1830197"/>
    <d v="2026-02-01T00:00:00"/>
    <s v="Sale"/>
    <n v="155"/>
  </r>
  <r>
    <x v="136"/>
    <n v="1830197"/>
    <d v="2026-02-01T00:00:00"/>
    <s v="Sale"/>
    <n v="0"/>
  </r>
  <r>
    <x v="137"/>
    <n v="1830197"/>
    <d v="2026-02-01T00:00:00"/>
    <s v="Sale"/>
    <n v="0"/>
  </r>
  <r>
    <x v="138"/>
    <n v="1830197"/>
    <d v="2026-02-01T00:00:00"/>
    <s v="Sale"/>
    <n v="0"/>
  </r>
  <r>
    <x v="139"/>
    <n v="1830197"/>
    <d v="2026-02-01T00:00:00"/>
    <s v="Sale"/>
    <n v="0"/>
  </r>
  <r>
    <x v="140"/>
    <n v="1830197"/>
    <d v="2026-02-01T00:00:00"/>
    <s v="Sale"/>
    <n v="0"/>
  </r>
  <r>
    <x v="141"/>
    <n v="1830197"/>
    <d v="2026-02-01T00:00:00"/>
    <s v="Sale"/>
    <n v="0"/>
  </r>
  <r>
    <x v="142"/>
    <n v="1830197"/>
    <d v="2026-02-01T00:00:00"/>
    <s v="Sale"/>
    <n v="1"/>
  </r>
  <r>
    <x v="143"/>
    <n v="1830197"/>
    <d v="2026-02-01T00:00:00"/>
    <s v="Sale"/>
    <n v="4"/>
  </r>
  <r>
    <x v="144"/>
    <n v="1830197"/>
    <d v="2026-02-01T00:00:00"/>
    <s v="Sale"/>
    <n v="6.68"/>
  </r>
  <r>
    <x v="145"/>
    <n v="1830197"/>
    <d v="2026-02-01T00:00:00"/>
    <s v="Sale"/>
    <n v="0"/>
  </r>
  <r>
    <x v="146"/>
    <n v="1830197"/>
    <d v="2026-02-01T00:00:00"/>
    <s v="Sale"/>
    <n v="0"/>
  </r>
  <r>
    <x v="147"/>
    <n v="1830197"/>
    <d v="2026-02-01T00:00:00"/>
    <s v="Sale"/>
    <n v="0.27"/>
  </r>
  <r>
    <x v="148"/>
    <n v="1830197"/>
    <d v="2026-02-01T00:00:00"/>
    <s v="Sale"/>
    <n v="10"/>
  </r>
  <r>
    <x v="149"/>
    <n v="1830197"/>
    <d v="2026-02-01T00:00:00"/>
    <s v="Sale"/>
    <n v="176"/>
  </r>
  <r>
    <x v="150"/>
    <n v="1830197"/>
    <d v="2026-02-01T00:00:00"/>
    <s v="Sale"/>
    <n v="13"/>
  </r>
  <r>
    <x v="151"/>
    <n v="1830197"/>
    <d v="2026-02-01T00:00:00"/>
    <s v="Sale"/>
    <n v="0"/>
  </r>
  <r>
    <x v="152"/>
    <n v="1830197"/>
    <d v="2026-02-01T00:00:00"/>
    <s v="Sale"/>
    <n v="0"/>
  </r>
  <r>
    <x v="153"/>
    <n v="1830197"/>
    <d v="2026-02-01T00:00:00"/>
    <s v="Sale"/>
    <n v="4"/>
  </r>
  <r>
    <x v="154"/>
    <n v="1830197"/>
    <d v="2026-02-01T00:00:00"/>
    <s v="Sale"/>
    <n v="0"/>
  </r>
  <r>
    <x v="155"/>
    <n v="1830197"/>
    <d v="2026-02-01T00:00:00"/>
    <s v="Sale"/>
    <n v="7.15"/>
  </r>
  <r>
    <x v="156"/>
    <n v="1830197"/>
    <d v="2026-02-01T00:00:00"/>
    <s v="Sale"/>
    <n v="0"/>
  </r>
  <r>
    <x v="157"/>
    <n v="1830197"/>
    <d v="2026-02-01T00:00:00"/>
    <s v="Sale"/>
    <n v="0"/>
  </r>
  <r>
    <x v="158"/>
    <n v="1830197"/>
    <d v="2026-02-01T00:00:00"/>
    <s v="Sale"/>
    <n v="0"/>
  </r>
  <r>
    <x v="159"/>
    <n v="1830197"/>
    <d v="2026-02-01T00:00:00"/>
    <s v="Sale"/>
    <n v="15.33"/>
  </r>
  <r>
    <x v="160"/>
    <n v="1830197"/>
    <d v="2026-02-01T00:00:00"/>
    <s v="Sale"/>
    <n v="1"/>
  </r>
  <r>
    <x v="161"/>
    <n v="1830197"/>
    <d v="2026-02-01T00:00:00"/>
    <s v="Sale"/>
    <n v="3"/>
  </r>
  <r>
    <x v="162"/>
    <n v="1830197"/>
    <d v="2026-02-01T00:00:00"/>
    <s v="Sale"/>
    <n v="7"/>
  </r>
  <r>
    <x v="163"/>
    <n v="1830197"/>
    <d v="2026-02-01T00:00:00"/>
    <s v="Sale"/>
    <n v="0"/>
  </r>
  <r>
    <x v="164"/>
    <n v="1830197"/>
    <d v="2026-02-01T00:00:00"/>
    <s v="Sale"/>
    <n v="0"/>
  </r>
  <r>
    <x v="165"/>
    <n v="1830197"/>
    <d v="2026-02-01T00:00:00"/>
    <s v="Sale"/>
    <n v="0"/>
  </r>
  <r>
    <x v="166"/>
    <n v="1830197"/>
    <d v="2026-02-01T00:00:00"/>
    <s v="Sale"/>
    <n v="0"/>
  </r>
  <r>
    <x v="167"/>
    <n v="1830197"/>
    <d v="2026-02-01T00:00:00"/>
    <s v="Sale"/>
    <n v="0"/>
  </r>
  <r>
    <x v="168"/>
    <n v="1830197"/>
    <d v="2026-02-01T00:00:00"/>
    <s v="Sale"/>
    <n v="0"/>
  </r>
  <r>
    <x v="169"/>
    <n v="1830197"/>
    <d v="2026-02-01T00:00:00"/>
    <s v="Sale"/>
    <n v="0"/>
  </r>
  <r>
    <x v="170"/>
    <n v="1830197"/>
    <d v="2026-02-01T00:00:00"/>
    <s v="Sale"/>
    <n v="0"/>
  </r>
  <r>
    <x v="171"/>
    <n v="1830197"/>
    <d v="2026-02-01T00:00:00"/>
    <s v="Sale"/>
    <n v="26"/>
  </r>
  <r>
    <x v="172"/>
    <n v="1830197"/>
    <d v="2026-02-01T00:00:00"/>
    <s v="Sale"/>
    <n v="188"/>
  </r>
  <r>
    <x v="173"/>
    <n v="1830197"/>
    <d v="2026-02-01T00:00:00"/>
    <s v="Sale"/>
    <n v="0"/>
  </r>
  <r>
    <x v="174"/>
    <n v="1830197"/>
    <d v="2026-02-01T00:00:00"/>
    <s v="Sale"/>
    <n v="2"/>
  </r>
  <r>
    <x v="175"/>
    <n v="1830197"/>
    <d v="2026-02-01T00:00:00"/>
    <s v="Sale"/>
    <n v="784"/>
  </r>
  <r>
    <x v="176"/>
    <n v="1830197"/>
    <d v="2026-02-01T00:00:00"/>
    <s v="Sale"/>
    <n v="202"/>
  </r>
  <r>
    <x v="177"/>
    <n v="1830197"/>
    <d v="2026-02-01T00:00:00"/>
    <s v="Sale"/>
    <n v="0"/>
  </r>
  <r>
    <x v="178"/>
    <n v="1830197"/>
    <d v="2026-02-01T00:00:00"/>
    <s v="Sale"/>
    <n v="50"/>
  </r>
  <r>
    <x v="179"/>
    <n v="1830197"/>
    <d v="2026-02-01T00:00:00"/>
    <s v="Sale"/>
    <n v="0.01"/>
  </r>
  <r>
    <x v="180"/>
    <n v="1830197"/>
    <d v="2026-02-01T00:00:00"/>
    <s v="Sale"/>
    <n v="0"/>
  </r>
  <r>
    <x v="181"/>
    <n v="1830197"/>
    <d v="2026-02-01T00:00:00"/>
    <s v="Sale"/>
    <n v="0.45"/>
  </r>
  <r>
    <x v="182"/>
    <n v="1830197"/>
    <d v="2026-02-01T00:00:00"/>
    <s v="Sale"/>
    <n v="0"/>
  </r>
  <r>
    <x v="183"/>
    <n v="1830197"/>
    <d v="2026-02-01T00:00:00"/>
    <s v="Sale"/>
    <n v="0"/>
  </r>
  <r>
    <x v="184"/>
    <n v="1830197"/>
    <d v="2026-02-01T00:00:00"/>
    <s v="Sale"/>
    <n v="0"/>
  </r>
  <r>
    <x v="185"/>
    <n v="1830197"/>
    <d v="2026-02-01T00:00:00"/>
    <s v="Sale"/>
    <n v="25"/>
  </r>
  <r>
    <x v="186"/>
    <n v="1830197"/>
    <d v="2026-02-01T00:00:00"/>
    <s v="Sale"/>
    <n v="66"/>
  </r>
  <r>
    <x v="187"/>
    <n v="1830197"/>
    <d v="2026-02-01T00:00:00"/>
    <s v="Sale"/>
    <n v="169"/>
  </r>
  <r>
    <x v="188"/>
    <n v="1830197"/>
    <d v="2026-02-01T00:00:00"/>
    <s v="Sale"/>
    <n v="0"/>
  </r>
  <r>
    <x v="189"/>
    <n v="1830197"/>
    <d v="2026-02-01T00:00:00"/>
    <s v="Sale"/>
    <n v="0"/>
  </r>
  <r>
    <x v="190"/>
    <n v="1830197"/>
    <d v="2026-02-01T00:00:00"/>
    <s v="Sale"/>
    <n v="17"/>
  </r>
  <r>
    <x v="191"/>
    <n v="1830197"/>
    <d v="2026-02-01T00:00:00"/>
    <s v="Sale"/>
    <n v="1.08"/>
  </r>
  <r>
    <x v="192"/>
    <n v="1830197"/>
    <d v="2026-02-01T00:00:00"/>
    <s v="Sale"/>
    <n v="0"/>
  </r>
  <r>
    <x v="193"/>
    <n v="1830197"/>
    <d v="2026-02-01T00:00:00"/>
    <s v="Sale"/>
    <n v="0"/>
  </r>
  <r>
    <x v="194"/>
    <n v="1830197"/>
    <d v="2026-02-01T00:00:00"/>
    <s v="Sale"/>
    <n v="0"/>
  </r>
  <r>
    <x v="195"/>
    <n v="1830197"/>
    <d v="2026-02-01T00:00:00"/>
    <s v="Sale"/>
    <n v="0"/>
  </r>
  <r>
    <x v="196"/>
    <n v="1830197"/>
    <d v="2026-02-01T00:00:00"/>
    <s v="Sale"/>
    <n v="0"/>
  </r>
  <r>
    <x v="197"/>
    <n v="1830197"/>
    <d v="2026-02-01T00:00:00"/>
    <s v="Sale"/>
    <n v="243"/>
  </r>
  <r>
    <x v="198"/>
    <n v="1830197"/>
    <d v="2026-02-01T00:00:00"/>
    <s v="Sale"/>
    <n v="0"/>
  </r>
  <r>
    <x v="199"/>
    <n v="1830197"/>
    <d v="2026-02-01T00:00:00"/>
    <s v="Sale"/>
    <n v="0"/>
  </r>
  <r>
    <x v="200"/>
    <n v="1830197"/>
    <d v="2026-02-01T00:00:00"/>
    <s v="Sale"/>
    <n v="0"/>
  </r>
  <r>
    <x v="201"/>
    <n v="1830197"/>
    <d v="2026-02-01T00:00:00"/>
    <s v="Sale"/>
    <n v="0"/>
  </r>
  <r>
    <x v="202"/>
    <n v="1830197"/>
    <d v="2026-02-01T00:00:00"/>
    <s v="Sale"/>
    <n v="0"/>
  </r>
  <r>
    <x v="203"/>
    <n v="1830197"/>
    <d v="2026-02-01T00:00:00"/>
    <s v="Sale"/>
    <n v="2"/>
  </r>
  <r>
    <x v="204"/>
    <n v="1830197"/>
    <d v="2026-02-01T00:00:00"/>
    <s v="Sale"/>
    <n v="1.05"/>
  </r>
  <r>
    <x v="205"/>
    <n v="1830197"/>
    <d v="2026-02-01T00:00:00"/>
    <s v="Sale"/>
    <n v="0"/>
  </r>
  <r>
    <x v="206"/>
    <n v="1830197"/>
    <d v="2026-02-01T00:00:00"/>
    <s v="Sale"/>
    <n v="0"/>
  </r>
  <r>
    <x v="207"/>
    <n v="1830197"/>
    <d v="2026-02-01T00:00:00"/>
    <s v="Sale"/>
    <n v="57"/>
  </r>
  <r>
    <x v="208"/>
    <n v="1830197"/>
    <d v="2026-02-01T00:00:00"/>
    <s v="Sale"/>
    <n v="0"/>
  </r>
  <r>
    <x v="209"/>
    <n v="1830197"/>
    <d v="2026-02-01T00:00:00"/>
    <s v="Sale"/>
    <n v="26"/>
  </r>
  <r>
    <x v="210"/>
    <n v="1830197"/>
    <d v="2026-02-01T00:00:00"/>
    <s v="Sale"/>
    <n v="0"/>
  </r>
  <r>
    <x v="211"/>
    <n v="1830197"/>
    <d v="2026-02-01T00:00:00"/>
    <s v="Sale"/>
    <n v="0"/>
  </r>
  <r>
    <x v="212"/>
    <n v="1830197"/>
    <d v="2026-02-01T00:00:00"/>
    <s v="Sale"/>
    <n v="114"/>
  </r>
  <r>
    <x v="213"/>
    <n v="1830197"/>
    <d v="2026-02-01T00:00:00"/>
    <s v="Sale"/>
    <n v="0"/>
  </r>
  <r>
    <x v="214"/>
    <n v="1830197"/>
    <d v="2026-02-01T00:00:00"/>
    <s v="Sale"/>
    <n v="0"/>
  </r>
  <r>
    <x v="215"/>
    <n v="1830197"/>
    <d v="2026-02-01T00:00:00"/>
    <s v="Sale"/>
    <n v="0"/>
  </r>
  <r>
    <x v="216"/>
    <n v="1830197"/>
    <d v="2026-02-01T00:00:00"/>
    <s v="Sale"/>
    <n v="0"/>
  </r>
  <r>
    <x v="217"/>
    <n v="1830197"/>
    <d v="2026-02-01T00:00:00"/>
    <s v="Sale"/>
    <n v="0"/>
  </r>
  <r>
    <x v="218"/>
    <n v="1830197"/>
    <d v="2026-02-01T00:00:00"/>
    <s v="Sale"/>
    <n v="0"/>
  </r>
  <r>
    <x v="219"/>
    <n v="1830197"/>
    <d v="2026-02-01T00:00:00"/>
    <s v="Sale"/>
    <n v="0"/>
  </r>
  <r>
    <x v="220"/>
    <n v="1830197"/>
    <d v="2026-02-01T00:00:00"/>
    <s v="Sale"/>
    <n v="8"/>
  </r>
  <r>
    <x v="221"/>
    <n v="1830197"/>
    <d v="2026-02-01T00:00:00"/>
    <s v="Sale"/>
    <n v="26"/>
  </r>
  <r>
    <x v="222"/>
    <n v="1830197"/>
    <d v="2026-02-01T00:00:00"/>
    <s v="Sale"/>
    <n v="359"/>
  </r>
  <r>
    <x v="223"/>
    <n v="1830197"/>
    <d v="2026-02-01T00:00:00"/>
    <s v="Sale"/>
    <n v="3.6"/>
  </r>
  <r>
    <x v="224"/>
    <n v="1830197"/>
    <d v="2026-02-01T00:00:00"/>
    <s v="Sale"/>
    <n v="11.27"/>
  </r>
  <r>
    <x v="225"/>
    <n v="1830197"/>
    <d v="2026-02-01T00:00:00"/>
    <s v="Sale"/>
    <n v="0"/>
  </r>
  <r>
    <x v="226"/>
    <n v="1830197"/>
    <d v="2026-02-01T00:00:00"/>
    <s v="Sale"/>
    <n v="1.06"/>
  </r>
  <r>
    <x v="227"/>
    <n v="1830197"/>
    <d v="2026-02-01T00:00:00"/>
    <s v="Sale"/>
    <n v="0"/>
  </r>
  <r>
    <x v="228"/>
    <n v="1830197"/>
    <d v="2026-02-01T00:00:00"/>
    <s v="Sale"/>
    <n v="0"/>
  </r>
  <r>
    <x v="229"/>
    <n v="1830197"/>
    <d v="2026-02-01T00:00:00"/>
    <s v="Sale"/>
    <n v="0"/>
  </r>
  <r>
    <x v="230"/>
    <n v="1830197"/>
    <d v="2026-02-01T00:00:00"/>
    <s v="Sale"/>
    <n v="0"/>
  </r>
  <r>
    <x v="231"/>
    <n v="1830197"/>
    <d v="2026-02-01T00:00:00"/>
    <s v="Sale"/>
    <n v="0"/>
  </r>
  <r>
    <x v="232"/>
    <n v="1830197"/>
    <d v="2026-02-01T00:00:00"/>
    <s v="Sale"/>
    <n v="4"/>
  </r>
  <r>
    <x v="233"/>
    <n v="1830197"/>
    <d v="2026-02-01T00:00:00"/>
    <s v="Sale"/>
    <n v="0"/>
  </r>
  <r>
    <x v="234"/>
    <n v="1830197"/>
    <d v="2026-02-01T00:00:00"/>
    <s v="Sale"/>
    <n v="0"/>
  </r>
  <r>
    <x v="235"/>
    <n v="1830197"/>
    <d v="2026-02-01T00:00:00"/>
    <s v="Sale"/>
    <n v="0"/>
  </r>
  <r>
    <x v="236"/>
    <n v="1830197"/>
    <d v="2026-02-01T00:00:00"/>
    <s v="Sale"/>
    <n v="0"/>
  </r>
  <r>
    <x v="237"/>
    <n v="1830197"/>
    <d v="2026-02-01T00:00:00"/>
    <s v="Sale"/>
    <n v="0"/>
  </r>
  <r>
    <x v="238"/>
    <n v="1830197"/>
    <d v="2026-02-01T00:00:00"/>
    <s v="Sale"/>
    <n v="0"/>
  </r>
  <r>
    <x v="239"/>
    <n v="1830197"/>
    <d v="2026-02-01T00:00:00"/>
    <s v="Sale"/>
    <n v="0"/>
  </r>
  <r>
    <x v="240"/>
    <n v="1830197"/>
    <d v="2026-02-01T00:00:00"/>
    <s v="Sale"/>
    <n v="27"/>
  </r>
  <r>
    <x v="241"/>
    <n v="1830197"/>
    <d v="2026-02-01T00:00:00"/>
    <s v="Sale"/>
    <n v="0"/>
  </r>
  <r>
    <x v="242"/>
    <n v="1830197"/>
    <d v="2026-02-01T00:00:00"/>
    <s v="Sale"/>
    <n v="1"/>
  </r>
  <r>
    <x v="243"/>
    <n v="1830197"/>
    <d v="2026-02-01T00:00:00"/>
    <s v="Sale"/>
    <n v="0"/>
  </r>
  <r>
    <x v="244"/>
    <n v="1830197"/>
    <d v="2026-02-01T00:00:00"/>
    <s v="Sale"/>
    <n v="0"/>
  </r>
  <r>
    <x v="245"/>
    <n v="1830197"/>
    <d v="2026-02-01T00:00:00"/>
    <s v="Sale"/>
    <n v="0"/>
  </r>
  <r>
    <x v="246"/>
    <n v="1830197"/>
    <d v="2026-02-01T00:00:00"/>
    <s v="Sale"/>
    <n v="8.92"/>
  </r>
  <r>
    <x v="247"/>
    <n v="1830197"/>
    <d v="2026-02-01T00:00:00"/>
    <s v="Sale"/>
    <n v="0"/>
  </r>
  <r>
    <x v="248"/>
    <n v="1830197"/>
    <d v="2026-02-01T00:00:00"/>
    <s v="Sale"/>
    <n v="11"/>
  </r>
  <r>
    <x v="249"/>
    <n v="1830197"/>
    <d v="2026-02-01T00:00:00"/>
    <s v="Sale"/>
    <n v="0"/>
  </r>
  <r>
    <x v="250"/>
    <n v="1830197"/>
    <d v="2026-02-01T00:00:00"/>
    <s v="Sale"/>
    <n v="0"/>
  </r>
  <r>
    <x v="251"/>
    <n v="1830197"/>
    <d v="2026-02-01T00:00:00"/>
    <s v="Sale"/>
    <n v="0"/>
  </r>
  <r>
    <x v="252"/>
    <n v="1830197"/>
    <d v="2026-02-01T00:00:00"/>
    <s v="Sale"/>
    <n v="0"/>
  </r>
  <r>
    <x v="253"/>
    <n v="1830197"/>
    <d v="2026-02-01T00:00:00"/>
    <s v="Sale"/>
    <n v="0"/>
  </r>
  <r>
    <x v="254"/>
    <n v="1830197"/>
    <d v="2026-02-01T00:00:00"/>
    <s v="Sale"/>
    <n v="0"/>
  </r>
  <r>
    <x v="255"/>
    <n v="1830197"/>
    <d v="2026-02-01T00:00:00"/>
    <s v="Sale"/>
    <n v="0"/>
  </r>
  <r>
    <x v="256"/>
    <n v="1830197"/>
    <d v="2026-02-01T00:00:00"/>
    <s v="Sale"/>
    <n v="0"/>
  </r>
  <r>
    <x v="257"/>
    <n v="1830197"/>
    <d v="2026-02-01T00:00:00"/>
    <s v="Sale"/>
    <n v="0"/>
  </r>
  <r>
    <x v="258"/>
    <n v="1830197"/>
    <d v="2026-02-01T00:00:00"/>
    <s v="Sale"/>
    <n v="0"/>
  </r>
  <r>
    <x v="259"/>
    <n v="1830197"/>
    <d v="2026-02-01T00:00:00"/>
    <s v="Sale"/>
    <n v="0"/>
  </r>
  <r>
    <x v="260"/>
    <n v="1830197"/>
    <d v="2026-02-01T00:00:00"/>
    <s v="Sale"/>
    <n v="244"/>
  </r>
  <r>
    <x v="261"/>
    <n v="1830197"/>
    <d v="2026-02-01T00:00:00"/>
    <s v="Sale"/>
    <n v="0"/>
  </r>
  <r>
    <x v="262"/>
    <n v="1830197"/>
    <d v="2026-02-01T00:00:00"/>
    <s v="Sale"/>
    <n v="1"/>
  </r>
  <r>
    <x v="263"/>
    <n v="1830197"/>
    <d v="2026-02-01T00:00:00"/>
    <s v="Sale"/>
    <n v="0"/>
  </r>
  <r>
    <x v="264"/>
    <n v="1830197"/>
    <d v="2026-02-01T00:00:00"/>
    <s v="Sale"/>
    <n v="1"/>
  </r>
  <r>
    <x v="265"/>
    <n v="1830197"/>
    <d v="2026-02-01T00:00:00"/>
    <s v="Sale"/>
    <n v="152"/>
  </r>
  <r>
    <x v="266"/>
    <n v="1830197"/>
    <d v="2026-02-01T00:00:00"/>
    <s v="Sale"/>
    <n v="85"/>
  </r>
  <r>
    <x v="267"/>
    <n v="1830197"/>
    <d v="2026-02-01T00:00:00"/>
    <s v="Sale"/>
    <n v="0"/>
  </r>
  <r>
    <x v="268"/>
    <n v="1830197"/>
    <d v="2026-02-01T00:00:00"/>
    <s v="Sale"/>
    <n v="66"/>
  </r>
  <r>
    <x v="269"/>
    <n v="1830197"/>
    <d v="2026-02-01T00:00:00"/>
    <s v="Sale"/>
    <n v="0"/>
  </r>
  <r>
    <x v="270"/>
    <n v="1830197"/>
    <d v="2026-02-01T00:00:00"/>
    <s v="Sale"/>
    <n v="0"/>
  </r>
  <r>
    <x v="271"/>
    <n v="1830197"/>
    <d v="2026-02-01T00:00:00"/>
    <s v="Sale"/>
    <n v="0"/>
  </r>
  <r>
    <x v="272"/>
    <n v="1830197"/>
    <d v="2026-02-01T00:00:00"/>
    <s v="Sale"/>
    <n v="0"/>
  </r>
  <r>
    <x v="273"/>
    <n v="1830197"/>
    <d v="2026-02-01T00:00:00"/>
    <s v="Sale"/>
    <n v="293"/>
  </r>
  <r>
    <x v="274"/>
    <n v="1830197"/>
    <d v="2026-02-01T00:00:00"/>
    <s v="Sale"/>
    <n v="0"/>
  </r>
  <r>
    <x v="275"/>
    <n v="1830197"/>
    <d v="2026-02-01T00:00:00"/>
    <s v="Sale"/>
    <n v="0.1"/>
  </r>
  <r>
    <x v="276"/>
    <n v="1830197"/>
    <d v="2026-02-01T00:00:00"/>
    <s v="Sale"/>
    <n v="5"/>
  </r>
  <r>
    <x v="277"/>
    <n v="1830197"/>
    <d v="2026-02-01T00:00:00"/>
    <s v="Sale"/>
    <n v="7.45"/>
  </r>
  <r>
    <x v="278"/>
    <n v="1830197"/>
    <d v="2026-02-01T00:00:00"/>
    <s v="Sale"/>
    <n v="186"/>
  </r>
  <r>
    <x v="279"/>
    <n v="1830197"/>
    <d v="2026-02-01T00:00:00"/>
    <s v="Sale"/>
    <n v="0"/>
  </r>
  <r>
    <x v="280"/>
    <n v="1830197"/>
    <d v="2026-02-01T00:00:00"/>
    <s v="Sale"/>
    <n v="0"/>
  </r>
  <r>
    <x v="281"/>
    <n v="1830197"/>
    <d v="2026-02-01T00:00:00"/>
    <s v="Sale"/>
    <n v="64"/>
  </r>
  <r>
    <x v="282"/>
    <n v="1830197"/>
    <d v="2026-02-01T00:00:00"/>
    <s v="Sale"/>
    <n v="0"/>
  </r>
  <r>
    <x v="283"/>
    <n v="1830197"/>
    <d v="2026-02-01T00:00:00"/>
    <s v="Sale"/>
    <n v="0"/>
  </r>
  <r>
    <x v="284"/>
    <n v="1830197"/>
    <d v="2026-02-01T00:00:00"/>
    <s v="Sale"/>
    <n v="6"/>
  </r>
  <r>
    <x v="285"/>
    <n v="1830197"/>
    <d v="2026-02-01T00:00:00"/>
    <s v="Sale"/>
    <n v="0"/>
  </r>
  <r>
    <x v="286"/>
    <n v="1830197"/>
    <d v="2026-02-01T00:00:00"/>
    <s v="Sale"/>
    <n v="0"/>
  </r>
  <r>
    <x v="287"/>
    <n v="1830197"/>
    <d v="2026-02-01T00:00:00"/>
    <s v="Sale"/>
    <n v="0"/>
  </r>
  <r>
    <x v="288"/>
    <n v="1830197"/>
    <d v="2026-02-01T00:00:00"/>
    <s v="Sale"/>
    <n v="0"/>
  </r>
  <r>
    <x v="289"/>
    <n v="1830197"/>
    <d v="2026-02-01T00:00:00"/>
    <s v="Sale"/>
    <n v="0"/>
  </r>
  <r>
    <x v="290"/>
    <n v="1830197"/>
    <d v="2026-02-01T00:00:00"/>
    <s v="Sale"/>
    <n v="79"/>
  </r>
  <r>
    <x v="291"/>
    <n v="1830197"/>
    <d v="2026-02-01T00:00:00"/>
    <s v="Sale"/>
    <n v="0"/>
  </r>
  <r>
    <x v="292"/>
    <n v="1830197"/>
    <d v="2026-02-01T00:00:00"/>
    <s v="Sale"/>
    <n v="0"/>
  </r>
  <r>
    <x v="293"/>
    <n v="1830197"/>
    <d v="2026-02-01T00:00:00"/>
    <s v="Sale"/>
    <n v="0"/>
  </r>
  <r>
    <x v="294"/>
    <n v="1830197"/>
    <d v="2026-02-01T00:00:00"/>
    <s v="Sale"/>
    <n v="0"/>
  </r>
  <r>
    <x v="295"/>
    <n v="1830197"/>
    <d v="2026-02-01T00:00:00"/>
    <s v="Sale"/>
    <n v="0"/>
  </r>
  <r>
    <x v="296"/>
    <n v="1830197"/>
    <d v="2026-02-01T00:00:00"/>
    <s v="Sale"/>
    <n v="0.1"/>
  </r>
  <r>
    <x v="297"/>
    <n v="1830197"/>
    <d v="2026-02-01T00:00:00"/>
    <s v="Sale"/>
    <n v="0"/>
  </r>
  <r>
    <x v="298"/>
    <n v="1830197"/>
    <d v="2026-02-01T00:00:00"/>
    <s v="Sale"/>
    <n v="0.05"/>
  </r>
  <r>
    <x v="299"/>
    <n v="1830197"/>
    <d v="2026-02-01T00:00:00"/>
    <s v="Sale"/>
    <n v="0"/>
  </r>
  <r>
    <x v="300"/>
    <n v="1830197"/>
    <d v="2026-02-01T00:00:00"/>
    <s v="Sale"/>
    <n v="0"/>
  </r>
  <r>
    <x v="301"/>
    <n v="1830197"/>
    <d v="2026-02-01T00:00:00"/>
    <s v="Sale"/>
    <n v="0"/>
  </r>
  <r>
    <x v="302"/>
    <n v="1830197"/>
    <d v="2026-02-01T00:00:00"/>
    <s v="Sale"/>
    <n v="0"/>
  </r>
  <r>
    <x v="303"/>
    <n v="1830197"/>
    <d v="2026-02-01T00:00:00"/>
    <s v="Sale"/>
    <n v="0"/>
  </r>
  <r>
    <x v="304"/>
    <n v="1830197"/>
    <d v="2026-02-01T00:00:00"/>
    <s v="Sale"/>
    <n v="0"/>
  </r>
  <r>
    <x v="305"/>
    <n v="1830197"/>
    <d v="2026-02-01T00:00:00"/>
    <s v="Sale"/>
    <n v="0"/>
  </r>
  <r>
    <x v="306"/>
    <n v="1830197"/>
    <d v="2026-02-01T00:00:00"/>
    <s v="Sale"/>
    <n v="67"/>
  </r>
  <r>
    <x v="307"/>
    <n v="1830197"/>
    <d v="2026-02-01T00:00:00"/>
    <s v="Sale"/>
    <n v="0"/>
  </r>
  <r>
    <x v="308"/>
    <n v="1830197"/>
    <d v="2026-02-01T00:00:00"/>
    <s v="Sale"/>
    <n v="0"/>
  </r>
  <r>
    <x v="309"/>
    <n v="1830197"/>
    <d v="2026-02-01T00:00:00"/>
    <s v="Sale"/>
    <n v="0"/>
  </r>
  <r>
    <x v="310"/>
    <n v="1830197"/>
    <d v="2026-02-01T00:00:00"/>
    <s v="Sale"/>
    <n v="1.5"/>
  </r>
  <r>
    <x v="311"/>
    <n v="1830197"/>
    <d v="2026-02-01T00:00:00"/>
    <s v="Sale"/>
    <n v="11"/>
  </r>
  <r>
    <x v="312"/>
    <n v="1830197"/>
    <d v="2026-02-01T00:00:00"/>
    <s v="Sale"/>
    <n v="0"/>
  </r>
  <r>
    <x v="313"/>
    <n v="1830197"/>
    <d v="2026-02-01T00:00:00"/>
    <s v="Sale"/>
    <n v="24"/>
  </r>
  <r>
    <x v="314"/>
    <n v="1830197"/>
    <d v="2026-02-01T00:00:00"/>
    <s v="Sale"/>
    <n v="0"/>
  </r>
  <r>
    <x v="315"/>
    <n v="1830197"/>
    <d v="2026-02-01T00:00:00"/>
    <s v="Sale"/>
    <n v="0"/>
  </r>
  <r>
    <x v="316"/>
    <n v="1830197"/>
    <d v="2026-02-01T00:00:00"/>
    <s v="Sale"/>
    <n v="0"/>
  </r>
  <r>
    <x v="317"/>
    <n v="1830197"/>
    <d v="2026-02-01T00:00:00"/>
    <s v="Sale"/>
    <n v="10"/>
  </r>
  <r>
    <x v="318"/>
    <n v="1830197"/>
    <d v="2026-02-01T00:00:00"/>
    <s v="Sale"/>
    <n v="0"/>
  </r>
  <r>
    <x v="319"/>
    <n v="1830197"/>
    <d v="2026-02-01T00:00:00"/>
    <s v="Sale"/>
    <n v="0"/>
  </r>
  <r>
    <x v="320"/>
    <n v="1830197"/>
    <d v="2026-02-01T00:00:00"/>
    <s v="Sale"/>
    <n v="0"/>
  </r>
  <r>
    <x v="321"/>
    <n v="1830197"/>
    <d v="2026-02-01T00:00:00"/>
    <s v="Sale"/>
    <n v="21"/>
  </r>
  <r>
    <x v="322"/>
    <n v="1830197"/>
    <d v="2026-02-01T00:00:00"/>
    <s v="Sale"/>
    <n v="0"/>
  </r>
  <r>
    <x v="323"/>
    <n v="1830197"/>
    <d v="2026-02-01T00:00:00"/>
    <s v="Sale"/>
    <n v="0"/>
  </r>
  <r>
    <x v="324"/>
    <n v="1830197"/>
    <d v="2026-02-01T00:00:00"/>
    <s v="Sale"/>
    <n v="0"/>
  </r>
  <r>
    <x v="325"/>
    <n v="1830197"/>
    <d v="2026-02-01T00:00:00"/>
    <s v="Sale"/>
    <n v="0"/>
  </r>
  <r>
    <x v="326"/>
    <n v="1830197"/>
    <d v="2026-02-01T00:00:00"/>
    <s v="Sale"/>
    <n v="0"/>
  </r>
  <r>
    <x v="327"/>
    <n v="1830197"/>
    <d v="2026-02-01T00:00:00"/>
    <s v="Sale"/>
    <n v="0"/>
  </r>
  <r>
    <x v="328"/>
    <n v="1830197"/>
    <d v="2026-02-01T00:00:00"/>
    <s v="Sale"/>
    <n v="0"/>
  </r>
  <r>
    <x v="329"/>
    <n v="1830197"/>
    <d v="2026-02-01T00:00:00"/>
    <s v="Sale"/>
    <n v="0"/>
  </r>
  <r>
    <x v="330"/>
    <n v="1830197"/>
    <d v="2026-02-01T00:00:00"/>
    <s v="Sale"/>
    <n v="0"/>
  </r>
  <r>
    <x v="331"/>
    <n v="1830197"/>
    <d v="2026-02-01T00:00:00"/>
    <s v="Sale"/>
    <n v="6"/>
  </r>
  <r>
    <x v="332"/>
    <n v="1830197"/>
    <d v="2026-02-01T00:00:00"/>
    <s v="Sale"/>
    <n v="0"/>
  </r>
  <r>
    <x v="333"/>
    <n v="1830197"/>
    <d v="2026-02-01T00:00:00"/>
    <s v="Sale"/>
    <n v="0"/>
  </r>
  <r>
    <x v="334"/>
    <n v="1830197"/>
    <d v="2026-02-01T00:00:00"/>
    <s v="Sale"/>
    <n v="12"/>
  </r>
  <r>
    <x v="335"/>
    <n v="1830197"/>
    <d v="2026-02-01T00:00:00"/>
    <s v="Sale"/>
    <n v="0"/>
  </r>
  <r>
    <x v="336"/>
    <n v="1830197"/>
    <d v="2026-02-01T00:00:00"/>
    <s v="Sale"/>
    <n v="0"/>
  </r>
  <r>
    <x v="337"/>
    <n v="1830197"/>
    <d v="2026-02-01T00:00:00"/>
    <s v="Sale"/>
    <n v="5"/>
  </r>
  <r>
    <x v="338"/>
    <n v="1830197"/>
    <d v="2026-02-01T00:00:00"/>
    <s v="Sale"/>
    <n v="27"/>
  </r>
  <r>
    <x v="339"/>
    <n v="1830197"/>
    <d v="2026-02-01T00:00:00"/>
    <s v="Sale"/>
    <n v="4"/>
  </r>
  <r>
    <x v="340"/>
    <n v="1830197"/>
    <d v="2026-02-01T00:00:00"/>
    <s v="Sale"/>
    <n v="0"/>
  </r>
  <r>
    <x v="341"/>
    <n v="1830197"/>
    <d v="2026-02-01T00:00:00"/>
    <s v="Sale"/>
    <n v="0"/>
  </r>
  <r>
    <x v="342"/>
    <n v="1830197"/>
    <d v="2026-02-01T00:00:00"/>
    <s v="Sale"/>
    <n v="0"/>
  </r>
  <r>
    <x v="343"/>
    <n v="1830197"/>
    <d v="2026-02-01T00:00:00"/>
    <s v="Sale"/>
    <n v="0"/>
  </r>
  <r>
    <x v="344"/>
    <n v="1830197"/>
    <d v="2026-02-01T00:00:00"/>
    <s v="Sale"/>
    <n v="0"/>
  </r>
  <r>
    <x v="345"/>
    <n v="1830197"/>
    <d v="2026-02-01T00:00:00"/>
    <s v="Sale"/>
    <n v="0"/>
  </r>
  <r>
    <x v="346"/>
    <n v="1830197"/>
    <d v="2026-02-01T00:00:00"/>
    <s v="Sale"/>
    <n v="0"/>
  </r>
  <r>
    <x v="347"/>
    <n v="1830197"/>
    <d v="2026-02-01T00:00:00"/>
    <s v="Sale"/>
    <n v="0"/>
  </r>
  <r>
    <x v="348"/>
    <n v="1830197"/>
    <d v="2026-02-01T00:00:00"/>
    <s v="Sale"/>
    <n v="0"/>
  </r>
  <r>
    <x v="349"/>
    <n v="1830197"/>
    <d v="2026-02-01T00:00:00"/>
    <s v="Sale"/>
    <n v="0"/>
  </r>
  <r>
    <x v="350"/>
    <n v="1830197"/>
    <d v="2026-02-01T00:00:00"/>
    <s v="Sale"/>
    <n v="0"/>
  </r>
  <r>
    <x v="351"/>
    <n v="1830197"/>
    <d v="2026-02-01T00:00:00"/>
    <s v="Sale"/>
    <n v="0"/>
  </r>
  <r>
    <x v="352"/>
    <n v="1830197"/>
    <d v="2026-02-01T00:00:00"/>
    <s v="Sale"/>
    <n v="68"/>
  </r>
  <r>
    <x v="353"/>
    <n v="1830197"/>
    <d v="2026-02-01T00:00:00"/>
    <s v="Sale"/>
    <n v="0"/>
  </r>
  <r>
    <x v="354"/>
    <n v="1830197"/>
    <d v="2026-02-01T00:00:00"/>
    <s v="Sale"/>
    <n v="0"/>
  </r>
  <r>
    <x v="355"/>
    <n v="1830197"/>
    <d v="2026-02-01T00:00:00"/>
    <s v="Sale"/>
    <n v="0"/>
  </r>
  <r>
    <x v="356"/>
    <n v="1830197"/>
    <d v="2026-02-01T00:00:00"/>
    <s v="Sale"/>
    <n v="0"/>
  </r>
  <r>
    <x v="357"/>
    <n v="1830197"/>
    <d v="2026-02-01T00:00:00"/>
    <s v="Sale"/>
    <n v="0.1"/>
  </r>
  <r>
    <x v="358"/>
    <n v="1830197"/>
    <d v="2026-02-01T00:00:00"/>
    <s v="Sale"/>
    <n v="0"/>
  </r>
  <r>
    <x v="359"/>
    <n v="1830197"/>
    <d v="2026-02-01T00:00:00"/>
    <s v="Sale"/>
    <n v="0"/>
  </r>
  <r>
    <x v="360"/>
    <n v="1830197"/>
    <d v="2026-02-01T00:00:00"/>
    <s v="Sale"/>
    <n v="0"/>
  </r>
  <r>
    <x v="361"/>
    <n v="1830197"/>
    <d v="2026-02-01T00:00:00"/>
    <s v="Sale"/>
    <n v="0"/>
  </r>
  <r>
    <x v="362"/>
    <n v="1830197"/>
    <d v="2026-02-01T00:00:00"/>
    <s v="Sale"/>
    <n v="0"/>
  </r>
  <r>
    <x v="363"/>
    <n v="1830197"/>
    <d v="2026-02-01T00:00:00"/>
    <s v="Sale"/>
    <n v="0"/>
  </r>
  <r>
    <x v="364"/>
    <n v="1830197"/>
    <d v="2026-02-01T00:00:00"/>
    <s v="Sale"/>
    <n v="0"/>
  </r>
  <r>
    <x v="365"/>
    <n v="1830197"/>
    <d v="2026-02-01T00:00:00"/>
    <s v="Sale"/>
    <n v="0"/>
  </r>
  <r>
    <x v="366"/>
    <n v="1830197"/>
    <d v="2026-02-01T00:00:00"/>
    <s v="Sale"/>
    <n v="0"/>
  </r>
  <r>
    <x v="367"/>
    <n v="1830197"/>
    <d v="2026-02-01T00:00:00"/>
    <s v="Sale"/>
    <n v="0"/>
  </r>
  <r>
    <x v="368"/>
    <n v="1830197"/>
    <d v="2026-02-01T00:00:00"/>
    <s v="Sale"/>
    <n v="0"/>
  </r>
  <r>
    <x v="369"/>
    <n v="1830197"/>
    <d v="2026-02-01T00:00:00"/>
    <s v="Sale"/>
    <n v="0"/>
  </r>
  <r>
    <x v="370"/>
    <n v="1830197"/>
    <d v="2026-02-01T00:00:00"/>
    <s v="Sale"/>
    <n v="0"/>
  </r>
  <r>
    <x v="371"/>
    <n v="1830197"/>
    <d v="2026-02-01T00:00:00"/>
    <s v="Sale"/>
    <n v="0"/>
  </r>
  <r>
    <x v="372"/>
    <n v="1830197"/>
    <d v="2026-02-01T00:00:00"/>
    <s v="Sale"/>
    <n v="42"/>
  </r>
  <r>
    <x v="373"/>
    <n v="1830197"/>
    <d v="2026-02-01T00:00:00"/>
    <s v="Sale"/>
    <n v="-1"/>
  </r>
  <r>
    <x v="374"/>
    <n v="1830197"/>
    <d v="2026-02-01T00:00:00"/>
    <s v="Sale"/>
    <n v="0.23"/>
  </r>
  <r>
    <x v="375"/>
    <n v="1830197"/>
    <d v="2026-02-01T00:00:00"/>
    <s v="Sale"/>
    <n v="0"/>
  </r>
  <r>
    <x v="376"/>
    <n v="1830197"/>
    <d v="2026-02-01T00:00:00"/>
    <s v="Sale"/>
    <n v="0"/>
  </r>
  <r>
    <x v="377"/>
    <n v="1830197"/>
    <d v="2026-02-01T00:00:00"/>
    <s v="Sale"/>
    <n v="0"/>
  </r>
  <r>
    <x v="378"/>
    <n v="1830197"/>
    <d v="2026-02-01T00:00:00"/>
    <s v="Sale"/>
    <n v="6"/>
  </r>
  <r>
    <x v="379"/>
    <n v="1830197"/>
    <d v="2026-02-01T00:00:00"/>
    <s v="Sale"/>
    <n v="0"/>
  </r>
  <r>
    <x v="380"/>
    <n v="1830197"/>
    <d v="2026-02-01T00:00:00"/>
    <s v="Sale"/>
    <n v="0"/>
  </r>
  <r>
    <x v="381"/>
    <n v="1830197"/>
    <d v="2026-02-01T00:00:00"/>
    <s v="Sale"/>
    <n v="0"/>
  </r>
  <r>
    <x v="382"/>
    <n v="1830197"/>
    <d v="2026-02-01T00:00:00"/>
    <s v="Sale"/>
    <n v="0"/>
  </r>
  <r>
    <x v="383"/>
    <n v="1830197"/>
    <d v="2026-02-01T00:00:00"/>
    <s v="Sale"/>
    <n v="0"/>
  </r>
  <r>
    <x v="384"/>
    <n v="1830197"/>
    <d v="2026-02-01T00:00:00"/>
    <s v="Sale"/>
    <n v="0"/>
  </r>
  <r>
    <x v="385"/>
    <n v="1830197"/>
    <d v="2026-02-01T00:00:00"/>
    <s v="Sale"/>
    <n v="0"/>
  </r>
  <r>
    <x v="386"/>
    <n v="1830197"/>
    <d v="2026-02-01T00:00:00"/>
    <s v="Sale"/>
    <n v="0"/>
  </r>
  <r>
    <x v="387"/>
    <n v="1830197"/>
    <d v="2026-02-01T00:00:00"/>
    <s v="Sale"/>
    <n v="0"/>
  </r>
  <r>
    <x v="388"/>
    <n v="1830197"/>
    <d v="2026-02-01T00:00:00"/>
    <s v="Sale"/>
    <n v="0"/>
  </r>
  <r>
    <x v="389"/>
    <n v="1830197"/>
    <d v="2026-02-01T00:00:00"/>
    <s v="Sale"/>
    <n v="0"/>
  </r>
  <r>
    <x v="390"/>
    <n v="1830197"/>
    <d v="2026-02-01T00:00:00"/>
    <s v="Sale"/>
    <n v="4"/>
  </r>
  <r>
    <x v="391"/>
    <n v="1830197"/>
    <d v="2026-02-01T00:00:00"/>
    <s v="Sale"/>
    <n v="43"/>
  </r>
  <r>
    <x v="392"/>
    <n v="1830197"/>
    <d v="2026-02-01T00:00:00"/>
    <s v="Sale"/>
    <n v="0"/>
  </r>
  <r>
    <x v="393"/>
    <n v="1830197"/>
    <d v="2026-02-01T00:00:00"/>
    <s v="Sale"/>
    <n v="0"/>
  </r>
  <r>
    <x v="394"/>
    <n v="1830197"/>
    <d v="2026-02-01T00:00:00"/>
    <s v="Sale"/>
    <n v="0"/>
  </r>
  <r>
    <x v="395"/>
    <n v="1830197"/>
    <d v="2026-02-01T00:00:00"/>
    <s v="Sale"/>
    <n v="0"/>
  </r>
  <r>
    <x v="396"/>
    <n v="1830197"/>
    <d v="2026-02-01T00:00:00"/>
    <s v="Sale"/>
    <n v="0"/>
  </r>
  <r>
    <x v="397"/>
    <n v="1830197"/>
    <d v="2026-02-01T00:00:00"/>
    <s v="Sale"/>
    <n v="0"/>
  </r>
  <r>
    <x v="398"/>
    <n v="1830197"/>
    <d v="2026-02-01T00:00:00"/>
    <s v="Sale"/>
    <n v="0"/>
  </r>
  <r>
    <x v="399"/>
    <n v="1830197"/>
    <d v="2026-02-01T00:00:00"/>
    <s v="Sale"/>
    <n v="0"/>
  </r>
  <r>
    <x v="400"/>
    <n v="1830197"/>
    <d v="2026-02-01T00:00:00"/>
    <s v="Sale"/>
    <n v="0"/>
  </r>
  <r>
    <x v="401"/>
    <n v="1830197"/>
    <d v="2026-02-01T00:00:00"/>
    <s v="Sale"/>
    <n v="0"/>
  </r>
  <r>
    <x v="402"/>
    <n v="1830197"/>
    <d v="2026-02-01T00:00:00"/>
    <s v="Sale"/>
    <n v="0"/>
  </r>
  <r>
    <x v="403"/>
    <n v="1830197"/>
    <d v="2026-02-01T00:00:00"/>
    <s v="Sale"/>
    <n v="0"/>
  </r>
  <r>
    <x v="404"/>
    <n v="1830197"/>
    <d v="2026-02-01T00:00:00"/>
    <s v="Sale"/>
    <n v="0"/>
  </r>
  <r>
    <x v="405"/>
    <n v="1830197"/>
    <d v="2026-02-01T00:00:00"/>
    <s v="Sale"/>
    <n v="28"/>
  </r>
  <r>
    <x v="406"/>
    <n v="1830197"/>
    <d v="2026-02-01T00:00:00"/>
    <s v="Sale"/>
    <n v="0"/>
  </r>
  <r>
    <x v="407"/>
    <n v="1830197"/>
    <d v="2026-02-01T00:00:00"/>
    <s v="Sale"/>
    <n v="0"/>
  </r>
  <r>
    <x v="408"/>
    <n v="1830197"/>
    <d v="2026-02-01T00:00:00"/>
    <s v="Sale"/>
    <n v="0"/>
  </r>
  <r>
    <x v="409"/>
    <n v="1830197"/>
    <d v="2026-02-01T00:00:00"/>
    <s v="Sale"/>
    <n v="0"/>
  </r>
  <r>
    <x v="410"/>
    <n v="1830197"/>
    <d v="2026-02-01T00:00:00"/>
    <s v="Sale"/>
    <n v="42"/>
  </r>
  <r>
    <x v="411"/>
    <n v="1830197"/>
    <d v="2026-02-01T00:00:00"/>
    <s v="Sale"/>
    <n v="0"/>
  </r>
  <r>
    <x v="412"/>
    <n v="1830197"/>
    <d v="2026-02-01T00:00:00"/>
    <s v="Sale"/>
    <n v="0"/>
  </r>
  <r>
    <x v="413"/>
    <n v="1830197"/>
    <d v="2026-02-01T00:00:00"/>
    <s v="Sale"/>
    <n v="0"/>
  </r>
  <r>
    <x v="414"/>
    <n v="1830197"/>
    <d v="2026-02-01T00:00:00"/>
    <s v="Sale"/>
    <n v="0"/>
  </r>
  <r>
    <x v="415"/>
    <n v="1830197"/>
    <d v="2026-02-01T00:00:00"/>
    <s v="Sale"/>
    <n v="0"/>
  </r>
  <r>
    <x v="416"/>
    <n v="1830197"/>
    <d v="2026-02-01T00:00:00"/>
    <s v="Sale"/>
    <n v="0"/>
  </r>
  <r>
    <x v="417"/>
    <n v="1830197"/>
    <d v="2026-02-01T00:00:00"/>
    <s v="Sale"/>
    <n v="0"/>
  </r>
  <r>
    <x v="418"/>
    <n v="1830197"/>
    <d v="2026-02-01T00:00:00"/>
    <s v="Sale"/>
    <n v="0"/>
  </r>
  <r>
    <x v="419"/>
    <n v="1830197"/>
    <d v="2026-02-01T00:00:00"/>
    <s v="Sale"/>
    <n v="0"/>
  </r>
  <r>
    <x v="420"/>
    <n v="1830197"/>
    <d v="2026-02-01T00:00:00"/>
    <s v="Sale"/>
    <n v="0"/>
  </r>
  <r>
    <x v="421"/>
    <n v="1830197"/>
    <d v="2026-02-01T00:00:00"/>
    <s v="Sale"/>
    <n v="0.3"/>
  </r>
  <r>
    <x v="422"/>
    <n v="1830197"/>
    <d v="2026-02-01T00:00:00"/>
    <s v="Sale"/>
    <n v="0"/>
  </r>
  <r>
    <x v="423"/>
    <n v="1830197"/>
    <d v="2026-02-01T00:00:00"/>
    <s v="Sale"/>
    <n v="13"/>
  </r>
  <r>
    <x v="424"/>
    <n v="1830197"/>
    <d v="2026-02-01T00:00:00"/>
    <s v="Sale"/>
    <n v="0"/>
  </r>
  <r>
    <x v="425"/>
    <n v="1830197"/>
    <d v="2026-02-01T00:00:00"/>
    <s v="Sale"/>
    <n v="0"/>
  </r>
  <r>
    <x v="426"/>
    <n v="1830197"/>
    <d v="2026-02-01T00:00:00"/>
    <s v="Sale"/>
    <n v="0"/>
  </r>
  <r>
    <x v="427"/>
    <n v="1830197"/>
    <d v="2026-02-01T00:00:00"/>
    <s v="Sale"/>
    <n v="8"/>
  </r>
  <r>
    <x v="428"/>
    <n v="1830197"/>
    <d v="2026-02-01T00:00:00"/>
    <s v="Sale"/>
    <n v="1.1399999999999999"/>
  </r>
  <r>
    <x v="429"/>
    <n v="1830197"/>
    <d v="2026-02-01T00:00:00"/>
    <s v="Sale"/>
    <n v="0"/>
  </r>
  <r>
    <x v="430"/>
    <n v="1830197"/>
    <d v="2026-02-01T00:00:00"/>
    <s v="Sale"/>
    <n v="0"/>
  </r>
  <r>
    <x v="431"/>
    <n v="1830197"/>
    <d v="2026-02-01T00:00:00"/>
    <s v="Sale"/>
    <n v="0"/>
  </r>
  <r>
    <x v="432"/>
    <n v="1830197"/>
    <d v="2026-02-01T00:00:00"/>
    <s v="Sale"/>
    <n v="1"/>
  </r>
  <r>
    <x v="433"/>
    <n v="1830197"/>
    <d v="2026-02-01T00:00:00"/>
    <s v="Sale"/>
    <n v="0"/>
  </r>
  <r>
    <x v="434"/>
    <n v="1830197"/>
    <d v="2026-02-01T00:00:00"/>
    <s v="Sale"/>
    <n v="0.1"/>
  </r>
  <r>
    <x v="435"/>
    <n v="1830197"/>
    <d v="2026-02-01T00:00:00"/>
    <s v="Sale"/>
    <n v="0"/>
  </r>
  <r>
    <x v="436"/>
    <n v="1830197"/>
    <d v="2026-02-01T00:00:00"/>
    <s v="Sale"/>
    <n v="0"/>
  </r>
  <r>
    <x v="437"/>
    <n v="1830197"/>
    <d v="2026-02-01T00:00:00"/>
    <s v="Sale"/>
    <n v="0"/>
  </r>
  <r>
    <x v="438"/>
    <n v="1830197"/>
    <d v="2026-02-01T00:00:00"/>
    <s v="Sale"/>
    <n v="0"/>
  </r>
  <r>
    <x v="439"/>
    <n v="1830197"/>
    <d v="2026-02-01T00:00:00"/>
    <s v="Sale"/>
    <n v="0"/>
  </r>
  <r>
    <x v="440"/>
    <n v="1830197"/>
    <d v="2026-02-01T00:00:00"/>
    <s v="Sale"/>
    <n v="232"/>
  </r>
  <r>
    <x v="441"/>
    <n v="1830197"/>
    <d v="2026-02-01T00:00:00"/>
    <s v="Sale"/>
    <n v="11"/>
  </r>
  <r>
    <x v="442"/>
    <n v="1830197"/>
    <d v="2026-02-01T00:00:00"/>
    <s v="Sale"/>
    <n v="5"/>
  </r>
  <r>
    <x v="443"/>
    <n v="1830197"/>
    <d v="2026-02-01T00:00:00"/>
    <s v="Sale"/>
    <n v="0"/>
  </r>
  <r>
    <x v="444"/>
    <n v="1830197"/>
    <d v="2026-02-01T00:00:00"/>
    <s v="Sale"/>
    <n v="8"/>
  </r>
  <r>
    <x v="445"/>
    <n v="1830197"/>
    <d v="2026-02-01T00:00:00"/>
    <s v="Sale"/>
    <n v="0"/>
  </r>
  <r>
    <x v="446"/>
    <n v="1830197"/>
    <d v="2026-02-01T00:00:00"/>
    <s v="Sale"/>
    <n v="0"/>
  </r>
  <r>
    <x v="447"/>
    <n v="1830197"/>
    <d v="2026-02-01T00:00:00"/>
    <s v="Sale"/>
    <n v="3"/>
  </r>
  <r>
    <x v="448"/>
    <n v="1830197"/>
    <d v="2026-02-01T00:00:00"/>
    <s v="Sale"/>
    <n v="0"/>
  </r>
  <r>
    <x v="449"/>
    <n v="1830197"/>
    <d v="2026-02-01T00:00:00"/>
    <s v="Sale"/>
    <n v="1"/>
  </r>
  <r>
    <x v="450"/>
    <n v="1830197"/>
    <d v="2026-02-01T00:00:00"/>
    <s v="Sale"/>
    <n v="0"/>
  </r>
  <r>
    <x v="451"/>
    <n v="1830197"/>
    <d v="2026-02-01T00:00:00"/>
    <s v="Sale"/>
    <n v="0"/>
  </r>
  <r>
    <x v="452"/>
    <n v="1830197"/>
    <d v="2026-02-01T00:00:00"/>
    <s v="Sale"/>
    <n v="0"/>
  </r>
  <r>
    <x v="453"/>
    <n v="1830197"/>
    <d v="2026-02-01T00:00:00"/>
    <s v="Sale"/>
    <n v="0"/>
  </r>
  <r>
    <x v="454"/>
    <n v="1830197"/>
    <d v="2026-02-01T00:00:00"/>
    <s v="Sale"/>
    <n v="0"/>
  </r>
  <r>
    <x v="455"/>
    <n v="1830197"/>
    <d v="2026-02-01T00:00:00"/>
    <s v="Sale"/>
    <n v="0"/>
  </r>
  <r>
    <x v="456"/>
    <n v="1830197"/>
    <d v="2026-02-01T00:00:00"/>
    <s v="Sale"/>
    <n v="0"/>
  </r>
  <r>
    <x v="457"/>
    <n v="1830197"/>
    <d v="2026-02-01T00:00:00"/>
    <s v="Sale"/>
    <n v="0"/>
  </r>
  <r>
    <x v="458"/>
    <n v="1830197"/>
    <d v="2026-02-01T00:00:00"/>
    <s v="Sale"/>
    <n v="0"/>
  </r>
  <r>
    <x v="459"/>
    <n v="1830197"/>
    <d v="2026-02-01T00:00:00"/>
    <s v="Sale"/>
    <n v="0"/>
  </r>
  <r>
    <x v="460"/>
    <n v="1830197"/>
    <d v="2026-02-01T00:00:00"/>
    <s v="Sale"/>
    <n v="0"/>
  </r>
  <r>
    <x v="461"/>
    <n v="1830197"/>
    <d v="2026-02-01T00:00:00"/>
    <s v="Sale"/>
    <n v="0"/>
  </r>
  <r>
    <x v="462"/>
    <n v="1830197"/>
    <d v="2026-02-01T00:00:00"/>
    <s v="Sale"/>
    <n v="0"/>
  </r>
  <r>
    <x v="463"/>
    <n v="1830197"/>
    <d v="2026-02-01T00:00:00"/>
    <s v="Sale"/>
    <n v="0"/>
  </r>
  <r>
    <x v="464"/>
    <n v="1830197"/>
    <d v="2026-02-01T00:00:00"/>
    <s v="Sale"/>
    <n v="0"/>
  </r>
  <r>
    <x v="465"/>
    <n v="1830197"/>
    <d v="2026-02-01T00:00:00"/>
    <s v="Sale"/>
    <n v="0"/>
  </r>
  <r>
    <x v="466"/>
    <n v="1830197"/>
    <d v="2026-02-01T00:00:00"/>
    <s v="Sale"/>
    <n v="0"/>
  </r>
  <r>
    <x v="467"/>
    <n v="1830197"/>
    <d v="2026-02-01T00:00:00"/>
    <s v="Sale"/>
    <n v="0"/>
  </r>
  <r>
    <x v="468"/>
    <n v="1830197"/>
    <d v="2026-02-01T00:00:00"/>
    <s v="Sale"/>
    <n v="0"/>
  </r>
  <r>
    <x v="469"/>
    <n v="1830197"/>
    <d v="2026-02-01T00:00:00"/>
    <s v="Sale"/>
    <n v="0"/>
  </r>
  <r>
    <x v="470"/>
    <n v="1830197"/>
    <d v="2026-02-01T00:00:00"/>
    <s v="Sale"/>
    <n v="0"/>
  </r>
  <r>
    <x v="471"/>
    <n v="1830197"/>
    <d v="2026-02-01T00:00:00"/>
    <s v="Sale"/>
    <n v="0"/>
  </r>
  <r>
    <x v="472"/>
    <n v="1830197"/>
    <d v="2026-02-01T00:00:00"/>
    <s v="Sale"/>
    <n v="0"/>
  </r>
  <r>
    <x v="473"/>
    <n v="1830197"/>
    <d v="2026-02-01T00:00:00"/>
    <s v="Sale"/>
    <n v="0"/>
  </r>
  <r>
    <x v="474"/>
    <n v="1830197"/>
    <d v="2026-02-01T00:00:00"/>
    <s v="Sale"/>
    <n v="0"/>
  </r>
  <r>
    <x v="475"/>
    <n v="1830197"/>
    <d v="2026-02-01T00:00:00"/>
    <s v="Sale"/>
    <n v="0"/>
  </r>
  <r>
    <x v="476"/>
    <n v="1830197"/>
    <d v="2026-02-01T00:00:00"/>
    <s v="Sale"/>
    <n v="0"/>
  </r>
  <r>
    <x v="477"/>
    <n v="1830197"/>
    <d v="2026-02-01T00:00:00"/>
    <s v="Sale"/>
    <n v="0"/>
  </r>
  <r>
    <x v="478"/>
    <n v="1830197"/>
    <d v="2026-02-01T00:00:00"/>
    <s v="Sale"/>
    <n v="0"/>
  </r>
  <r>
    <x v="479"/>
    <n v="1830197"/>
    <d v="2026-02-01T00:00:00"/>
    <s v="Sale"/>
    <n v="0.03"/>
  </r>
  <r>
    <x v="480"/>
    <n v="1830197"/>
    <d v="2026-02-01T00:00:00"/>
    <s v="Sale"/>
    <n v="0"/>
  </r>
  <r>
    <x v="481"/>
    <n v="1830197"/>
    <d v="2026-02-01T00:00:00"/>
    <s v="Sale"/>
    <n v="0"/>
  </r>
  <r>
    <x v="482"/>
    <n v="1830197"/>
    <d v="2026-02-01T00:00:00"/>
    <s v="Sale"/>
    <n v="5"/>
  </r>
  <r>
    <x v="483"/>
    <n v="1830197"/>
    <d v="2026-02-01T00:00:00"/>
    <s v="Sale"/>
    <n v="7"/>
  </r>
  <r>
    <x v="484"/>
    <n v="1830197"/>
    <d v="2026-02-01T00:00:00"/>
    <s v="Sale"/>
    <n v="0"/>
  </r>
  <r>
    <x v="485"/>
    <n v="1830197"/>
    <d v="2026-02-01T00:00:00"/>
    <s v="Sale"/>
    <n v="0"/>
  </r>
  <r>
    <x v="486"/>
    <n v="1830197"/>
    <d v="2026-02-01T00:00:00"/>
    <s v="Sale"/>
    <n v="0"/>
  </r>
  <r>
    <x v="487"/>
    <n v="1830197"/>
    <d v="2026-02-01T00:00:00"/>
    <s v="Sale"/>
    <n v="1"/>
  </r>
  <r>
    <x v="488"/>
    <n v="1830197"/>
    <d v="2026-02-01T00:00:00"/>
    <s v="Sale"/>
    <n v="0"/>
  </r>
  <r>
    <x v="489"/>
    <n v="1830197"/>
    <d v="2026-02-01T00:00:00"/>
    <s v="Sale"/>
    <n v="1"/>
  </r>
  <r>
    <x v="490"/>
    <n v="1830197"/>
    <d v="2026-02-01T00:00:00"/>
    <s v="Sale"/>
    <n v="0"/>
  </r>
  <r>
    <x v="491"/>
    <n v="1830197"/>
    <d v="2026-02-01T00:00:00"/>
    <s v="Sale"/>
    <n v="0"/>
  </r>
  <r>
    <x v="492"/>
    <n v="1830197"/>
    <d v="2026-02-01T00:00:00"/>
    <s v="Sale"/>
    <n v="0"/>
  </r>
  <r>
    <x v="493"/>
    <n v="1830197"/>
    <d v="2026-02-01T00:00:00"/>
    <s v="Sale"/>
    <n v="0"/>
  </r>
  <r>
    <x v="494"/>
    <n v="1830197"/>
    <d v="2026-02-01T00:00:00"/>
    <s v="Sale"/>
    <n v="0"/>
  </r>
  <r>
    <x v="495"/>
    <n v="1830197"/>
    <d v="2026-02-01T00:00:00"/>
    <s v="Sale"/>
    <n v="0"/>
  </r>
  <r>
    <x v="496"/>
    <n v="1830197"/>
    <d v="2026-02-01T00:00:00"/>
    <s v="Sale"/>
    <n v="0"/>
  </r>
  <r>
    <x v="497"/>
    <n v="1830197"/>
    <d v="2026-02-01T00:00:00"/>
    <s v="Sale"/>
    <n v="0"/>
  </r>
  <r>
    <x v="498"/>
    <n v="1830197"/>
    <d v="2026-02-01T00:00:00"/>
    <s v="Sale"/>
    <n v="0"/>
  </r>
  <r>
    <x v="499"/>
    <n v="1830197"/>
    <d v="2026-02-01T00:00:00"/>
    <s v="Sale"/>
    <n v="1"/>
  </r>
  <r>
    <x v="500"/>
    <n v="1830197"/>
    <d v="2026-02-01T00:00:00"/>
    <s v="Sale"/>
    <n v="2"/>
  </r>
  <r>
    <x v="501"/>
    <n v="1830197"/>
    <d v="2026-02-01T00:00:00"/>
    <s v="Sale"/>
    <n v="0"/>
  </r>
  <r>
    <x v="502"/>
    <n v="1830197"/>
    <d v="2026-02-01T00:00:00"/>
    <s v="Sale"/>
    <n v="0"/>
  </r>
  <r>
    <x v="503"/>
    <n v="1830197"/>
    <d v="2026-02-01T00:00:00"/>
    <s v="Sale"/>
    <n v="0.1"/>
  </r>
  <r>
    <x v="504"/>
    <n v="1830197"/>
    <d v="2026-02-01T00:00:00"/>
    <s v="Sale"/>
    <n v="0"/>
  </r>
  <r>
    <x v="505"/>
    <n v="1830197"/>
    <d v="2026-02-01T00:00:00"/>
    <s v="Sale"/>
    <n v="0"/>
  </r>
  <r>
    <x v="506"/>
    <n v="1830197"/>
    <d v="2026-02-01T00:00:00"/>
    <s v="Sale"/>
    <n v="0"/>
  </r>
  <r>
    <x v="507"/>
    <n v="1830197"/>
    <d v="2026-02-01T00:00:00"/>
    <s v="Sale"/>
    <n v="0"/>
  </r>
  <r>
    <x v="508"/>
    <n v="1830197"/>
    <d v="2026-02-01T00:00:00"/>
    <s v="Sale"/>
    <n v="0"/>
  </r>
  <r>
    <x v="509"/>
    <n v="1830197"/>
    <d v="2026-02-01T00:00:00"/>
    <s v="Sale"/>
    <n v="0"/>
  </r>
  <r>
    <x v="510"/>
    <n v="1830197"/>
    <d v="2026-02-01T00:00:00"/>
    <s v="Sale"/>
    <n v="0"/>
  </r>
  <r>
    <x v="511"/>
    <n v="1830197"/>
    <d v="2026-02-01T00:00:00"/>
    <s v="Sale"/>
    <n v="0"/>
  </r>
  <r>
    <x v="512"/>
    <n v="1830197"/>
    <d v="2026-02-01T00:00:00"/>
    <s v="Sale"/>
    <n v="0"/>
  </r>
  <r>
    <x v="513"/>
    <n v="1830197"/>
    <d v="2026-02-01T00:00:00"/>
    <s v="Sale"/>
    <n v="0"/>
  </r>
  <r>
    <x v="514"/>
    <n v="1830197"/>
    <d v="2026-02-01T00:00:00"/>
    <s v="Sale"/>
    <n v="0"/>
  </r>
  <r>
    <x v="515"/>
    <n v="1830197"/>
    <d v="2026-02-01T00:00:00"/>
    <s v="Sale"/>
    <n v="0"/>
  </r>
  <r>
    <x v="516"/>
    <n v="1830197"/>
    <d v="2026-02-01T00:00:00"/>
    <s v="Sale"/>
    <n v="0"/>
  </r>
  <r>
    <x v="517"/>
    <n v="1830197"/>
    <d v="2026-02-01T00:00:00"/>
    <s v="Sale"/>
    <n v="0"/>
  </r>
  <r>
    <x v="518"/>
    <n v="1830197"/>
    <d v="2026-02-01T00:00:00"/>
    <s v="Sale"/>
    <n v="0"/>
  </r>
  <r>
    <x v="519"/>
    <n v="1830197"/>
    <d v="2026-02-01T00:00:00"/>
    <s v="Sale"/>
    <n v="0"/>
  </r>
  <r>
    <x v="520"/>
    <n v="1830197"/>
    <d v="2026-02-01T00:00:00"/>
    <s v="Sale"/>
    <n v="0"/>
  </r>
  <r>
    <x v="521"/>
    <n v="1830197"/>
    <d v="2026-02-01T00:00:00"/>
    <s v="Sale"/>
    <n v="0"/>
  </r>
  <r>
    <x v="522"/>
    <n v="1830197"/>
    <d v="2026-02-01T00:00:00"/>
    <s v="Sale"/>
    <n v="0"/>
  </r>
  <r>
    <x v="0"/>
    <n v="1830197"/>
    <d v="2026-02-02T00:00:00"/>
    <s v="Sale"/>
    <n v="470"/>
  </r>
  <r>
    <x v="1"/>
    <n v="1830197"/>
    <d v="2026-02-02T00:00:00"/>
    <s v="Sale"/>
    <n v="58"/>
  </r>
  <r>
    <x v="2"/>
    <n v="1830197"/>
    <d v="2026-02-02T00:00:00"/>
    <s v="Sale"/>
    <n v="140"/>
  </r>
  <r>
    <x v="3"/>
    <n v="1830197"/>
    <d v="2026-02-02T00:00:00"/>
    <s v="Sale"/>
    <n v="469.51"/>
  </r>
  <r>
    <x v="4"/>
    <n v="1830197"/>
    <d v="2026-02-02T00:00:00"/>
    <s v="Sale"/>
    <n v="263"/>
  </r>
  <r>
    <x v="5"/>
    <n v="1830197"/>
    <d v="2026-02-02T00:00:00"/>
    <s v="Sale"/>
    <n v="24"/>
  </r>
  <r>
    <x v="6"/>
    <n v="1830197"/>
    <d v="2026-02-02T00:00:00"/>
    <s v="Sale"/>
    <n v="202"/>
  </r>
  <r>
    <x v="7"/>
    <n v="1830197"/>
    <d v="2026-02-02T00:00:00"/>
    <s v="Sale"/>
    <n v="0"/>
  </r>
  <r>
    <x v="8"/>
    <n v="1830197"/>
    <d v="2026-02-02T00:00:00"/>
    <s v="Sale"/>
    <n v="0"/>
  </r>
  <r>
    <x v="9"/>
    <n v="1830197"/>
    <d v="2026-02-02T00:00:00"/>
    <s v="Sale"/>
    <n v="3"/>
  </r>
  <r>
    <x v="10"/>
    <n v="1830197"/>
    <d v="2026-02-02T00:00:00"/>
    <s v="Sale"/>
    <n v="9.8800000000000008"/>
  </r>
  <r>
    <x v="11"/>
    <n v="1830197"/>
    <d v="2026-02-02T00:00:00"/>
    <s v="Sale"/>
    <n v="637"/>
  </r>
  <r>
    <x v="12"/>
    <n v="1830197"/>
    <d v="2026-02-02T00:00:00"/>
    <s v="Sale"/>
    <n v="50"/>
  </r>
  <r>
    <x v="13"/>
    <n v="1830197"/>
    <d v="2026-02-02T00:00:00"/>
    <s v="Sale"/>
    <n v="301"/>
  </r>
  <r>
    <x v="14"/>
    <n v="1830197"/>
    <d v="2026-02-02T00:00:00"/>
    <s v="Sale"/>
    <n v="6"/>
  </r>
  <r>
    <x v="15"/>
    <n v="1830197"/>
    <d v="2026-02-02T00:00:00"/>
    <s v="Sale"/>
    <n v="54"/>
  </r>
  <r>
    <x v="16"/>
    <n v="1830197"/>
    <d v="2026-02-02T00:00:00"/>
    <s v="Sale"/>
    <n v="0.02"/>
  </r>
  <r>
    <x v="17"/>
    <n v="1830197"/>
    <d v="2026-02-02T00:00:00"/>
    <s v="Sale"/>
    <n v="0"/>
  </r>
  <r>
    <x v="18"/>
    <n v="1830197"/>
    <d v="2026-02-02T00:00:00"/>
    <s v="Sale"/>
    <n v="0"/>
  </r>
  <r>
    <x v="19"/>
    <n v="1830197"/>
    <d v="2026-02-02T00:00:00"/>
    <s v="Sale"/>
    <n v="0"/>
  </r>
  <r>
    <x v="20"/>
    <n v="1830197"/>
    <d v="2026-02-02T00:00:00"/>
    <s v="Sale"/>
    <n v="2364"/>
  </r>
  <r>
    <x v="21"/>
    <n v="1830197"/>
    <d v="2026-02-02T00:00:00"/>
    <s v="Sale"/>
    <n v="0"/>
  </r>
  <r>
    <x v="22"/>
    <n v="1830197"/>
    <d v="2026-02-02T00:00:00"/>
    <s v="Sale"/>
    <n v="165"/>
  </r>
  <r>
    <x v="23"/>
    <n v="1830197"/>
    <d v="2026-02-02T00:00:00"/>
    <s v="Sale"/>
    <n v="3.82"/>
  </r>
  <r>
    <x v="24"/>
    <n v="1830197"/>
    <d v="2026-02-02T00:00:00"/>
    <s v="Sale"/>
    <n v="1.1000000000000001"/>
  </r>
  <r>
    <x v="25"/>
    <n v="1830197"/>
    <d v="2026-02-02T00:00:00"/>
    <s v="Sale"/>
    <n v="0"/>
  </r>
  <r>
    <x v="26"/>
    <n v="1830197"/>
    <d v="2026-02-02T00:00:00"/>
    <s v="Sale"/>
    <n v="0.52"/>
  </r>
  <r>
    <x v="27"/>
    <n v="1830197"/>
    <d v="2026-02-02T00:00:00"/>
    <s v="Sale"/>
    <n v="2"/>
  </r>
  <r>
    <x v="28"/>
    <n v="1830197"/>
    <d v="2026-02-02T00:00:00"/>
    <s v="Sale"/>
    <n v="0"/>
  </r>
  <r>
    <x v="29"/>
    <n v="1830197"/>
    <d v="2026-02-02T00:00:00"/>
    <s v="Sale"/>
    <n v="2"/>
  </r>
  <r>
    <x v="30"/>
    <n v="1830197"/>
    <d v="2026-02-02T00:00:00"/>
    <s v="Sale"/>
    <n v="1"/>
  </r>
  <r>
    <x v="31"/>
    <n v="1830197"/>
    <d v="2026-02-02T00:00:00"/>
    <s v="Sale"/>
    <n v="10"/>
  </r>
  <r>
    <x v="32"/>
    <n v="1830197"/>
    <d v="2026-02-02T00:00:00"/>
    <s v="Sale"/>
    <n v="113"/>
  </r>
  <r>
    <x v="33"/>
    <n v="1830197"/>
    <d v="2026-02-02T00:00:00"/>
    <s v="Sale"/>
    <n v="7"/>
  </r>
  <r>
    <x v="34"/>
    <n v="1830197"/>
    <d v="2026-02-02T00:00:00"/>
    <s v="Sale"/>
    <n v="0"/>
  </r>
  <r>
    <x v="35"/>
    <n v="1830197"/>
    <d v="2026-02-02T00:00:00"/>
    <s v="Sale"/>
    <n v="7"/>
  </r>
  <r>
    <x v="36"/>
    <n v="1830197"/>
    <d v="2026-02-02T00:00:00"/>
    <s v="Sale"/>
    <n v="0"/>
  </r>
  <r>
    <x v="37"/>
    <n v="1830197"/>
    <d v="2026-02-02T00:00:00"/>
    <s v="Sale"/>
    <n v="0"/>
  </r>
  <r>
    <x v="38"/>
    <n v="1830197"/>
    <d v="2026-02-02T00:00:00"/>
    <s v="Sale"/>
    <n v="57"/>
  </r>
  <r>
    <x v="39"/>
    <n v="1830197"/>
    <d v="2026-02-02T00:00:00"/>
    <s v="Sale"/>
    <n v="0"/>
  </r>
  <r>
    <x v="40"/>
    <n v="1830197"/>
    <d v="2026-02-02T00:00:00"/>
    <s v="Sale"/>
    <n v="8"/>
  </r>
  <r>
    <x v="41"/>
    <n v="1830197"/>
    <d v="2026-02-02T00:00:00"/>
    <s v="Sale"/>
    <n v="83"/>
  </r>
  <r>
    <x v="42"/>
    <n v="1830197"/>
    <d v="2026-02-02T00:00:00"/>
    <s v="Sale"/>
    <n v="24"/>
  </r>
  <r>
    <x v="43"/>
    <n v="1830197"/>
    <d v="2026-02-02T00:00:00"/>
    <s v="Sale"/>
    <n v="72"/>
  </r>
  <r>
    <x v="44"/>
    <n v="1830197"/>
    <d v="2026-02-02T00:00:00"/>
    <s v="Sale"/>
    <n v="105"/>
  </r>
  <r>
    <x v="45"/>
    <n v="1830197"/>
    <d v="2026-02-02T00:00:00"/>
    <s v="Sale"/>
    <n v="706"/>
  </r>
  <r>
    <x v="46"/>
    <n v="1830197"/>
    <d v="2026-02-02T00:00:00"/>
    <s v="Sale"/>
    <n v="0"/>
  </r>
  <r>
    <x v="47"/>
    <n v="1830197"/>
    <d v="2026-02-02T00:00:00"/>
    <s v="Sale"/>
    <n v="194"/>
  </r>
  <r>
    <x v="48"/>
    <n v="1830197"/>
    <d v="2026-02-02T00:00:00"/>
    <s v="Sale"/>
    <n v="0"/>
  </r>
  <r>
    <x v="49"/>
    <n v="1830197"/>
    <d v="2026-02-02T00:00:00"/>
    <s v="Sale"/>
    <n v="0"/>
  </r>
  <r>
    <x v="50"/>
    <n v="1830197"/>
    <d v="2026-02-02T00:00:00"/>
    <s v="Sale"/>
    <n v="0"/>
  </r>
  <r>
    <x v="51"/>
    <n v="1830197"/>
    <d v="2026-02-02T00:00:00"/>
    <s v="Sale"/>
    <n v="0"/>
  </r>
  <r>
    <x v="52"/>
    <n v="1830197"/>
    <d v="2026-02-02T00:00:00"/>
    <s v="Sale"/>
    <n v="0"/>
  </r>
  <r>
    <x v="53"/>
    <n v="1830197"/>
    <d v="2026-02-02T00:00:00"/>
    <s v="Sale"/>
    <n v="105"/>
  </r>
  <r>
    <x v="54"/>
    <n v="1830197"/>
    <d v="2026-02-02T00:00:00"/>
    <s v="Sale"/>
    <n v="307"/>
  </r>
  <r>
    <x v="55"/>
    <n v="1830197"/>
    <d v="2026-02-02T00:00:00"/>
    <s v="Sale"/>
    <n v="15"/>
  </r>
  <r>
    <x v="56"/>
    <n v="1830197"/>
    <d v="2026-02-02T00:00:00"/>
    <s v="Sale"/>
    <n v="11.44"/>
  </r>
  <r>
    <x v="57"/>
    <n v="1830197"/>
    <d v="2026-02-02T00:00:00"/>
    <s v="Sale"/>
    <n v="0"/>
  </r>
  <r>
    <x v="58"/>
    <n v="1830197"/>
    <d v="2026-02-02T00:00:00"/>
    <s v="Sale"/>
    <n v="11"/>
  </r>
  <r>
    <x v="59"/>
    <n v="1830197"/>
    <d v="2026-02-02T00:00:00"/>
    <s v="Sale"/>
    <n v="6483"/>
  </r>
  <r>
    <x v="60"/>
    <n v="1830197"/>
    <d v="2026-02-02T00:00:00"/>
    <s v="Sale"/>
    <n v="0"/>
  </r>
  <r>
    <x v="61"/>
    <n v="1830197"/>
    <d v="2026-02-02T00:00:00"/>
    <s v="Sale"/>
    <n v="17"/>
  </r>
  <r>
    <x v="62"/>
    <n v="1830197"/>
    <d v="2026-02-02T00:00:00"/>
    <s v="Sale"/>
    <n v="0"/>
  </r>
  <r>
    <x v="63"/>
    <n v="1830197"/>
    <d v="2026-02-02T00:00:00"/>
    <s v="Sale"/>
    <n v="1"/>
  </r>
  <r>
    <x v="64"/>
    <n v="1830197"/>
    <d v="2026-02-02T00:00:00"/>
    <s v="Sale"/>
    <n v="1107"/>
  </r>
  <r>
    <x v="65"/>
    <n v="1830197"/>
    <d v="2026-02-02T00:00:00"/>
    <s v="Sale"/>
    <n v="0"/>
  </r>
  <r>
    <x v="66"/>
    <n v="1830197"/>
    <d v="2026-02-02T00:00:00"/>
    <s v="Sale"/>
    <n v="10.15"/>
  </r>
  <r>
    <x v="67"/>
    <n v="1830197"/>
    <d v="2026-02-02T00:00:00"/>
    <s v="Sale"/>
    <n v="3"/>
  </r>
  <r>
    <x v="68"/>
    <n v="1830197"/>
    <d v="2026-02-02T00:00:00"/>
    <s v="Sale"/>
    <n v="4"/>
  </r>
  <r>
    <x v="69"/>
    <n v="1830197"/>
    <d v="2026-02-02T00:00:00"/>
    <s v="Sale"/>
    <n v="0"/>
  </r>
  <r>
    <x v="70"/>
    <n v="1830197"/>
    <d v="2026-02-02T00:00:00"/>
    <s v="Sale"/>
    <n v="38"/>
  </r>
  <r>
    <x v="71"/>
    <n v="1830197"/>
    <d v="2026-02-02T00:00:00"/>
    <s v="Sale"/>
    <n v="39"/>
  </r>
  <r>
    <x v="72"/>
    <n v="1830197"/>
    <d v="2026-02-02T00:00:00"/>
    <s v="Sale"/>
    <n v="13"/>
  </r>
  <r>
    <x v="73"/>
    <n v="1830197"/>
    <d v="2026-02-02T00:00:00"/>
    <s v="Sale"/>
    <n v="46"/>
  </r>
  <r>
    <x v="74"/>
    <n v="1830197"/>
    <d v="2026-02-02T00:00:00"/>
    <s v="Sale"/>
    <n v="37"/>
  </r>
  <r>
    <x v="75"/>
    <n v="1830197"/>
    <d v="2026-02-02T00:00:00"/>
    <s v="Sale"/>
    <n v="0"/>
  </r>
  <r>
    <x v="76"/>
    <n v="1830197"/>
    <d v="2026-02-02T00:00:00"/>
    <s v="Sale"/>
    <n v="28"/>
  </r>
  <r>
    <x v="77"/>
    <n v="1830197"/>
    <d v="2026-02-02T00:00:00"/>
    <s v="Sale"/>
    <n v="0"/>
  </r>
  <r>
    <x v="78"/>
    <n v="1830197"/>
    <d v="2026-02-02T00:00:00"/>
    <s v="Sale"/>
    <n v="0"/>
  </r>
  <r>
    <x v="79"/>
    <n v="1830197"/>
    <d v="2026-02-02T00:00:00"/>
    <s v="Sale"/>
    <n v="3"/>
  </r>
  <r>
    <x v="80"/>
    <n v="1830197"/>
    <d v="2026-02-02T00:00:00"/>
    <s v="Sale"/>
    <n v="4"/>
  </r>
  <r>
    <x v="81"/>
    <n v="1830197"/>
    <d v="2026-02-02T00:00:00"/>
    <s v="Sale"/>
    <n v="0"/>
  </r>
  <r>
    <x v="82"/>
    <n v="1830197"/>
    <d v="2026-02-02T00:00:00"/>
    <s v="Sale"/>
    <n v="0"/>
  </r>
  <r>
    <x v="83"/>
    <n v="1830197"/>
    <d v="2026-02-02T00:00:00"/>
    <s v="Sale"/>
    <n v="1"/>
  </r>
  <r>
    <x v="84"/>
    <n v="1830197"/>
    <d v="2026-02-02T00:00:00"/>
    <s v="Sale"/>
    <n v="54"/>
  </r>
  <r>
    <x v="85"/>
    <n v="1830197"/>
    <d v="2026-02-02T00:00:00"/>
    <s v="Sale"/>
    <n v="0"/>
  </r>
  <r>
    <x v="86"/>
    <n v="1830197"/>
    <d v="2026-02-02T00:00:00"/>
    <s v="Sale"/>
    <n v="0"/>
  </r>
  <r>
    <x v="87"/>
    <n v="1830197"/>
    <d v="2026-02-02T00:00:00"/>
    <s v="Sale"/>
    <n v="0"/>
  </r>
  <r>
    <x v="88"/>
    <n v="1830197"/>
    <d v="2026-02-02T00:00:00"/>
    <s v="Sale"/>
    <n v="0"/>
  </r>
  <r>
    <x v="89"/>
    <n v="1830197"/>
    <d v="2026-02-02T00:00:00"/>
    <s v="Sale"/>
    <n v="0.06"/>
  </r>
  <r>
    <x v="90"/>
    <n v="1830197"/>
    <d v="2026-02-02T00:00:00"/>
    <s v="Sale"/>
    <n v="1320"/>
  </r>
  <r>
    <x v="91"/>
    <n v="1830197"/>
    <d v="2026-02-02T00:00:00"/>
    <s v="Sale"/>
    <n v="125"/>
  </r>
  <r>
    <x v="92"/>
    <n v="1830197"/>
    <d v="2026-02-02T00:00:00"/>
    <s v="Sale"/>
    <n v="0"/>
  </r>
  <r>
    <x v="93"/>
    <n v="1830197"/>
    <d v="2026-02-02T00:00:00"/>
    <s v="Sale"/>
    <n v="0"/>
  </r>
  <r>
    <x v="94"/>
    <n v="1830197"/>
    <d v="2026-02-02T00:00:00"/>
    <s v="Sale"/>
    <n v="300"/>
  </r>
  <r>
    <x v="95"/>
    <n v="1830197"/>
    <d v="2026-02-02T00:00:00"/>
    <s v="Sale"/>
    <n v="0"/>
  </r>
  <r>
    <x v="96"/>
    <n v="1830197"/>
    <d v="2026-02-02T00:00:00"/>
    <s v="Sale"/>
    <n v="166"/>
  </r>
  <r>
    <x v="97"/>
    <n v="1830197"/>
    <d v="2026-02-02T00:00:00"/>
    <s v="Sale"/>
    <n v="29"/>
  </r>
  <r>
    <x v="98"/>
    <n v="1830197"/>
    <d v="2026-02-02T00:00:00"/>
    <s v="Sale"/>
    <n v="69"/>
  </r>
  <r>
    <x v="99"/>
    <n v="1830197"/>
    <d v="2026-02-02T00:00:00"/>
    <s v="Sale"/>
    <n v="208"/>
  </r>
  <r>
    <x v="100"/>
    <n v="1830197"/>
    <d v="2026-02-02T00:00:00"/>
    <s v="Sale"/>
    <n v="5"/>
  </r>
  <r>
    <x v="101"/>
    <n v="1830197"/>
    <d v="2026-02-02T00:00:00"/>
    <s v="Sale"/>
    <n v="0"/>
  </r>
  <r>
    <x v="102"/>
    <n v="1830197"/>
    <d v="2026-02-02T00:00:00"/>
    <s v="Sale"/>
    <n v="73"/>
  </r>
  <r>
    <x v="103"/>
    <n v="1830197"/>
    <d v="2026-02-02T00:00:00"/>
    <s v="Sale"/>
    <n v="0"/>
  </r>
  <r>
    <x v="104"/>
    <n v="1830197"/>
    <d v="2026-02-02T00:00:00"/>
    <s v="Sale"/>
    <n v="0"/>
  </r>
  <r>
    <x v="105"/>
    <n v="1830197"/>
    <d v="2026-02-02T00:00:00"/>
    <s v="Sale"/>
    <n v="0"/>
  </r>
  <r>
    <x v="106"/>
    <n v="1830197"/>
    <d v="2026-02-02T00:00:00"/>
    <s v="Sale"/>
    <n v="325"/>
  </r>
  <r>
    <x v="107"/>
    <n v="1830197"/>
    <d v="2026-02-02T00:00:00"/>
    <s v="Sale"/>
    <n v="0"/>
  </r>
  <r>
    <x v="108"/>
    <n v="1830197"/>
    <d v="2026-02-02T00:00:00"/>
    <s v="Sale"/>
    <n v="0"/>
  </r>
  <r>
    <x v="109"/>
    <n v="1830197"/>
    <d v="2026-02-02T00:00:00"/>
    <s v="Sale"/>
    <n v="0"/>
  </r>
  <r>
    <x v="110"/>
    <n v="1830197"/>
    <d v="2026-02-02T00:00:00"/>
    <s v="Sale"/>
    <n v="0"/>
  </r>
  <r>
    <x v="111"/>
    <n v="1830197"/>
    <d v="2026-02-02T00:00:00"/>
    <s v="Sale"/>
    <n v="0"/>
  </r>
  <r>
    <x v="112"/>
    <n v="1830197"/>
    <d v="2026-02-02T00:00:00"/>
    <s v="Sale"/>
    <n v="0"/>
  </r>
  <r>
    <x v="113"/>
    <n v="1830197"/>
    <d v="2026-02-02T00:00:00"/>
    <s v="Sale"/>
    <n v="1.77"/>
  </r>
  <r>
    <x v="114"/>
    <n v="1830197"/>
    <d v="2026-02-02T00:00:00"/>
    <s v="Sale"/>
    <n v="18.79"/>
  </r>
  <r>
    <x v="115"/>
    <n v="1830197"/>
    <d v="2026-02-02T00:00:00"/>
    <s v="Sale"/>
    <n v="63"/>
  </r>
  <r>
    <x v="116"/>
    <n v="1830197"/>
    <d v="2026-02-02T00:00:00"/>
    <s v="Sale"/>
    <n v="0"/>
  </r>
  <r>
    <x v="117"/>
    <n v="1830197"/>
    <d v="2026-02-02T00:00:00"/>
    <s v="Sale"/>
    <n v="0"/>
  </r>
  <r>
    <x v="118"/>
    <n v="1830197"/>
    <d v="2026-02-02T00:00:00"/>
    <s v="Sale"/>
    <n v="445"/>
  </r>
  <r>
    <x v="119"/>
    <n v="1830197"/>
    <d v="2026-02-02T00:00:00"/>
    <s v="Sale"/>
    <n v="50"/>
  </r>
  <r>
    <x v="120"/>
    <n v="1830197"/>
    <d v="2026-02-02T00:00:00"/>
    <s v="Sale"/>
    <n v="0"/>
  </r>
  <r>
    <x v="121"/>
    <n v="1830197"/>
    <d v="2026-02-02T00:00:00"/>
    <s v="Sale"/>
    <n v="0"/>
  </r>
  <r>
    <x v="122"/>
    <n v="1830197"/>
    <d v="2026-02-02T00:00:00"/>
    <s v="Sale"/>
    <n v="265"/>
  </r>
  <r>
    <x v="123"/>
    <n v="1830197"/>
    <d v="2026-02-02T00:00:00"/>
    <s v="Sale"/>
    <n v="0"/>
  </r>
  <r>
    <x v="124"/>
    <n v="1830197"/>
    <d v="2026-02-02T00:00:00"/>
    <s v="Sale"/>
    <n v="0"/>
  </r>
  <r>
    <x v="125"/>
    <n v="1830197"/>
    <d v="2026-02-02T00:00:00"/>
    <s v="Sale"/>
    <n v="0"/>
  </r>
  <r>
    <x v="126"/>
    <n v="1830197"/>
    <d v="2026-02-02T00:00:00"/>
    <s v="Sale"/>
    <n v="0"/>
  </r>
  <r>
    <x v="127"/>
    <n v="1830197"/>
    <d v="2026-02-02T00:00:00"/>
    <s v="Sale"/>
    <n v="111"/>
  </r>
  <r>
    <x v="128"/>
    <n v="1830197"/>
    <d v="2026-02-02T00:00:00"/>
    <s v="Sale"/>
    <n v="0"/>
  </r>
  <r>
    <x v="129"/>
    <n v="1830197"/>
    <d v="2026-02-02T00:00:00"/>
    <s v="Sale"/>
    <n v="7.0000000000000007E-2"/>
  </r>
  <r>
    <x v="130"/>
    <n v="1830197"/>
    <d v="2026-02-02T00:00:00"/>
    <s v="Sale"/>
    <n v="2"/>
  </r>
  <r>
    <x v="131"/>
    <n v="1830197"/>
    <d v="2026-02-02T00:00:00"/>
    <s v="Sale"/>
    <n v="684"/>
  </r>
  <r>
    <x v="132"/>
    <n v="1830197"/>
    <d v="2026-02-02T00:00:00"/>
    <s v="Sale"/>
    <n v="0"/>
  </r>
  <r>
    <x v="133"/>
    <n v="1830197"/>
    <d v="2026-02-02T00:00:00"/>
    <s v="Sale"/>
    <n v="0"/>
  </r>
  <r>
    <x v="134"/>
    <n v="1830197"/>
    <d v="2026-02-02T00:00:00"/>
    <s v="Sale"/>
    <n v="0"/>
  </r>
  <r>
    <x v="135"/>
    <n v="1830197"/>
    <d v="2026-02-02T00:00:00"/>
    <s v="Sale"/>
    <n v="164"/>
  </r>
  <r>
    <x v="136"/>
    <n v="1830197"/>
    <d v="2026-02-02T00:00:00"/>
    <s v="Sale"/>
    <n v="0"/>
  </r>
  <r>
    <x v="137"/>
    <n v="1830197"/>
    <d v="2026-02-02T00:00:00"/>
    <s v="Sale"/>
    <n v="0"/>
  </r>
  <r>
    <x v="138"/>
    <n v="1830197"/>
    <d v="2026-02-02T00:00:00"/>
    <s v="Sale"/>
    <n v="0"/>
  </r>
  <r>
    <x v="139"/>
    <n v="1830197"/>
    <d v="2026-02-02T00:00:00"/>
    <s v="Sale"/>
    <n v="0"/>
  </r>
  <r>
    <x v="140"/>
    <n v="1830197"/>
    <d v="2026-02-02T00:00:00"/>
    <s v="Sale"/>
    <n v="0"/>
  </r>
  <r>
    <x v="141"/>
    <n v="1830197"/>
    <d v="2026-02-02T00:00:00"/>
    <s v="Sale"/>
    <n v="0"/>
  </r>
  <r>
    <x v="142"/>
    <n v="1830197"/>
    <d v="2026-02-02T00:00:00"/>
    <s v="Sale"/>
    <n v="6"/>
  </r>
  <r>
    <x v="143"/>
    <n v="1830197"/>
    <d v="2026-02-02T00:00:00"/>
    <s v="Sale"/>
    <n v="4"/>
  </r>
  <r>
    <x v="144"/>
    <n v="1830197"/>
    <d v="2026-02-02T00:00:00"/>
    <s v="Sale"/>
    <n v="-1.63"/>
  </r>
  <r>
    <x v="145"/>
    <n v="1830197"/>
    <d v="2026-02-02T00:00:00"/>
    <s v="Sale"/>
    <n v="0"/>
  </r>
  <r>
    <x v="146"/>
    <n v="1830197"/>
    <d v="2026-02-02T00:00:00"/>
    <s v="Sale"/>
    <n v="0"/>
  </r>
  <r>
    <x v="147"/>
    <n v="1830197"/>
    <d v="2026-02-02T00:00:00"/>
    <s v="Sale"/>
    <n v="0.24"/>
  </r>
  <r>
    <x v="148"/>
    <n v="1830197"/>
    <d v="2026-02-02T00:00:00"/>
    <s v="Sale"/>
    <n v="15"/>
  </r>
  <r>
    <x v="149"/>
    <n v="1830197"/>
    <d v="2026-02-02T00:00:00"/>
    <s v="Sale"/>
    <n v="45"/>
  </r>
  <r>
    <x v="150"/>
    <n v="1830197"/>
    <d v="2026-02-02T00:00:00"/>
    <s v="Sale"/>
    <n v="8"/>
  </r>
  <r>
    <x v="151"/>
    <n v="1830197"/>
    <d v="2026-02-02T00:00:00"/>
    <s v="Sale"/>
    <n v="0"/>
  </r>
  <r>
    <x v="152"/>
    <n v="1830197"/>
    <d v="2026-02-02T00:00:00"/>
    <s v="Sale"/>
    <n v="0"/>
  </r>
  <r>
    <x v="153"/>
    <n v="1830197"/>
    <d v="2026-02-02T00:00:00"/>
    <s v="Sale"/>
    <n v="8"/>
  </r>
  <r>
    <x v="154"/>
    <n v="1830197"/>
    <d v="2026-02-02T00:00:00"/>
    <s v="Sale"/>
    <n v="0.1"/>
  </r>
  <r>
    <x v="155"/>
    <n v="1830197"/>
    <d v="2026-02-02T00:00:00"/>
    <s v="Sale"/>
    <n v="-5.19"/>
  </r>
  <r>
    <x v="156"/>
    <n v="1830197"/>
    <d v="2026-02-02T00:00:00"/>
    <s v="Sale"/>
    <n v="0"/>
  </r>
  <r>
    <x v="157"/>
    <n v="1830197"/>
    <d v="2026-02-02T00:00:00"/>
    <s v="Sale"/>
    <n v="0"/>
  </r>
  <r>
    <x v="158"/>
    <n v="1830197"/>
    <d v="2026-02-02T00:00:00"/>
    <s v="Sale"/>
    <n v="0"/>
  </r>
  <r>
    <x v="159"/>
    <n v="1830197"/>
    <d v="2026-02-02T00:00:00"/>
    <s v="Sale"/>
    <n v="12.09"/>
  </r>
  <r>
    <x v="160"/>
    <n v="1830197"/>
    <d v="2026-02-02T00:00:00"/>
    <s v="Sale"/>
    <n v="0"/>
  </r>
  <r>
    <x v="161"/>
    <n v="1830197"/>
    <d v="2026-02-02T00:00:00"/>
    <s v="Sale"/>
    <n v="-1"/>
  </r>
  <r>
    <x v="162"/>
    <n v="1830197"/>
    <d v="2026-02-02T00:00:00"/>
    <s v="Sale"/>
    <n v="2"/>
  </r>
  <r>
    <x v="163"/>
    <n v="1830197"/>
    <d v="2026-02-02T00:00:00"/>
    <s v="Sale"/>
    <n v="0"/>
  </r>
  <r>
    <x v="164"/>
    <n v="1830197"/>
    <d v="2026-02-02T00:00:00"/>
    <s v="Sale"/>
    <n v="0"/>
  </r>
  <r>
    <x v="165"/>
    <n v="1830197"/>
    <d v="2026-02-02T00:00:00"/>
    <s v="Sale"/>
    <n v="0"/>
  </r>
  <r>
    <x v="166"/>
    <n v="1830197"/>
    <d v="2026-02-02T00:00:00"/>
    <s v="Sale"/>
    <n v="0"/>
  </r>
  <r>
    <x v="167"/>
    <n v="1830197"/>
    <d v="2026-02-02T00:00:00"/>
    <s v="Sale"/>
    <n v="0"/>
  </r>
  <r>
    <x v="168"/>
    <n v="1830197"/>
    <d v="2026-02-02T00:00:00"/>
    <s v="Sale"/>
    <n v="0"/>
  </r>
  <r>
    <x v="169"/>
    <n v="1830197"/>
    <d v="2026-02-02T00:00:00"/>
    <s v="Sale"/>
    <n v="0.1"/>
  </r>
  <r>
    <x v="170"/>
    <n v="1830197"/>
    <d v="2026-02-02T00:00:00"/>
    <s v="Sale"/>
    <n v="0"/>
  </r>
  <r>
    <x v="171"/>
    <n v="1830197"/>
    <d v="2026-02-02T00:00:00"/>
    <s v="Sale"/>
    <n v="27"/>
  </r>
  <r>
    <x v="172"/>
    <n v="1830197"/>
    <d v="2026-02-02T00:00:00"/>
    <s v="Sale"/>
    <n v="185"/>
  </r>
  <r>
    <x v="173"/>
    <n v="1830197"/>
    <d v="2026-02-02T00:00:00"/>
    <s v="Sale"/>
    <n v="0"/>
  </r>
  <r>
    <x v="174"/>
    <n v="1830197"/>
    <d v="2026-02-02T00:00:00"/>
    <s v="Sale"/>
    <n v="0"/>
  </r>
  <r>
    <x v="175"/>
    <n v="1830197"/>
    <d v="2026-02-02T00:00:00"/>
    <s v="Sale"/>
    <n v="496"/>
  </r>
  <r>
    <x v="176"/>
    <n v="1830197"/>
    <d v="2026-02-02T00:00:00"/>
    <s v="Sale"/>
    <n v="208"/>
  </r>
  <r>
    <x v="177"/>
    <n v="1830197"/>
    <d v="2026-02-02T00:00:00"/>
    <s v="Sale"/>
    <n v="0"/>
  </r>
  <r>
    <x v="178"/>
    <n v="1830197"/>
    <d v="2026-02-02T00:00:00"/>
    <s v="Sale"/>
    <n v="62"/>
  </r>
  <r>
    <x v="179"/>
    <n v="1830197"/>
    <d v="2026-02-02T00:00:00"/>
    <s v="Sale"/>
    <n v="0.08"/>
  </r>
  <r>
    <x v="180"/>
    <n v="1830197"/>
    <d v="2026-02-02T00:00:00"/>
    <s v="Sale"/>
    <n v="0"/>
  </r>
  <r>
    <x v="181"/>
    <n v="1830197"/>
    <d v="2026-02-02T00:00:00"/>
    <s v="Sale"/>
    <n v="0.85"/>
  </r>
  <r>
    <x v="182"/>
    <n v="1830197"/>
    <d v="2026-02-02T00:00:00"/>
    <s v="Sale"/>
    <n v="0"/>
  </r>
  <r>
    <x v="183"/>
    <n v="1830197"/>
    <d v="2026-02-02T00:00:00"/>
    <s v="Sale"/>
    <n v="0"/>
  </r>
  <r>
    <x v="184"/>
    <n v="1830197"/>
    <d v="2026-02-02T00:00:00"/>
    <s v="Sale"/>
    <n v="0"/>
  </r>
  <r>
    <x v="185"/>
    <n v="1830197"/>
    <d v="2026-02-02T00:00:00"/>
    <s v="Sale"/>
    <n v="13"/>
  </r>
  <r>
    <x v="186"/>
    <n v="1830197"/>
    <d v="2026-02-02T00:00:00"/>
    <s v="Sale"/>
    <n v="63"/>
  </r>
  <r>
    <x v="187"/>
    <n v="1830197"/>
    <d v="2026-02-02T00:00:00"/>
    <s v="Sale"/>
    <n v="189"/>
  </r>
  <r>
    <x v="188"/>
    <n v="1830197"/>
    <d v="2026-02-02T00:00:00"/>
    <s v="Sale"/>
    <n v="0"/>
  </r>
  <r>
    <x v="189"/>
    <n v="1830197"/>
    <d v="2026-02-02T00:00:00"/>
    <s v="Sale"/>
    <n v="0"/>
  </r>
  <r>
    <x v="190"/>
    <n v="1830197"/>
    <d v="2026-02-02T00:00:00"/>
    <s v="Sale"/>
    <n v="27"/>
  </r>
  <r>
    <x v="191"/>
    <n v="1830197"/>
    <d v="2026-02-02T00:00:00"/>
    <s v="Sale"/>
    <n v="0.92"/>
  </r>
  <r>
    <x v="192"/>
    <n v="1830197"/>
    <d v="2026-02-02T00:00:00"/>
    <s v="Sale"/>
    <n v="0"/>
  </r>
  <r>
    <x v="193"/>
    <n v="1830197"/>
    <d v="2026-02-02T00:00:00"/>
    <s v="Sale"/>
    <n v="0"/>
  </r>
  <r>
    <x v="194"/>
    <n v="1830197"/>
    <d v="2026-02-02T00:00:00"/>
    <s v="Sale"/>
    <n v="0"/>
  </r>
  <r>
    <x v="195"/>
    <n v="1830197"/>
    <d v="2026-02-02T00:00:00"/>
    <s v="Sale"/>
    <n v="0"/>
  </r>
  <r>
    <x v="196"/>
    <n v="1830197"/>
    <d v="2026-02-02T00:00:00"/>
    <s v="Sale"/>
    <n v="0"/>
  </r>
  <r>
    <x v="197"/>
    <n v="1830197"/>
    <d v="2026-02-02T00:00:00"/>
    <s v="Sale"/>
    <n v="250"/>
  </r>
  <r>
    <x v="198"/>
    <n v="1830197"/>
    <d v="2026-02-02T00:00:00"/>
    <s v="Sale"/>
    <n v="0"/>
  </r>
  <r>
    <x v="199"/>
    <n v="1830197"/>
    <d v="2026-02-02T00:00:00"/>
    <s v="Sale"/>
    <n v="0"/>
  </r>
  <r>
    <x v="200"/>
    <n v="1830197"/>
    <d v="2026-02-02T00:00:00"/>
    <s v="Sale"/>
    <n v="0"/>
  </r>
  <r>
    <x v="201"/>
    <n v="1830197"/>
    <d v="2026-02-02T00:00:00"/>
    <s v="Sale"/>
    <n v="0"/>
  </r>
  <r>
    <x v="202"/>
    <n v="1830197"/>
    <d v="2026-02-02T00:00:00"/>
    <s v="Sale"/>
    <n v="0"/>
  </r>
  <r>
    <x v="203"/>
    <n v="1830197"/>
    <d v="2026-02-02T00:00:00"/>
    <s v="Sale"/>
    <n v="5"/>
  </r>
  <r>
    <x v="204"/>
    <n v="1830197"/>
    <d v="2026-02-02T00:00:00"/>
    <s v="Sale"/>
    <n v="-0.04"/>
  </r>
  <r>
    <x v="205"/>
    <n v="1830197"/>
    <d v="2026-02-02T00:00:00"/>
    <s v="Sale"/>
    <n v="0"/>
  </r>
  <r>
    <x v="206"/>
    <n v="1830197"/>
    <d v="2026-02-02T00:00:00"/>
    <s v="Sale"/>
    <n v="0"/>
  </r>
  <r>
    <x v="207"/>
    <n v="1830197"/>
    <d v="2026-02-02T00:00:00"/>
    <s v="Sale"/>
    <n v="55"/>
  </r>
  <r>
    <x v="208"/>
    <n v="1830197"/>
    <d v="2026-02-02T00:00:00"/>
    <s v="Sale"/>
    <n v="0"/>
  </r>
  <r>
    <x v="209"/>
    <n v="1830197"/>
    <d v="2026-02-02T00:00:00"/>
    <s v="Sale"/>
    <n v="22"/>
  </r>
  <r>
    <x v="210"/>
    <n v="1830197"/>
    <d v="2026-02-02T00:00:00"/>
    <s v="Sale"/>
    <n v="0"/>
  </r>
  <r>
    <x v="211"/>
    <n v="1830197"/>
    <d v="2026-02-02T00:00:00"/>
    <s v="Sale"/>
    <n v="0"/>
  </r>
  <r>
    <x v="212"/>
    <n v="1830197"/>
    <d v="2026-02-02T00:00:00"/>
    <s v="Sale"/>
    <n v="114"/>
  </r>
  <r>
    <x v="213"/>
    <n v="1830197"/>
    <d v="2026-02-02T00:00:00"/>
    <s v="Sale"/>
    <n v="0"/>
  </r>
  <r>
    <x v="214"/>
    <n v="1830197"/>
    <d v="2026-02-02T00:00:00"/>
    <s v="Sale"/>
    <n v="0"/>
  </r>
  <r>
    <x v="215"/>
    <n v="1830197"/>
    <d v="2026-02-02T00:00:00"/>
    <s v="Sale"/>
    <n v="0"/>
  </r>
  <r>
    <x v="216"/>
    <n v="1830197"/>
    <d v="2026-02-02T00:00:00"/>
    <s v="Sale"/>
    <n v="0"/>
  </r>
  <r>
    <x v="217"/>
    <n v="1830197"/>
    <d v="2026-02-02T00:00:00"/>
    <s v="Sale"/>
    <n v="0"/>
  </r>
  <r>
    <x v="218"/>
    <n v="1830197"/>
    <d v="2026-02-02T00:00:00"/>
    <s v="Sale"/>
    <n v="0"/>
  </r>
  <r>
    <x v="219"/>
    <n v="1830197"/>
    <d v="2026-02-02T00:00:00"/>
    <s v="Sale"/>
    <n v="0"/>
  </r>
  <r>
    <x v="220"/>
    <n v="1830197"/>
    <d v="2026-02-02T00:00:00"/>
    <s v="Sale"/>
    <n v="8"/>
  </r>
  <r>
    <x v="221"/>
    <n v="1830197"/>
    <d v="2026-02-02T00:00:00"/>
    <s v="Sale"/>
    <n v="22"/>
  </r>
  <r>
    <x v="222"/>
    <n v="1830197"/>
    <d v="2026-02-02T00:00:00"/>
    <s v="Sale"/>
    <n v="351"/>
  </r>
  <r>
    <x v="223"/>
    <n v="1830197"/>
    <d v="2026-02-02T00:00:00"/>
    <s v="Sale"/>
    <n v="2.59"/>
  </r>
  <r>
    <x v="224"/>
    <n v="1830197"/>
    <d v="2026-02-02T00:00:00"/>
    <s v="Sale"/>
    <n v="13.73"/>
  </r>
  <r>
    <x v="225"/>
    <n v="1830197"/>
    <d v="2026-02-02T00:00:00"/>
    <s v="Sale"/>
    <n v="0"/>
  </r>
  <r>
    <x v="226"/>
    <n v="1830197"/>
    <d v="2026-02-02T00:00:00"/>
    <s v="Sale"/>
    <n v="2.94"/>
  </r>
  <r>
    <x v="227"/>
    <n v="1830197"/>
    <d v="2026-02-02T00:00:00"/>
    <s v="Sale"/>
    <n v="0"/>
  </r>
  <r>
    <x v="228"/>
    <n v="1830197"/>
    <d v="2026-02-02T00:00:00"/>
    <s v="Sale"/>
    <n v="0"/>
  </r>
  <r>
    <x v="229"/>
    <n v="1830197"/>
    <d v="2026-02-02T00:00:00"/>
    <s v="Sale"/>
    <n v="0"/>
  </r>
  <r>
    <x v="230"/>
    <n v="1830197"/>
    <d v="2026-02-02T00:00:00"/>
    <s v="Sale"/>
    <n v="0"/>
  </r>
  <r>
    <x v="231"/>
    <n v="1830197"/>
    <d v="2026-02-02T00:00:00"/>
    <s v="Sale"/>
    <n v="0"/>
  </r>
  <r>
    <x v="232"/>
    <n v="1830197"/>
    <d v="2026-02-02T00:00:00"/>
    <s v="Sale"/>
    <n v="6"/>
  </r>
  <r>
    <x v="233"/>
    <n v="1830197"/>
    <d v="2026-02-02T00:00:00"/>
    <s v="Sale"/>
    <n v="0"/>
  </r>
  <r>
    <x v="234"/>
    <n v="1830197"/>
    <d v="2026-02-02T00:00:00"/>
    <s v="Sale"/>
    <n v="0"/>
  </r>
  <r>
    <x v="235"/>
    <n v="1830197"/>
    <d v="2026-02-02T00:00:00"/>
    <s v="Sale"/>
    <n v="0"/>
  </r>
  <r>
    <x v="236"/>
    <n v="1830197"/>
    <d v="2026-02-02T00:00:00"/>
    <s v="Sale"/>
    <n v="0"/>
  </r>
  <r>
    <x v="237"/>
    <n v="1830197"/>
    <d v="2026-02-02T00:00:00"/>
    <s v="Sale"/>
    <n v="0"/>
  </r>
  <r>
    <x v="238"/>
    <n v="1830197"/>
    <d v="2026-02-02T00:00:00"/>
    <s v="Sale"/>
    <n v="0"/>
  </r>
  <r>
    <x v="239"/>
    <n v="1830197"/>
    <d v="2026-02-02T00:00:00"/>
    <s v="Sale"/>
    <n v="0"/>
  </r>
  <r>
    <x v="240"/>
    <n v="1830197"/>
    <d v="2026-02-02T00:00:00"/>
    <s v="Sale"/>
    <n v="24"/>
  </r>
  <r>
    <x v="241"/>
    <n v="1830197"/>
    <d v="2026-02-02T00:00:00"/>
    <s v="Sale"/>
    <n v="0"/>
  </r>
  <r>
    <x v="242"/>
    <n v="1830197"/>
    <d v="2026-02-02T00:00:00"/>
    <s v="Sale"/>
    <n v="2"/>
  </r>
  <r>
    <x v="243"/>
    <n v="1830197"/>
    <d v="2026-02-02T00:00:00"/>
    <s v="Sale"/>
    <n v="0"/>
  </r>
  <r>
    <x v="244"/>
    <n v="1830197"/>
    <d v="2026-02-02T00:00:00"/>
    <s v="Sale"/>
    <n v="0"/>
  </r>
  <r>
    <x v="245"/>
    <n v="1830197"/>
    <d v="2026-02-02T00:00:00"/>
    <s v="Sale"/>
    <n v="0"/>
  </r>
  <r>
    <x v="246"/>
    <n v="1830197"/>
    <d v="2026-02-02T00:00:00"/>
    <s v="Sale"/>
    <n v="3.21"/>
  </r>
  <r>
    <x v="247"/>
    <n v="1830197"/>
    <d v="2026-02-02T00:00:00"/>
    <s v="Sale"/>
    <n v="0"/>
  </r>
  <r>
    <x v="248"/>
    <n v="1830197"/>
    <d v="2026-02-02T00:00:00"/>
    <s v="Sale"/>
    <n v="3"/>
  </r>
  <r>
    <x v="249"/>
    <n v="1830197"/>
    <d v="2026-02-02T00:00:00"/>
    <s v="Sale"/>
    <n v="0"/>
  </r>
  <r>
    <x v="250"/>
    <n v="1830197"/>
    <d v="2026-02-02T00:00:00"/>
    <s v="Sale"/>
    <n v="0"/>
  </r>
  <r>
    <x v="251"/>
    <n v="1830197"/>
    <d v="2026-02-02T00:00:00"/>
    <s v="Sale"/>
    <n v="0"/>
  </r>
  <r>
    <x v="252"/>
    <n v="1830197"/>
    <d v="2026-02-02T00:00:00"/>
    <s v="Sale"/>
    <n v="0"/>
  </r>
  <r>
    <x v="253"/>
    <n v="1830197"/>
    <d v="2026-02-02T00:00:00"/>
    <s v="Sale"/>
    <n v="0"/>
  </r>
  <r>
    <x v="254"/>
    <n v="1830197"/>
    <d v="2026-02-02T00:00:00"/>
    <s v="Sale"/>
    <n v="0"/>
  </r>
  <r>
    <x v="255"/>
    <n v="1830197"/>
    <d v="2026-02-02T00:00:00"/>
    <s v="Sale"/>
    <n v="0"/>
  </r>
  <r>
    <x v="256"/>
    <n v="1830197"/>
    <d v="2026-02-02T00:00:00"/>
    <s v="Sale"/>
    <n v="0"/>
  </r>
  <r>
    <x v="257"/>
    <n v="1830197"/>
    <d v="2026-02-02T00:00:00"/>
    <s v="Sale"/>
    <n v="0"/>
  </r>
  <r>
    <x v="258"/>
    <n v="1830197"/>
    <d v="2026-02-02T00:00:00"/>
    <s v="Sale"/>
    <n v="0"/>
  </r>
  <r>
    <x v="259"/>
    <n v="1830197"/>
    <d v="2026-02-02T00:00:00"/>
    <s v="Sale"/>
    <n v="0"/>
  </r>
  <r>
    <x v="260"/>
    <n v="1830197"/>
    <d v="2026-02-02T00:00:00"/>
    <s v="Sale"/>
    <n v="258"/>
  </r>
  <r>
    <x v="261"/>
    <n v="1830197"/>
    <d v="2026-02-02T00:00:00"/>
    <s v="Sale"/>
    <n v="0"/>
  </r>
  <r>
    <x v="262"/>
    <n v="1830197"/>
    <d v="2026-02-02T00:00:00"/>
    <s v="Sale"/>
    <n v="0"/>
  </r>
  <r>
    <x v="263"/>
    <n v="1830197"/>
    <d v="2026-02-02T00:00:00"/>
    <s v="Sale"/>
    <n v="0"/>
  </r>
  <r>
    <x v="264"/>
    <n v="1830197"/>
    <d v="2026-02-02T00:00:00"/>
    <s v="Sale"/>
    <n v="3"/>
  </r>
  <r>
    <x v="265"/>
    <n v="1830197"/>
    <d v="2026-02-02T00:00:00"/>
    <s v="Sale"/>
    <n v="123"/>
  </r>
  <r>
    <x v="266"/>
    <n v="1830197"/>
    <d v="2026-02-02T00:00:00"/>
    <s v="Sale"/>
    <n v="83"/>
  </r>
  <r>
    <x v="267"/>
    <n v="1830197"/>
    <d v="2026-02-02T00:00:00"/>
    <s v="Sale"/>
    <n v="0"/>
  </r>
  <r>
    <x v="268"/>
    <n v="1830197"/>
    <d v="2026-02-02T00:00:00"/>
    <s v="Sale"/>
    <n v="101"/>
  </r>
  <r>
    <x v="269"/>
    <n v="1830197"/>
    <d v="2026-02-02T00:00:00"/>
    <s v="Sale"/>
    <n v="0"/>
  </r>
  <r>
    <x v="270"/>
    <n v="1830197"/>
    <d v="2026-02-02T00:00:00"/>
    <s v="Sale"/>
    <n v="0"/>
  </r>
  <r>
    <x v="271"/>
    <n v="1830197"/>
    <d v="2026-02-02T00:00:00"/>
    <s v="Sale"/>
    <n v="3"/>
  </r>
  <r>
    <x v="272"/>
    <n v="1830197"/>
    <d v="2026-02-02T00:00:00"/>
    <s v="Sale"/>
    <n v="0"/>
  </r>
  <r>
    <x v="273"/>
    <n v="1830197"/>
    <d v="2026-02-02T00:00:00"/>
    <s v="Sale"/>
    <n v="295"/>
  </r>
  <r>
    <x v="274"/>
    <n v="1830197"/>
    <d v="2026-02-02T00:00:00"/>
    <s v="Sale"/>
    <n v="0"/>
  </r>
  <r>
    <x v="275"/>
    <n v="1830197"/>
    <d v="2026-02-02T00:00:00"/>
    <s v="Sale"/>
    <n v="0.1"/>
  </r>
  <r>
    <x v="276"/>
    <n v="1830197"/>
    <d v="2026-02-02T00:00:00"/>
    <s v="Sale"/>
    <n v="6"/>
  </r>
  <r>
    <x v="277"/>
    <n v="1830197"/>
    <d v="2026-02-02T00:00:00"/>
    <s v="Sale"/>
    <n v="5.76"/>
  </r>
  <r>
    <x v="278"/>
    <n v="1830197"/>
    <d v="2026-02-02T00:00:00"/>
    <s v="Sale"/>
    <n v="221"/>
  </r>
  <r>
    <x v="279"/>
    <n v="1830197"/>
    <d v="2026-02-02T00:00:00"/>
    <s v="Sale"/>
    <n v="0"/>
  </r>
  <r>
    <x v="280"/>
    <n v="1830197"/>
    <d v="2026-02-02T00:00:00"/>
    <s v="Sale"/>
    <n v="0"/>
  </r>
  <r>
    <x v="281"/>
    <n v="1830197"/>
    <d v="2026-02-02T00:00:00"/>
    <s v="Sale"/>
    <n v="61"/>
  </r>
  <r>
    <x v="282"/>
    <n v="1830197"/>
    <d v="2026-02-02T00:00:00"/>
    <s v="Sale"/>
    <n v="0"/>
  </r>
  <r>
    <x v="283"/>
    <n v="1830197"/>
    <d v="2026-02-02T00:00:00"/>
    <s v="Sale"/>
    <n v="0"/>
  </r>
  <r>
    <x v="284"/>
    <n v="1830197"/>
    <d v="2026-02-02T00:00:00"/>
    <s v="Sale"/>
    <n v="3"/>
  </r>
  <r>
    <x v="285"/>
    <n v="1830197"/>
    <d v="2026-02-02T00:00:00"/>
    <s v="Sale"/>
    <n v="0"/>
  </r>
  <r>
    <x v="286"/>
    <n v="1830197"/>
    <d v="2026-02-02T00:00:00"/>
    <s v="Sale"/>
    <n v="0"/>
  </r>
  <r>
    <x v="287"/>
    <n v="1830197"/>
    <d v="2026-02-02T00:00:00"/>
    <s v="Sale"/>
    <n v="0"/>
  </r>
  <r>
    <x v="288"/>
    <n v="1830197"/>
    <d v="2026-02-02T00:00:00"/>
    <s v="Sale"/>
    <n v="0"/>
  </r>
  <r>
    <x v="289"/>
    <n v="1830197"/>
    <d v="2026-02-02T00:00:00"/>
    <s v="Sale"/>
    <n v="0"/>
  </r>
  <r>
    <x v="290"/>
    <n v="1830197"/>
    <d v="2026-02-02T00:00:00"/>
    <s v="Sale"/>
    <n v="83"/>
  </r>
  <r>
    <x v="291"/>
    <n v="1830197"/>
    <d v="2026-02-02T00:00:00"/>
    <s v="Sale"/>
    <n v="0"/>
  </r>
  <r>
    <x v="292"/>
    <n v="1830197"/>
    <d v="2026-02-02T00:00:00"/>
    <s v="Sale"/>
    <n v="0"/>
  </r>
  <r>
    <x v="293"/>
    <n v="1830197"/>
    <d v="2026-02-02T00:00:00"/>
    <s v="Sale"/>
    <n v="0"/>
  </r>
  <r>
    <x v="294"/>
    <n v="1830197"/>
    <d v="2026-02-02T00:00:00"/>
    <s v="Sale"/>
    <n v="0"/>
  </r>
  <r>
    <x v="295"/>
    <n v="1830197"/>
    <d v="2026-02-02T00:00:00"/>
    <s v="Sale"/>
    <n v="0"/>
  </r>
  <r>
    <x v="296"/>
    <n v="1830197"/>
    <d v="2026-02-02T00:00:00"/>
    <s v="Sale"/>
    <n v="0"/>
  </r>
  <r>
    <x v="297"/>
    <n v="1830197"/>
    <d v="2026-02-02T00:00:00"/>
    <s v="Sale"/>
    <n v="0"/>
  </r>
  <r>
    <x v="298"/>
    <n v="1830197"/>
    <d v="2026-02-02T00:00:00"/>
    <s v="Sale"/>
    <n v="0.14000000000000001"/>
  </r>
  <r>
    <x v="299"/>
    <n v="1830197"/>
    <d v="2026-02-02T00:00:00"/>
    <s v="Sale"/>
    <n v="0"/>
  </r>
  <r>
    <x v="300"/>
    <n v="1830197"/>
    <d v="2026-02-02T00:00:00"/>
    <s v="Sale"/>
    <n v="0"/>
  </r>
  <r>
    <x v="301"/>
    <n v="1830197"/>
    <d v="2026-02-02T00:00:00"/>
    <s v="Sale"/>
    <n v="0"/>
  </r>
  <r>
    <x v="302"/>
    <n v="1830197"/>
    <d v="2026-02-02T00:00:00"/>
    <s v="Sale"/>
    <n v="0"/>
  </r>
  <r>
    <x v="303"/>
    <n v="1830197"/>
    <d v="2026-02-02T00:00:00"/>
    <s v="Sale"/>
    <n v="0"/>
  </r>
  <r>
    <x v="304"/>
    <n v="1830197"/>
    <d v="2026-02-02T00:00:00"/>
    <s v="Sale"/>
    <n v="0"/>
  </r>
  <r>
    <x v="305"/>
    <n v="1830197"/>
    <d v="2026-02-02T00:00:00"/>
    <s v="Sale"/>
    <n v="0"/>
  </r>
  <r>
    <x v="306"/>
    <n v="1830197"/>
    <d v="2026-02-02T00:00:00"/>
    <s v="Sale"/>
    <n v="50"/>
  </r>
  <r>
    <x v="307"/>
    <n v="1830197"/>
    <d v="2026-02-02T00:00:00"/>
    <s v="Sale"/>
    <n v="0.5"/>
  </r>
  <r>
    <x v="308"/>
    <n v="1830197"/>
    <d v="2026-02-02T00:00:00"/>
    <s v="Sale"/>
    <n v="0.5"/>
  </r>
  <r>
    <x v="309"/>
    <n v="1830197"/>
    <d v="2026-02-02T00:00:00"/>
    <s v="Sale"/>
    <n v="5.2"/>
  </r>
  <r>
    <x v="310"/>
    <n v="1830197"/>
    <d v="2026-02-02T00:00:00"/>
    <s v="Sale"/>
    <n v="5.5"/>
  </r>
  <r>
    <x v="311"/>
    <n v="1830197"/>
    <d v="2026-02-02T00:00:00"/>
    <s v="Sale"/>
    <n v="30"/>
  </r>
  <r>
    <x v="312"/>
    <n v="1830197"/>
    <d v="2026-02-02T00:00:00"/>
    <s v="Sale"/>
    <n v="0"/>
  </r>
  <r>
    <x v="313"/>
    <n v="1830197"/>
    <d v="2026-02-02T00:00:00"/>
    <s v="Sale"/>
    <n v="12"/>
  </r>
  <r>
    <x v="314"/>
    <n v="1830197"/>
    <d v="2026-02-02T00:00:00"/>
    <s v="Sale"/>
    <n v="0"/>
  </r>
  <r>
    <x v="315"/>
    <n v="1830197"/>
    <d v="2026-02-02T00:00:00"/>
    <s v="Sale"/>
    <n v="0"/>
  </r>
  <r>
    <x v="316"/>
    <n v="1830197"/>
    <d v="2026-02-02T00:00:00"/>
    <s v="Sale"/>
    <n v="0"/>
  </r>
  <r>
    <x v="317"/>
    <n v="1830197"/>
    <d v="2026-02-02T00:00:00"/>
    <s v="Sale"/>
    <n v="15"/>
  </r>
  <r>
    <x v="318"/>
    <n v="1830197"/>
    <d v="2026-02-02T00:00:00"/>
    <s v="Sale"/>
    <n v="0"/>
  </r>
  <r>
    <x v="319"/>
    <n v="1830197"/>
    <d v="2026-02-02T00:00:00"/>
    <s v="Sale"/>
    <n v="0"/>
  </r>
  <r>
    <x v="320"/>
    <n v="1830197"/>
    <d v="2026-02-02T00:00:00"/>
    <s v="Sale"/>
    <n v="0"/>
  </r>
  <r>
    <x v="321"/>
    <n v="1830197"/>
    <d v="2026-02-02T00:00:00"/>
    <s v="Sale"/>
    <n v="21"/>
  </r>
  <r>
    <x v="322"/>
    <n v="1830197"/>
    <d v="2026-02-02T00:00:00"/>
    <s v="Sale"/>
    <n v="0"/>
  </r>
  <r>
    <x v="323"/>
    <n v="1830197"/>
    <d v="2026-02-02T00:00:00"/>
    <s v="Sale"/>
    <n v="0"/>
  </r>
  <r>
    <x v="324"/>
    <n v="1830197"/>
    <d v="2026-02-02T00:00:00"/>
    <s v="Sale"/>
    <n v="0"/>
  </r>
  <r>
    <x v="325"/>
    <n v="1830197"/>
    <d v="2026-02-02T00:00:00"/>
    <s v="Sale"/>
    <n v="0"/>
  </r>
  <r>
    <x v="326"/>
    <n v="1830197"/>
    <d v="2026-02-02T00:00:00"/>
    <s v="Sale"/>
    <n v="0"/>
  </r>
  <r>
    <x v="327"/>
    <n v="1830197"/>
    <d v="2026-02-02T00:00:00"/>
    <s v="Sale"/>
    <n v="0"/>
  </r>
  <r>
    <x v="328"/>
    <n v="1830197"/>
    <d v="2026-02-02T00:00:00"/>
    <s v="Sale"/>
    <n v="0"/>
  </r>
  <r>
    <x v="329"/>
    <n v="1830197"/>
    <d v="2026-02-02T00:00:00"/>
    <s v="Sale"/>
    <n v="0"/>
  </r>
  <r>
    <x v="330"/>
    <n v="1830197"/>
    <d v="2026-02-02T00:00:00"/>
    <s v="Sale"/>
    <n v="0"/>
  </r>
  <r>
    <x v="331"/>
    <n v="1830197"/>
    <d v="2026-02-02T00:00:00"/>
    <s v="Sale"/>
    <n v="3"/>
  </r>
  <r>
    <x v="332"/>
    <n v="1830197"/>
    <d v="2026-02-02T00:00:00"/>
    <s v="Sale"/>
    <n v="0"/>
  </r>
  <r>
    <x v="333"/>
    <n v="1830197"/>
    <d v="2026-02-02T00:00:00"/>
    <s v="Sale"/>
    <n v="0"/>
  </r>
  <r>
    <x v="334"/>
    <n v="1830197"/>
    <d v="2026-02-02T00:00:00"/>
    <s v="Sale"/>
    <n v="11"/>
  </r>
  <r>
    <x v="335"/>
    <n v="1830197"/>
    <d v="2026-02-02T00:00:00"/>
    <s v="Sale"/>
    <n v="0"/>
  </r>
  <r>
    <x v="336"/>
    <n v="1830197"/>
    <d v="2026-02-02T00:00:00"/>
    <s v="Sale"/>
    <n v="0"/>
  </r>
  <r>
    <x v="337"/>
    <n v="1830197"/>
    <d v="2026-02-02T00:00:00"/>
    <s v="Sale"/>
    <n v="10"/>
  </r>
  <r>
    <x v="338"/>
    <n v="1830197"/>
    <d v="2026-02-02T00:00:00"/>
    <s v="Sale"/>
    <n v="35"/>
  </r>
  <r>
    <x v="339"/>
    <n v="1830197"/>
    <d v="2026-02-02T00:00:00"/>
    <s v="Sale"/>
    <n v="15"/>
  </r>
  <r>
    <x v="340"/>
    <n v="1830197"/>
    <d v="2026-02-02T00:00:00"/>
    <s v="Sale"/>
    <n v="0"/>
  </r>
  <r>
    <x v="341"/>
    <n v="1830197"/>
    <d v="2026-02-02T00:00:00"/>
    <s v="Sale"/>
    <n v="0"/>
  </r>
  <r>
    <x v="342"/>
    <n v="1830197"/>
    <d v="2026-02-02T00:00:00"/>
    <s v="Sale"/>
    <n v="0"/>
  </r>
  <r>
    <x v="343"/>
    <n v="1830197"/>
    <d v="2026-02-02T00:00:00"/>
    <s v="Sale"/>
    <n v="0"/>
  </r>
  <r>
    <x v="344"/>
    <n v="1830197"/>
    <d v="2026-02-02T00:00:00"/>
    <s v="Sale"/>
    <n v="0"/>
  </r>
  <r>
    <x v="345"/>
    <n v="1830197"/>
    <d v="2026-02-02T00:00:00"/>
    <s v="Sale"/>
    <n v="0"/>
  </r>
  <r>
    <x v="346"/>
    <n v="1830197"/>
    <d v="2026-02-02T00:00:00"/>
    <s v="Sale"/>
    <n v="0"/>
  </r>
  <r>
    <x v="347"/>
    <n v="1830197"/>
    <d v="2026-02-02T00:00:00"/>
    <s v="Sale"/>
    <n v="0"/>
  </r>
  <r>
    <x v="348"/>
    <n v="1830197"/>
    <d v="2026-02-02T00:00:00"/>
    <s v="Sale"/>
    <n v="0"/>
  </r>
  <r>
    <x v="349"/>
    <n v="1830197"/>
    <d v="2026-02-02T00:00:00"/>
    <s v="Sale"/>
    <n v="0"/>
  </r>
  <r>
    <x v="350"/>
    <n v="1830197"/>
    <d v="2026-02-02T00:00:00"/>
    <s v="Sale"/>
    <n v="0"/>
  </r>
  <r>
    <x v="351"/>
    <n v="1830197"/>
    <d v="2026-02-02T00:00:00"/>
    <s v="Sale"/>
    <n v="0"/>
  </r>
  <r>
    <x v="352"/>
    <n v="1830197"/>
    <d v="2026-02-02T00:00:00"/>
    <s v="Sale"/>
    <n v="112"/>
  </r>
  <r>
    <x v="353"/>
    <n v="1830197"/>
    <d v="2026-02-02T00:00:00"/>
    <s v="Sale"/>
    <n v="0"/>
  </r>
  <r>
    <x v="354"/>
    <n v="1830197"/>
    <d v="2026-02-02T00:00:00"/>
    <s v="Sale"/>
    <n v="1"/>
  </r>
  <r>
    <x v="355"/>
    <n v="1830197"/>
    <d v="2026-02-02T00:00:00"/>
    <s v="Sale"/>
    <n v="0"/>
  </r>
  <r>
    <x v="356"/>
    <n v="1830197"/>
    <d v="2026-02-02T00:00:00"/>
    <s v="Sale"/>
    <n v="0"/>
  </r>
  <r>
    <x v="357"/>
    <n v="1830197"/>
    <d v="2026-02-02T00:00:00"/>
    <s v="Sale"/>
    <n v="0.2"/>
  </r>
  <r>
    <x v="358"/>
    <n v="1830197"/>
    <d v="2026-02-02T00:00:00"/>
    <s v="Sale"/>
    <n v="0"/>
  </r>
  <r>
    <x v="359"/>
    <n v="1830197"/>
    <d v="2026-02-02T00:00:00"/>
    <s v="Sale"/>
    <n v="0"/>
  </r>
  <r>
    <x v="360"/>
    <n v="1830197"/>
    <d v="2026-02-02T00:00:00"/>
    <s v="Sale"/>
    <n v="0"/>
  </r>
  <r>
    <x v="361"/>
    <n v="1830197"/>
    <d v="2026-02-02T00:00:00"/>
    <s v="Sale"/>
    <n v="0"/>
  </r>
  <r>
    <x v="362"/>
    <n v="1830197"/>
    <d v="2026-02-02T00:00:00"/>
    <s v="Sale"/>
    <n v="0"/>
  </r>
  <r>
    <x v="363"/>
    <n v="1830197"/>
    <d v="2026-02-02T00:00:00"/>
    <s v="Sale"/>
    <n v="0"/>
  </r>
  <r>
    <x v="364"/>
    <n v="1830197"/>
    <d v="2026-02-02T00:00:00"/>
    <s v="Sale"/>
    <n v="0"/>
  </r>
  <r>
    <x v="365"/>
    <n v="1830197"/>
    <d v="2026-02-02T00:00:00"/>
    <s v="Sale"/>
    <n v="0"/>
  </r>
  <r>
    <x v="366"/>
    <n v="1830197"/>
    <d v="2026-02-02T00:00:00"/>
    <s v="Sale"/>
    <n v="0"/>
  </r>
  <r>
    <x v="367"/>
    <n v="1830197"/>
    <d v="2026-02-02T00:00:00"/>
    <s v="Sale"/>
    <n v="0"/>
  </r>
  <r>
    <x v="368"/>
    <n v="1830197"/>
    <d v="2026-02-02T00:00:00"/>
    <s v="Sale"/>
    <n v="0"/>
  </r>
  <r>
    <x v="369"/>
    <n v="1830197"/>
    <d v="2026-02-02T00:00:00"/>
    <s v="Sale"/>
    <n v="0"/>
  </r>
  <r>
    <x v="370"/>
    <n v="1830197"/>
    <d v="2026-02-02T00:00:00"/>
    <s v="Sale"/>
    <n v="0"/>
  </r>
  <r>
    <x v="371"/>
    <n v="1830197"/>
    <d v="2026-02-02T00:00:00"/>
    <s v="Sale"/>
    <n v="0"/>
  </r>
  <r>
    <x v="372"/>
    <n v="1830197"/>
    <d v="2026-02-02T00:00:00"/>
    <s v="Sale"/>
    <n v="35"/>
  </r>
  <r>
    <x v="373"/>
    <n v="1830197"/>
    <d v="2026-02-02T00:00:00"/>
    <s v="Sale"/>
    <n v="4"/>
  </r>
  <r>
    <x v="374"/>
    <n v="1830197"/>
    <d v="2026-02-02T00:00:00"/>
    <s v="Sale"/>
    <n v="1.77"/>
  </r>
  <r>
    <x v="375"/>
    <n v="1830197"/>
    <d v="2026-02-02T00:00:00"/>
    <s v="Sale"/>
    <n v="0"/>
  </r>
  <r>
    <x v="376"/>
    <n v="1830197"/>
    <d v="2026-02-02T00:00:00"/>
    <s v="Sale"/>
    <n v="0"/>
  </r>
  <r>
    <x v="377"/>
    <n v="1830197"/>
    <d v="2026-02-02T00:00:00"/>
    <s v="Sale"/>
    <n v="0"/>
  </r>
  <r>
    <x v="378"/>
    <n v="1830197"/>
    <d v="2026-02-02T00:00:00"/>
    <s v="Sale"/>
    <n v="14"/>
  </r>
  <r>
    <x v="379"/>
    <n v="1830197"/>
    <d v="2026-02-02T00:00:00"/>
    <s v="Sale"/>
    <n v="0"/>
  </r>
  <r>
    <x v="380"/>
    <n v="1830197"/>
    <d v="2026-02-02T00:00:00"/>
    <s v="Sale"/>
    <n v="0"/>
  </r>
  <r>
    <x v="381"/>
    <n v="1830197"/>
    <d v="2026-02-02T00:00:00"/>
    <s v="Sale"/>
    <n v="0"/>
  </r>
  <r>
    <x v="382"/>
    <n v="1830197"/>
    <d v="2026-02-02T00:00:00"/>
    <s v="Sale"/>
    <n v="0"/>
  </r>
  <r>
    <x v="383"/>
    <n v="1830197"/>
    <d v="2026-02-02T00:00:00"/>
    <s v="Sale"/>
    <n v="0"/>
  </r>
  <r>
    <x v="384"/>
    <n v="1830197"/>
    <d v="2026-02-02T00:00:00"/>
    <s v="Sale"/>
    <n v="0"/>
  </r>
  <r>
    <x v="385"/>
    <n v="1830197"/>
    <d v="2026-02-02T00:00:00"/>
    <s v="Sale"/>
    <n v="0"/>
  </r>
  <r>
    <x v="386"/>
    <n v="1830197"/>
    <d v="2026-02-02T00:00:00"/>
    <s v="Sale"/>
    <n v="0"/>
  </r>
  <r>
    <x v="387"/>
    <n v="1830197"/>
    <d v="2026-02-02T00:00:00"/>
    <s v="Sale"/>
    <n v="0"/>
  </r>
  <r>
    <x v="388"/>
    <n v="1830197"/>
    <d v="2026-02-02T00:00:00"/>
    <s v="Sale"/>
    <n v="1"/>
  </r>
  <r>
    <x v="389"/>
    <n v="1830197"/>
    <d v="2026-02-02T00:00:00"/>
    <s v="Sale"/>
    <n v="0"/>
  </r>
  <r>
    <x v="390"/>
    <n v="1830197"/>
    <d v="2026-02-02T00:00:00"/>
    <s v="Sale"/>
    <n v="6"/>
  </r>
  <r>
    <x v="391"/>
    <n v="1830197"/>
    <d v="2026-02-02T00:00:00"/>
    <s v="Sale"/>
    <n v="39"/>
  </r>
  <r>
    <x v="392"/>
    <n v="1830197"/>
    <d v="2026-02-02T00:00:00"/>
    <s v="Sale"/>
    <n v="0"/>
  </r>
  <r>
    <x v="393"/>
    <n v="1830197"/>
    <d v="2026-02-02T00:00:00"/>
    <s v="Sale"/>
    <n v="0"/>
  </r>
  <r>
    <x v="394"/>
    <n v="1830197"/>
    <d v="2026-02-02T00:00:00"/>
    <s v="Sale"/>
    <n v="0"/>
  </r>
  <r>
    <x v="395"/>
    <n v="1830197"/>
    <d v="2026-02-02T00:00:00"/>
    <s v="Sale"/>
    <n v="0"/>
  </r>
  <r>
    <x v="396"/>
    <n v="1830197"/>
    <d v="2026-02-02T00:00:00"/>
    <s v="Sale"/>
    <n v="0"/>
  </r>
  <r>
    <x v="397"/>
    <n v="1830197"/>
    <d v="2026-02-02T00:00:00"/>
    <s v="Sale"/>
    <n v="0"/>
  </r>
  <r>
    <x v="398"/>
    <n v="1830197"/>
    <d v="2026-02-02T00:00:00"/>
    <s v="Sale"/>
    <n v="0"/>
  </r>
  <r>
    <x v="399"/>
    <n v="1830197"/>
    <d v="2026-02-02T00:00:00"/>
    <s v="Sale"/>
    <n v="0"/>
  </r>
  <r>
    <x v="400"/>
    <n v="1830197"/>
    <d v="2026-02-02T00:00:00"/>
    <s v="Sale"/>
    <n v="0"/>
  </r>
  <r>
    <x v="401"/>
    <n v="1830197"/>
    <d v="2026-02-02T00:00:00"/>
    <s v="Sale"/>
    <n v="0"/>
  </r>
  <r>
    <x v="402"/>
    <n v="1830197"/>
    <d v="2026-02-02T00:00:00"/>
    <s v="Sale"/>
    <n v="0"/>
  </r>
  <r>
    <x v="403"/>
    <n v="1830197"/>
    <d v="2026-02-02T00:00:00"/>
    <s v="Sale"/>
    <n v="0"/>
  </r>
  <r>
    <x v="404"/>
    <n v="1830197"/>
    <d v="2026-02-02T00:00:00"/>
    <s v="Sale"/>
    <n v="0"/>
  </r>
  <r>
    <x v="405"/>
    <n v="1830197"/>
    <d v="2026-02-02T00:00:00"/>
    <s v="Sale"/>
    <n v="34"/>
  </r>
  <r>
    <x v="406"/>
    <n v="1830197"/>
    <d v="2026-02-02T00:00:00"/>
    <s v="Sale"/>
    <n v="0"/>
  </r>
  <r>
    <x v="407"/>
    <n v="1830197"/>
    <d v="2026-02-02T00:00:00"/>
    <s v="Sale"/>
    <n v="0"/>
  </r>
  <r>
    <x v="408"/>
    <n v="1830197"/>
    <d v="2026-02-02T00:00:00"/>
    <s v="Sale"/>
    <n v="0"/>
  </r>
  <r>
    <x v="409"/>
    <n v="1830197"/>
    <d v="2026-02-02T00:00:00"/>
    <s v="Sale"/>
    <n v="0"/>
  </r>
  <r>
    <x v="410"/>
    <n v="1830197"/>
    <d v="2026-02-02T00:00:00"/>
    <s v="Sale"/>
    <n v="36"/>
  </r>
  <r>
    <x v="411"/>
    <n v="1830197"/>
    <d v="2026-02-02T00:00:00"/>
    <s v="Sale"/>
    <n v="0"/>
  </r>
  <r>
    <x v="412"/>
    <n v="1830197"/>
    <d v="2026-02-02T00:00:00"/>
    <s v="Sale"/>
    <n v="0"/>
  </r>
  <r>
    <x v="413"/>
    <n v="1830197"/>
    <d v="2026-02-02T00:00:00"/>
    <s v="Sale"/>
    <n v="0"/>
  </r>
  <r>
    <x v="414"/>
    <n v="1830197"/>
    <d v="2026-02-02T00:00:00"/>
    <s v="Sale"/>
    <n v="0"/>
  </r>
  <r>
    <x v="415"/>
    <n v="1830197"/>
    <d v="2026-02-02T00:00:00"/>
    <s v="Sale"/>
    <n v="0"/>
  </r>
  <r>
    <x v="416"/>
    <n v="1830197"/>
    <d v="2026-02-02T00:00:00"/>
    <s v="Sale"/>
    <n v="0"/>
  </r>
  <r>
    <x v="417"/>
    <n v="1830197"/>
    <d v="2026-02-02T00:00:00"/>
    <s v="Sale"/>
    <n v="0"/>
  </r>
  <r>
    <x v="418"/>
    <n v="1830197"/>
    <d v="2026-02-02T00:00:00"/>
    <s v="Sale"/>
    <n v="0"/>
  </r>
  <r>
    <x v="419"/>
    <n v="1830197"/>
    <d v="2026-02-02T00:00:00"/>
    <s v="Sale"/>
    <n v="0"/>
  </r>
  <r>
    <x v="420"/>
    <n v="1830197"/>
    <d v="2026-02-02T00:00:00"/>
    <s v="Sale"/>
    <n v="0"/>
  </r>
  <r>
    <x v="421"/>
    <n v="1830197"/>
    <d v="2026-02-02T00:00:00"/>
    <s v="Sale"/>
    <n v="0.2"/>
  </r>
  <r>
    <x v="422"/>
    <n v="1830197"/>
    <d v="2026-02-02T00:00:00"/>
    <s v="Sale"/>
    <n v="0"/>
  </r>
  <r>
    <x v="423"/>
    <n v="1830197"/>
    <d v="2026-02-02T00:00:00"/>
    <s v="Sale"/>
    <n v="-6"/>
  </r>
  <r>
    <x v="424"/>
    <n v="1830197"/>
    <d v="2026-02-02T00:00:00"/>
    <s v="Sale"/>
    <n v="0"/>
  </r>
  <r>
    <x v="425"/>
    <n v="1830197"/>
    <d v="2026-02-02T00:00:00"/>
    <s v="Sale"/>
    <n v="0"/>
  </r>
  <r>
    <x v="426"/>
    <n v="1830197"/>
    <d v="2026-02-02T00:00:00"/>
    <s v="Sale"/>
    <n v="0"/>
  </r>
  <r>
    <x v="427"/>
    <n v="1830197"/>
    <d v="2026-02-02T00:00:00"/>
    <s v="Sale"/>
    <n v="14"/>
  </r>
  <r>
    <x v="428"/>
    <n v="1830197"/>
    <d v="2026-02-02T00:00:00"/>
    <s v="Sale"/>
    <n v="0.86"/>
  </r>
  <r>
    <x v="429"/>
    <n v="1830197"/>
    <d v="2026-02-02T00:00:00"/>
    <s v="Sale"/>
    <n v="0"/>
  </r>
  <r>
    <x v="430"/>
    <n v="1830197"/>
    <d v="2026-02-02T00:00:00"/>
    <s v="Sale"/>
    <n v="0"/>
  </r>
  <r>
    <x v="431"/>
    <n v="1830197"/>
    <d v="2026-02-02T00:00:00"/>
    <s v="Sale"/>
    <n v="0"/>
  </r>
  <r>
    <x v="432"/>
    <n v="1830197"/>
    <d v="2026-02-02T00:00:00"/>
    <s v="Sale"/>
    <n v="2"/>
  </r>
  <r>
    <x v="433"/>
    <n v="1830197"/>
    <d v="2026-02-02T00:00:00"/>
    <s v="Sale"/>
    <n v="1"/>
  </r>
  <r>
    <x v="434"/>
    <n v="1830197"/>
    <d v="2026-02-02T00:00:00"/>
    <s v="Sale"/>
    <n v="0.1"/>
  </r>
  <r>
    <x v="435"/>
    <n v="1830197"/>
    <d v="2026-02-02T00:00:00"/>
    <s v="Sale"/>
    <n v="0"/>
  </r>
  <r>
    <x v="436"/>
    <n v="1830197"/>
    <d v="2026-02-02T00:00:00"/>
    <s v="Sale"/>
    <n v="0"/>
  </r>
  <r>
    <x v="437"/>
    <n v="1830197"/>
    <d v="2026-02-02T00:00:00"/>
    <s v="Sale"/>
    <n v="0"/>
  </r>
  <r>
    <x v="438"/>
    <n v="1830197"/>
    <d v="2026-02-02T00:00:00"/>
    <s v="Sale"/>
    <n v="0"/>
  </r>
  <r>
    <x v="439"/>
    <n v="1830197"/>
    <d v="2026-02-02T00:00:00"/>
    <s v="Sale"/>
    <n v="0"/>
  </r>
  <r>
    <x v="440"/>
    <n v="1830197"/>
    <d v="2026-02-02T00:00:00"/>
    <s v="Sale"/>
    <n v="277"/>
  </r>
  <r>
    <x v="441"/>
    <n v="1830197"/>
    <d v="2026-02-02T00:00:00"/>
    <s v="Sale"/>
    <n v="8"/>
  </r>
  <r>
    <x v="442"/>
    <n v="1830197"/>
    <d v="2026-02-02T00:00:00"/>
    <s v="Sale"/>
    <n v="8"/>
  </r>
  <r>
    <x v="443"/>
    <n v="1830197"/>
    <d v="2026-02-02T00:00:00"/>
    <s v="Sale"/>
    <n v="0"/>
  </r>
  <r>
    <x v="444"/>
    <n v="1830197"/>
    <d v="2026-02-02T00:00:00"/>
    <s v="Sale"/>
    <n v="14"/>
  </r>
  <r>
    <x v="445"/>
    <n v="1830197"/>
    <d v="2026-02-02T00:00:00"/>
    <s v="Sale"/>
    <n v="0"/>
  </r>
  <r>
    <x v="446"/>
    <n v="1830197"/>
    <d v="2026-02-02T00:00:00"/>
    <s v="Sale"/>
    <n v="3"/>
  </r>
  <r>
    <x v="447"/>
    <n v="1830197"/>
    <d v="2026-02-02T00:00:00"/>
    <s v="Sale"/>
    <n v="3"/>
  </r>
  <r>
    <x v="448"/>
    <n v="1830197"/>
    <d v="2026-02-02T00:00:00"/>
    <s v="Sale"/>
    <n v="0"/>
  </r>
  <r>
    <x v="449"/>
    <n v="1830197"/>
    <d v="2026-02-02T00:00:00"/>
    <s v="Sale"/>
    <n v="3"/>
  </r>
  <r>
    <x v="450"/>
    <n v="1830197"/>
    <d v="2026-02-02T00:00:00"/>
    <s v="Sale"/>
    <n v="0"/>
  </r>
  <r>
    <x v="451"/>
    <n v="1830197"/>
    <d v="2026-02-02T00:00:00"/>
    <s v="Sale"/>
    <n v="0"/>
  </r>
  <r>
    <x v="452"/>
    <n v="1830197"/>
    <d v="2026-02-02T00:00:00"/>
    <s v="Sale"/>
    <n v="0"/>
  </r>
  <r>
    <x v="453"/>
    <n v="1830197"/>
    <d v="2026-02-02T00:00:00"/>
    <s v="Sale"/>
    <n v="0"/>
  </r>
  <r>
    <x v="454"/>
    <n v="1830197"/>
    <d v="2026-02-02T00:00:00"/>
    <s v="Sale"/>
    <n v="0"/>
  </r>
  <r>
    <x v="455"/>
    <n v="1830197"/>
    <d v="2026-02-02T00:00:00"/>
    <s v="Sale"/>
    <n v="0"/>
  </r>
  <r>
    <x v="456"/>
    <n v="1830197"/>
    <d v="2026-02-02T00:00:00"/>
    <s v="Sale"/>
    <n v="0"/>
  </r>
  <r>
    <x v="457"/>
    <n v="1830197"/>
    <d v="2026-02-02T00:00:00"/>
    <s v="Sale"/>
    <n v="0"/>
  </r>
  <r>
    <x v="458"/>
    <n v="1830197"/>
    <d v="2026-02-02T00:00:00"/>
    <s v="Sale"/>
    <n v="0"/>
  </r>
  <r>
    <x v="459"/>
    <n v="1830197"/>
    <d v="2026-02-02T00:00:00"/>
    <s v="Sale"/>
    <n v="0"/>
  </r>
  <r>
    <x v="460"/>
    <n v="1830197"/>
    <d v="2026-02-02T00:00:00"/>
    <s v="Sale"/>
    <n v="0"/>
  </r>
  <r>
    <x v="461"/>
    <n v="1830197"/>
    <d v="2026-02-02T00:00:00"/>
    <s v="Sale"/>
    <n v="0"/>
  </r>
  <r>
    <x v="462"/>
    <n v="1830197"/>
    <d v="2026-02-02T00:00:00"/>
    <s v="Sale"/>
    <n v="0"/>
  </r>
  <r>
    <x v="463"/>
    <n v="1830197"/>
    <d v="2026-02-02T00:00:00"/>
    <s v="Sale"/>
    <n v="0"/>
  </r>
  <r>
    <x v="464"/>
    <n v="1830197"/>
    <d v="2026-02-02T00:00:00"/>
    <s v="Sale"/>
    <n v="0"/>
  </r>
  <r>
    <x v="465"/>
    <n v="1830197"/>
    <d v="2026-02-02T00:00:00"/>
    <s v="Sale"/>
    <n v="0"/>
  </r>
  <r>
    <x v="466"/>
    <n v="1830197"/>
    <d v="2026-02-02T00:00:00"/>
    <s v="Sale"/>
    <n v="0"/>
  </r>
  <r>
    <x v="467"/>
    <n v="1830197"/>
    <d v="2026-02-02T00:00:00"/>
    <s v="Sale"/>
    <n v="0"/>
  </r>
  <r>
    <x v="468"/>
    <n v="1830197"/>
    <d v="2026-02-02T00:00:00"/>
    <s v="Sale"/>
    <n v="0"/>
  </r>
  <r>
    <x v="469"/>
    <n v="1830197"/>
    <d v="2026-02-02T00:00:00"/>
    <s v="Sale"/>
    <n v="0"/>
  </r>
  <r>
    <x v="470"/>
    <n v="1830197"/>
    <d v="2026-02-02T00:00:00"/>
    <s v="Sale"/>
    <n v="0"/>
  </r>
  <r>
    <x v="471"/>
    <n v="1830197"/>
    <d v="2026-02-02T00:00:00"/>
    <s v="Sale"/>
    <n v="0"/>
  </r>
  <r>
    <x v="472"/>
    <n v="1830197"/>
    <d v="2026-02-02T00:00:00"/>
    <s v="Sale"/>
    <n v="0"/>
  </r>
  <r>
    <x v="473"/>
    <n v="1830197"/>
    <d v="2026-02-02T00:00:00"/>
    <s v="Sale"/>
    <n v="0"/>
  </r>
  <r>
    <x v="474"/>
    <n v="1830197"/>
    <d v="2026-02-02T00:00:00"/>
    <s v="Sale"/>
    <n v="0"/>
  </r>
  <r>
    <x v="475"/>
    <n v="1830197"/>
    <d v="2026-02-02T00:00:00"/>
    <s v="Sale"/>
    <n v="0"/>
  </r>
  <r>
    <x v="476"/>
    <n v="1830197"/>
    <d v="2026-02-02T00:00:00"/>
    <s v="Sale"/>
    <n v="0"/>
  </r>
  <r>
    <x v="477"/>
    <n v="1830197"/>
    <d v="2026-02-02T00:00:00"/>
    <s v="Sale"/>
    <n v="0"/>
  </r>
  <r>
    <x v="478"/>
    <n v="1830197"/>
    <d v="2026-02-02T00:00:00"/>
    <s v="Sale"/>
    <n v="0"/>
  </r>
  <r>
    <x v="479"/>
    <n v="1830197"/>
    <d v="2026-02-02T00:00:00"/>
    <s v="Sale"/>
    <n v="0.17"/>
  </r>
  <r>
    <x v="480"/>
    <n v="1830197"/>
    <d v="2026-02-02T00:00:00"/>
    <s v="Sale"/>
    <n v="0"/>
  </r>
  <r>
    <x v="481"/>
    <n v="1830197"/>
    <d v="2026-02-02T00:00:00"/>
    <s v="Sale"/>
    <n v="0"/>
  </r>
  <r>
    <x v="482"/>
    <n v="1830197"/>
    <d v="2026-02-02T00:00:00"/>
    <s v="Sale"/>
    <n v="6"/>
  </r>
  <r>
    <x v="483"/>
    <n v="1830197"/>
    <d v="2026-02-02T00:00:00"/>
    <s v="Sale"/>
    <n v="9"/>
  </r>
  <r>
    <x v="484"/>
    <n v="1830197"/>
    <d v="2026-02-02T00:00:00"/>
    <s v="Sale"/>
    <n v="0"/>
  </r>
  <r>
    <x v="485"/>
    <n v="1830197"/>
    <d v="2026-02-02T00:00:00"/>
    <s v="Sale"/>
    <n v="0"/>
  </r>
  <r>
    <x v="486"/>
    <n v="1830197"/>
    <d v="2026-02-02T00:00:00"/>
    <s v="Sale"/>
    <n v="0"/>
  </r>
  <r>
    <x v="487"/>
    <n v="1830197"/>
    <d v="2026-02-02T00:00:00"/>
    <s v="Sale"/>
    <n v="1"/>
  </r>
  <r>
    <x v="488"/>
    <n v="1830197"/>
    <d v="2026-02-02T00:00:00"/>
    <s v="Sale"/>
    <n v="0"/>
  </r>
  <r>
    <x v="489"/>
    <n v="1830197"/>
    <d v="2026-02-02T00:00:00"/>
    <s v="Sale"/>
    <n v="1"/>
  </r>
  <r>
    <x v="490"/>
    <n v="1830197"/>
    <d v="2026-02-02T00:00:00"/>
    <s v="Sale"/>
    <n v="0"/>
  </r>
  <r>
    <x v="491"/>
    <n v="1830197"/>
    <d v="2026-02-02T00:00:00"/>
    <s v="Sale"/>
    <n v="0"/>
  </r>
  <r>
    <x v="492"/>
    <n v="1830197"/>
    <d v="2026-02-02T00:00:00"/>
    <s v="Sale"/>
    <n v="0"/>
  </r>
  <r>
    <x v="493"/>
    <n v="1830197"/>
    <d v="2026-02-02T00:00:00"/>
    <s v="Sale"/>
    <n v="0"/>
  </r>
  <r>
    <x v="494"/>
    <n v="1830197"/>
    <d v="2026-02-02T00:00:00"/>
    <s v="Sale"/>
    <n v="0"/>
  </r>
  <r>
    <x v="495"/>
    <n v="1830197"/>
    <d v="2026-02-02T00:00:00"/>
    <s v="Sale"/>
    <n v="0"/>
  </r>
  <r>
    <x v="496"/>
    <n v="1830197"/>
    <d v="2026-02-02T00:00:00"/>
    <s v="Sale"/>
    <n v="0"/>
  </r>
  <r>
    <x v="497"/>
    <n v="1830197"/>
    <d v="2026-02-02T00:00:00"/>
    <s v="Sale"/>
    <n v="0"/>
  </r>
  <r>
    <x v="498"/>
    <n v="1830197"/>
    <d v="2026-02-02T00:00:00"/>
    <s v="Sale"/>
    <n v="0"/>
  </r>
  <r>
    <x v="499"/>
    <n v="1830197"/>
    <d v="2026-02-02T00:00:00"/>
    <s v="Sale"/>
    <n v="1"/>
  </r>
  <r>
    <x v="500"/>
    <n v="1830197"/>
    <d v="2026-02-02T00:00:00"/>
    <s v="Sale"/>
    <n v="4"/>
  </r>
  <r>
    <x v="501"/>
    <n v="1830197"/>
    <d v="2026-02-02T00:00:00"/>
    <s v="Sale"/>
    <n v="0"/>
  </r>
  <r>
    <x v="502"/>
    <n v="1830197"/>
    <d v="2026-02-02T00:00:00"/>
    <s v="Sale"/>
    <n v="0"/>
  </r>
  <r>
    <x v="503"/>
    <n v="1830197"/>
    <d v="2026-02-02T00:00:00"/>
    <s v="Sale"/>
    <n v="0.2"/>
  </r>
  <r>
    <x v="504"/>
    <n v="1830197"/>
    <d v="2026-02-02T00:00:00"/>
    <s v="Sale"/>
    <n v="0"/>
  </r>
  <r>
    <x v="505"/>
    <n v="1830197"/>
    <d v="2026-02-02T00:00:00"/>
    <s v="Sale"/>
    <n v="0"/>
  </r>
  <r>
    <x v="506"/>
    <n v="1830197"/>
    <d v="2026-02-02T00:00:00"/>
    <s v="Sale"/>
    <n v="0"/>
  </r>
  <r>
    <x v="507"/>
    <n v="1830197"/>
    <d v="2026-02-02T00:00:00"/>
    <s v="Sale"/>
    <n v="0"/>
  </r>
  <r>
    <x v="508"/>
    <n v="1830197"/>
    <d v="2026-02-02T00:00:00"/>
    <s v="Sale"/>
    <n v="0"/>
  </r>
  <r>
    <x v="509"/>
    <n v="1830197"/>
    <d v="2026-02-02T00:00:00"/>
    <s v="Sale"/>
    <n v="0"/>
  </r>
  <r>
    <x v="510"/>
    <n v="1830197"/>
    <d v="2026-02-02T00:00:00"/>
    <s v="Sale"/>
    <n v="0"/>
  </r>
  <r>
    <x v="511"/>
    <n v="1830197"/>
    <d v="2026-02-02T00:00:00"/>
    <s v="Sale"/>
    <n v="0"/>
  </r>
  <r>
    <x v="512"/>
    <n v="1830197"/>
    <d v="2026-02-02T00:00:00"/>
    <s v="Sale"/>
    <n v="0"/>
  </r>
  <r>
    <x v="513"/>
    <n v="1830197"/>
    <d v="2026-02-02T00:00:00"/>
    <s v="Sale"/>
    <n v="0"/>
  </r>
  <r>
    <x v="514"/>
    <n v="1830197"/>
    <d v="2026-02-02T00:00:00"/>
    <s v="Sale"/>
    <n v="0"/>
  </r>
  <r>
    <x v="515"/>
    <n v="1830197"/>
    <d v="2026-02-02T00:00:00"/>
    <s v="Sale"/>
    <n v="0"/>
  </r>
  <r>
    <x v="516"/>
    <n v="1830197"/>
    <d v="2026-02-02T00:00:00"/>
    <s v="Sale"/>
    <n v="0"/>
  </r>
  <r>
    <x v="517"/>
    <n v="1830197"/>
    <d v="2026-02-02T00:00:00"/>
    <s v="Sale"/>
    <n v="0"/>
  </r>
  <r>
    <x v="518"/>
    <n v="1830197"/>
    <d v="2026-02-02T00:00:00"/>
    <s v="Sale"/>
    <n v="0"/>
  </r>
  <r>
    <x v="519"/>
    <n v="1830197"/>
    <d v="2026-02-02T00:00:00"/>
    <s v="Sale"/>
    <n v="0"/>
  </r>
  <r>
    <x v="520"/>
    <n v="1830197"/>
    <d v="2026-02-02T00:00:00"/>
    <s v="Sale"/>
    <n v="0"/>
  </r>
  <r>
    <x v="521"/>
    <n v="1830197"/>
    <d v="2026-02-02T00:00:00"/>
    <s v="Sale"/>
    <n v="0"/>
  </r>
  <r>
    <x v="522"/>
    <n v="1830197"/>
    <d v="2026-02-02T00:00:00"/>
    <s v="Sale"/>
    <n v="0"/>
  </r>
  <r>
    <x v="0"/>
    <n v="1830197"/>
    <d v="2026-02-03T00:00:00"/>
    <s v="Sale"/>
    <n v="430"/>
  </r>
  <r>
    <x v="1"/>
    <n v="1830197"/>
    <d v="2026-02-03T00:00:00"/>
    <s v="Sale"/>
    <n v="95"/>
  </r>
  <r>
    <x v="2"/>
    <n v="1830197"/>
    <d v="2026-02-03T00:00:00"/>
    <s v="Sale"/>
    <n v="122"/>
  </r>
  <r>
    <x v="3"/>
    <n v="1830197"/>
    <d v="2026-02-03T00:00:00"/>
    <s v="Sale"/>
    <n v="483"/>
  </r>
  <r>
    <x v="4"/>
    <n v="1830197"/>
    <d v="2026-02-03T00:00:00"/>
    <s v="Sale"/>
    <n v="161"/>
  </r>
  <r>
    <x v="5"/>
    <n v="1830197"/>
    <d v="2026-02-03T00:00:00"/>
    <s v="Sale"/>
    <n v="20"/>
  </r>
  <r>
    <x v="6"/>
    <n v="1830197"/>
    <d v="2026-02-03T00:00:00"/>
    <s v="Sale"/>
    <n v="166"/>
  </r>
  <r>
    <x v="7"/>
    <n v="1830197"/>
    <d v="2026-02-03T00:00:00"/>
    <s v="Sale"/>
    <n v="0"/>
  </r>
  <r>
    <x v="8"/>
    <n v="1830197"/>
    <d v="2026-02-03T00:00:00"/>
    <s v="Sale"/>
    <n v="0"/>
  </r>
  <r>
    <x v="9"/>
    <n v="1830197"/>
    <d v="2026-02-03T00:00:00"/>
    <s v="Sale"/>
    <n v="5.36"/>
  </r>
  <r>
    <x v="10"/>
    <n v="1830197"/>
    <d v="2026-02-03T00:00:00"/>
    <s v="Sale"/>
    <n v="15.5"/>
  </r>
  <r>
    <x v="11"/>
    <n v="1830197"/>
    <d v="2026-02-03T00:00:00"/>
    <s v="Sale"/>
    <n v="637"/>
  </r>
  <r>
    <x v="12"/>
    <n v="1830197"/>
    <d v="2026-02-03T00:00:00"/>
    <s v="Sale"/>
    <n v="48.74"/>
  </r>
  <r>
    <x v="13"/>
    <n v="1830197"/>
    <d v="2026-02-03T00:00:00"/>
    <s v="Sale"/>
    <n v="282"/>
  </r>
  <r>
    <x v="14"/>
    <n v="1830197"/>
    <d v="2026-02-03T00:00:00"/>
    <s v="Sale"/>
    <n v="0.42"/>
  </r>
  <r>
    <x v="15"/>
    <n v="1830197"/>
    <d v="2026-02-03T00:00:00"/>
    <s v="Sale"/>
    <n v="81"/>
  </r>
  <r>
    <x v="16"/>
    <n v="1830197"/>
    <d v="2026-02-03T00:00:00"/>
    <s v="Sale"/>
    <n v="0.02"/>
  </r>
  <r>
    <x v="17"/>
    <n v="1830197"/>
    <d v="2026-02-03T00:00:00"/>
    <s v="Sale"/>
    <n v="0"/>
  </r>
  <r>
    <x v="18"/>
    <n v="1830197"/>
    <d v="2026-02-03T00:00:00"/>
    <s v="Sale"/>
    <n v="0"/>
  </r>
  <r>
    <x v="19"/>
    <n v="1830197"/>
    <d v="2026-02-03T00:00:00"/>
    <s v="Sale"/>
    <n v="0"/>
  </r>
  <r>
    <x v="20"/>
    <n v="1830197"/>
    <d v="2026-02-03T00:00:00"/>
    <s v="Sale"/>
    <n v="1825"/>
  </r>
  <r>
    <x v="21"/>
    <n v="1830197"/>
    <d v="2026-02-03T00:00:00"/>
    <s v="Sale"/>
    <n v="0"/>
  </r>
  <r>
    <x v="22"/>
    <n v="1830197"/>
    <d v="2026-02-03T00:00:00"/>
    <s v="Sale"/>
    <n v="218"/>
  </r>
  <r>
    <x v="23"/>
    <n v="1830197"/>
    <d v="2026-02-03T00:00:00"/>
    <s v="Sale"/>
    <n v="4.1100000000000003"/>
  </r>
  <r>
    <x v="24"/>
    <n v="1830197"/>
    <d v="2026-02-03T00:00:00"/>
    <s v="Sale"/>
    <n v="0.66"/>
  </r>
  <r>
    <x v="25"/>
    <n v="1830197"/>
    <d v="2026-02-03T00:00:00"/>
    <s v="Sale"/>
    <n v="0"/>
  </r>
  <r>
    <x v="26"/>
    <n v="1830197"/>
    <d v="2026-02-03T00:00:00"/>
    <s v="Sale"/>
    <n v="0.35"/>
  </r>
  <r>
    <x v="27"/>
    <n v="1830197"/>
    <d v="2026-02-03T00:00:00"/>
    <s v="Sale"/>
    <n v="14"/>
  </r>
  <r>
    <x v="28"/>
    <n v="1830197"/>
    <d v="2026-02-03T00:00:00"/>
    <s v="Sale"/>
    <n v="0"/>
  </r>
  <r>
    <x v="29"/>
    <n v="1830197"/>
    <d v="2026-02-03T00:00:00"/>
    <s v="Sale"/>
    <n v="3"/>
  </r>
  <r>
    <x v="30"/>
    <n v="1830197"/>
    <d v="2026-02-03T00:00:00"/>
    <s v="Sale"/>
    <n v="0"/>
  </r>
  <r>
    <x v="31"/>
    <n v="1830197"/>
    <d v="2026-02-03T00:00:00"/>
    <s v="Sale"/>
    <n v="47"/>
  </r>
  <r>
    <x v="32"/>
    <n v="1830197"/>
    <d v="2026-02-03T00:00:00"/>
    <s v="Sale"/>
    <n v="144"/>
  </r>
  <r>
    <x v="33"/>
    <n v="1830197"/>
    <d v="2026-02-03T00:00:00"/>
    <s v="Sale"/>
    <n v="10"/>
  </r>
  <r>
    <x v="34"/>
    <n v="1830197"/>
    <d v="2026-02-03T00:00:00"/>
    <s v="Sale"/>
    <n v="0"/>
  </r>
  <r>
    <x v="35"/>
    <n v="1830197"/>
    <d v="2026-02-03T00:00:00"/>
    <s v="Sale"/>
    <n v="10"/>
  </r>
  <r>
    <x v="36"/>
    <n v="1830197"/>
    <d v="2026-02-03T00:00:00"/>
    <s v="Sale"/>
    <n v="0"/>
  </r>
  <r>
    <x v="37"/>
    <n v="1830197"/>
    <d v="2026-02-03T00:00:00"/>
    <s v="Sale"/>
    <n v="0"/>
  </r>
  <r>
    <x v="38"/>
    <n v="1830197"/>
    <d v="2026-02-03T00:00:00"/>
    <s v="Sale"/>
    <n v="71"/>
  </r>
  <r>
    <x v="39"/>
    <n v="1830197"/>
    <d v="2026-02-03T00:00:00"/>
    <s v="Sale"/>
    <n v="0"/>
  </r>
  <r>
    <x v="40"/>
    <n v="1830197"/>
    <d v="2026-02-03T00:00:00"/>
    <s v="Sale"/>
    <n v="11"/>
  </r>
  <r>
    <x v="41"/>
    <n v="1830197"/>
    <d v="2026-02-03T00:00:00"/>
    <s v="Sale"/>
    <n v="81"/>
  </r>
  <r>
    <x v="42"/>
    <n v="1830197"/>
    <d v="2026-02-03T00:00:00"/>
    <s v="Sale"/>
    <n v="25"/>
  </r>
  <r>
    <x v="43"/>
    <n v="1830197"/>
    <d v="2026-02-03T00:00:00"/>
    <s v="Sale"/>
    <n v="69"/>
  </r>
  <r>
    <x v="44"/>
    <n v="1830197"/>
    <d v="2026-02-03T00:00:00"/>
    <s v="Sale"/>
    <n v="149"/>
  </r>
  <r>
    <x v="45"/>
    <n v="1830197"/>
    <d v="2026-02-03T00:00:00"/>
    <s v="Sale"/>
    <n v="753"/>
  </r>
  <r>
    <x v="46"/>
    <n v="1830197"/>
    <d v="2026-02-03T00:00:00"/>
    <s v="Sale"/>
    <n v="0"/>
  </r>
  <r>
    <x v="47"/>
    <n v="1830197"/>
    <d v="2026-02-03T00:00:00"/>
    <s v="Sale"/>
    <n v="234"/>
  </r>
  <r>
    <x v="48"/>
    <n v="1830197"/>
    <d v="2026-02-03T00:00:00"/>
    <s v="Sale"/>
    <n v="0"/>
  </r>
  <r>
    <x v="49"/>
    <n v="1830197"/>
    <d v="2026-02-03T00:00:00"/>
    <s v="Sale"/>
    <n v="0"/>
  </r>
  <r>
    <x v="50"/>
    <n v="1830197"/>
    <d v="2026-02-03T00:00:00"/>
    <s v="Sale"/>
    <n v="0"/>
  </r>
  <r>
    <x v="51"/>
    <n v="1830197"/>
    <d v="2026-02-03T00:00:00"/>
    <s v="Sale"/>
    <n v="0"/>
  </r>
  <r>
    <x v="52"/>
    <n v="1830197"/>
    <d v="2026-02-03T00:00:00"/>
    <s v="Sale"/>
    <n v="0"/>
  </r>
  <r>
    <x v="53"/>
    <n v="1830197"/>
    <d v="2026-02-03T00:00:00"/>
    <s v="Sale"/>
    <n v="149"/>
  </r>
  <r>
    <x v="54"/>
    <n v="1830197"/>
    <d v="2026-02-03T00:00:00"/>
    <s v="Sale"/>
    <n v="329"/>
  </r>
  <r>
    <x v="55"/>
    <n v="1830197"/>
    <d v="2026-02-03T00:00:00"/>
    <s v="Sale"/>
    <n v="29"/>
  </r>
  <r>
    <x v="56"/>
    <n v="1830197"/>
    <d v="2026-02-03T00:00:00"/>
    <s v="Sale"/>
    <n v="10.56"/>
  </r>
  <r>
    <x v="57"/>
    <n v="1830197"/>
    <d v="2026-02-03T00:00:00"/>
    <s v="Sale"/>
    <n v="0"/>
  </r>
  <r>
    <x v="58"/>
    <n v="1830197"/>
    <d v="2026-02-03T00:00:00"/>
    <s v="Sale"/>
    <n v="12"/>
  </r>
  <r>
    <x v="59"/>
    <n v="1830197"/>
    <d v="2026-02-03T00:00:00"/>
    <s v="Sale"/>
    <n v="6713"/>
  </r>
  <r>
    <x v="60"/>
    <n v="1830197"/>
    <d v="2026-02-03T00:00:00"/>
    <s v="Sale"/>
    <n v="0"/>
  </r>
  <r>
    <x v="61"/>
    <n v="1830197"/>
    <d v="2026-02-03T00:00:00"/>
    <s v="Sale"/>
    <n v="13"/>
  </r>
  <r>
    <x v="62"/>
    <n v="1830197"/>
    <d v="2026-02-03T00:00:00"/>
    <s v="Sale"/>
    <n v="0"/>
  </r>
  <r>
    <x v="63"/>
    <n v="1830197"/>
    <d v="2026-02-03T00:00:00"/>
    <s v="Sale"/>
    <n v="2"/>
  </r>
  <r>
    <x v="64"/>
    <n v="1830197"/>
    <d v="2026-02-03T00:00:00"/>
    <s v="Sale"/>
    <n v="1162"/>
  </r>
  <r>
    <x v="65"/>
    <n v="1830197"/>
    <d v="2026-02-03T00:00:00"/>
    <s v="Sale"/>
    <n v="0"/>
  </r>
  <r>
    <x v="66"/>
    <n v="1830197"/>
    <d v="2026-02-03T00:00:00"/>
    <s v="Sale"/>
    <n v="10.9"/>
  </r>
  <r>
    <x v="67"/>
    <n v="1830197"/>
    <d v="2026-02-03T00:00:00"/>
    <s v="Sale"/>
    <n v="5"/>
  </r>
  <r>
    <x v="68"/>
    <n v="1830197"/>
    <d v="2026-02-03T00:00:00"/>
    <s v="Sale"/>
    <n v="16"/>
  </r>
  <r>
    <x v="69"/>
    <n v="1830197"/>
    <d v="2026-02-03T00:00:00"/>
    <s v="Sale"/>
    <n v="0"/>
  </r>
  <r>
    <x v="70"/>
    <n v="1830197"/>
    <d v="2026-02-03T00:00:00"/>
    <s v="Sale"/>
    <n v="30"/>
  </r>
  <r>
    <x v="71"/>
    <n v="1830197"/>
    <d v="2026-02-03T00:00:00"/>
    <s v="Sale"/>
    <n v="59"/>
  </r>
  <r>
    <x v="72"/>
    <n v="1830197"/>
    <d v="2026-02-03T00:00:00"/>
    <s v="Sale"/>
    <n v="7"/>
  </r>
  <r>
    <x v="73"/>
    <n v="1830197"/>
    <d v="2026-02-03T00:00:00"/>
    <s v="Sale"/>
    <n v="20"/>
  </r>
  <r>
    <x v="74"/>
    <n v="1830197"/>
    <d v="2026-02-03T00:00:00"/>
    <s v="Sale"/>
    <n v="43"/>
  </r>
  <r>
    <x v="75"/>
    <n v="1830197"/>
    <d v="2026-02-03T00:00:00"/>
    <s v="Sale"/>
    <n v="0"/>
  </r>
  <r>
    <x v="76"/>
    <n v="1830197"/>
    <d v="2026-02-03T00:00:00"/>
    <s v="Sale"/>
    <n v="18"/>
  </r>
  <r>
    <x v="77"/>
    <n v="1830197"/>
    <d v="2026-02-03T00:00:00"/>
    <s v="Sale"/>
    <n v="0"/>
  </r>
  <r>
    <x v="78"/>
    <n v="1830197"/>
    <d v="2026-02-03T00:00:00"/>
    <s v="Sale"/>
    <n v="0"/>
  </r>
  <r>
    <x v="79"/>
    <n v="1830197"/>
    <d v="2026-02-03T00:00:00"/>
    <s v="Sale"/>
    <n v="5"/>
  </r>
  <r>
    <x v="80"/>
    <n v="1830197"/>
    <d v="2026-02-03T00:00:00"/>
    <s v="Sale"/>
    <n v="16"/>
  </r>
  <r>
    <x v="81"/>
    <n v="1830197"/>
    <d v="2026-02-03T00:00:00"/>
    <s v="Sale"/>
    <n v="0"/>
  </r>
  <r>
    <x v="82"/>
    <n v="1830197"/>
    <d v="2026-02-03T00:00:00"/>
    <s v="Sale"/>
    <n v="0"/>
  </r>
  <r>
    <x v="83"/>
    <n v="1830197"/>
    <d v="2026-02-03T00:00:00"/>
    <s v="Sale"/>
    <n v="1"/>
  </r>
  <r>
    <x v="84"/>
    <n v="1830197"/>
    <d v="2026-02-03T00:00:00"/>
    <s v="Sale"/>
    <n v="81"/>
  </r>
  <r>
    <x v="85"/>
    <n v="1830197"/>
    <d v="2026-02-03T00:00:00"/>
    <s v="Sale"/>
    <n v="0"/>
  </r>
  <r>
    <x v="86"/>
    <n v="1830197"/>
    <d v="2026-02-03T00:00:00"/>
    <s v="Sale"/>
    <n v="0"/>
  </r>
  <r>
    <x v="87"/>
    <n v="1830197"/>
    <d v="2026-02-03T00:00:00"/>
    <s v="Sale"/>
    <n v="0"/>
  </r>
  <r>
    <x v="88"/>
    <n v="1830197"/>
    <d v="2026-02-03T00:00:00"/>
    <s v="Sale"/>
    <n v="0"/>
  </r>
  <r>
    <x v="89"/>
    <n v="1830197"/>
    <d v="2026-02-03T00:00:00"/>
    <s v="Sale"/>
    <n v="0.44"/>
  </r>
  <r>
    <x v="90"/>
    <n v="1830197"/>
    <d v="2026-02-03T00:00:00"/>
    <s v="Sale"/>
    <n v="1294"/>
  </r>
  <r>
    <x v="91"/>
    <n v="1830197"/>
    <d v="2026-02-03T00:00:00"/>
    <s v="Sale"/>
    <n v="132"/>
  </r>
  <r>
    <x v="92"/>
    <n v="1830197"/>
    <d v="2026-02-03T00:00:00"/>
    <s v="Sale"/>
    <n v="0"/>
  </r>
  <r>
    <x v="93"/>
    <n v="1830197"/>
    <d v="2026-02-03T00:00:00"/>
    <s v="Sale"/>
    <n v="0"/>
  </r>
  <r>
    <x v="94"/>
    <n v="1830197"/>
    <d v="2026-02-03T00:00:00"/>
    <s v="Sale"/>
    <n v="300"/>
  </r>
  <r>
    <x v="95"/>
    <n v="1830197"/>
    <d v="2026-02-03T00:00:00"/>
    <s v="Sale"/>
    <n v="0"/>
  </r>
  <r>
    <x v="96"/>
    <n v="1830197"/>
    <d v="2026-02-03T00:00:00"/>
    <s v="Sale"/>
    <n v="220"/>
  </r>
  <r>
    <x v="97"/>
    <n v="1830197"/>
    <d v="2026-02-03T00:00:00"/>
    <s v="Sale"/>
    <n v="21"/>
  </r>
  <r>
    <x v="98"/>
    <n v="1830197"/>
    <d v="2026-02-03T00:00:00"/>
    <s v="Sale"/>
    <n v="47"/>
  </r>
  <r>
    <x v="99"/>
    <n v="1830197"/>
    <d v="2026-02-03T00:00:00"/>
    <s v="Sale"/>
    <n v="177"/>
  </r>
  <r>
    <x v="100"/>
    <n v="1830197"/>
    <d v="2026-02-03T00:00:00"/>
    <s v="Sale"/>
    <n v="2"/>
  </r>
  <r>
    <x v="101"/>
    <n v="1830197"/>
    <d v="2026-02-03T00:00:00"/>
    <s v="Sale"/>
    <n v="0"/>
  </r>
  <r>
    <x v="102"/>
    <n v="1830197"/>
    <d v="2026-02-03T00:00:00"/>
    <s v="Sale"/>
    <n v="69"/>
  </r>
  <r>
    <x v="103"/>
    <n v="1830197"/>
    <d v="2026-02-03T00:00:00"/>
    <s v="Sale"/>
    <n v="0"/>
  </r>
  <r>
    <x v="104"/>
    <n v="1830197"/>
    <d v="2026-02-03T00:00:00"/>
    <s v="Sale"/>
    <n v="0"/>
  </r>
  <r>
    <x v="105"/>
    <n v="1830197"/>
    <d v="2026-02-03T00:00:00"/>
    <s v="Sale"/>
    <n v="12"/>
  </r>
  <r>
    <x v="106"/>
    <n v="1830197"/>
    <d v="2026-02-03T00:00:00"/>
    <s v="Sale"/>
    <n v="0"/>
  </r>
  <r>
    <x v="107"/>
    <n v="1830197"/>
    <d v="2026-02-03T00:00:00"/>
    <s v="Sale"/>
    <n v="0"/>
  </r>
  <r>
    <x v="108"/>
    <n v="1830197"/>
    <d v="2026-02-03T00:00:00"/>
    <s v="Sale"/>
    <n v="0"/>
  </r>
  <r>
    <x v="109"/>
    <n v="1830197"/>
    <d v="2026-02-03T00:00:00"/>
    <s v="Sale"/>
    <n v="0"/>
  </r>
  <r>
    <x v="110"/>
    <n v="1830197"/>
    <d v="2026-02-03T00:00:00"/>
    <s v="Sale"/>
    <n v="0"/>
  </r>
  <r>
    <x v="111"/>
    <n v="1830197"/>
    <d v="2026-02-03T00:00:00"/>
    <s v="Sale"/>
    <n v="0"/>
  </r>
  <r>
    <x v="112"/>
    <n v="1830197"/>
    <d v="2026-02-03T00:00:00"/>
    <s v="Sale"/>
    <n v="0"/>
  </r>
  <r>
    <x v="113"/>
    <n v="1830197"/>
    <d v="2026-02-03T00:00:00"/>
    <s v="Sale"/>
    <n v="1.81"/>
  </r>
  <r>
    <x v="114"/>
    <n v="1830197"/>
    <d v="2026-02-03T00:00:00"/>
    <s v="Sale"/>
    <n v="15.54"/>
  </r>
  <r>
    <x v="115"/>
    <n v="1830197"/>
    <d v="2026-02-03T00:00:00"/>
    <s v="Sale"/>
    <n v="64"/>
  </r>
  <r>
    <x v="116"/>
    <n v="1830197"/>
    <d v="2026-02-03T00:00:00"/>
    <s v="Sale"/>
    <n v="0"/>
  </r>
  <r>
    <x v="117"/>
    <n v="1830197"/>
    <d v="2026-02-03T00:00:00"/>
    <s v="Sale"/>
    <n v="0"/>
  </r>
  <r>
    <x v="118"/>
    <n v="1830197"/>
    <d v="2026-02-03T00:00:00"/>
    <s v="Sale"/>
    <n v="482"/>
  </r>
  <r>
    <x v="119"/>
    <n v="1830197"/>
    <d v="2026-02-03T00:00:00"/>
    <s v="Sale"/>
    <n v="69"/>
  </r>
  <r>
    <x v="120"/>
    <n v="1830197"/>
    <d v="2026-02-03T00:00:00"/>
    <s v="Sale"/>
    <n v="0"/>
  </r>
  <r>
    <x v="121"/>
    <n v="1830197"/>
    <d v="2026-02-03T00:00:00"/>
    <s v="Sale"/>
    <n v="0"/>
  </r>
  <r>
    <x v="122"/>
    <n v="1830197"/>
    <d v="2026-02-03T00:00:00"/>
    <s v="Sale"/>
    <n v="243"/>
  </r>
  <r>
    <x v="123"/>
    <n v="1830197"/>
    <d v="2026-02-03T00:00:00"/>
    <s v="Sale"/>
    <n v="0"/>
  </r>
  <r>
    <x v="124"/>
    <n v="1830197"/>
    <d v="2026-02-03T00:00:00"/>
    <s v="Sale"/>
    <n v="0"/>
  </r>
  <r>
    <x v="125"/>
    <n v="1830197"/>
    <d v="2026-02-03T00:00:00"/>
    <s v="Sale"/>
    <n v="0"/>
  </r>
  <r>
    <x v="126"/>
    <n v="1830197"/>
    <d v="2026-02-03T00:00:00"/>
    <s v="Sale"/>
    <n v="0"/>
  </r>
  <r>
    <x v="127"/>
    <n v="1830197"/>
    <d v="2026-02-03T00:00:00"/>
    <s v="Sale"/>
    <n v="97"/>
  </r>
  <r>
    <x v="128"/>
    <n v="1830197"/>
    <d v="2026-02-03T00:00:00"/>
    <s v="Sale"/>
    <n v="0"/>
  </r>
  <r>
    <x v="129"/>
    <n v="1830197"/>
    <d v="2026-02-03T00:00:00"/>
    <s v="Sale"/>
    <n v="-7.0000000000000007E-2"/>
  </r>
  <r>
    <x v="130"/>
    <n v="1830197"/>
    <d v="2026-02-03T00:00:00"/>
    <s v="Sale"/>
    <n v="2"/>
  </r>
  <r>
    <x v="131"/>
    <n v="1830197"/>
    <d v="2026-02-03T00:00:00"/>
    <s v="Sale"/>
    <n v="670"/>
  </r>
  <r>
    <x v="132"/>
    <n v="1830197"/>
    <d v="2026-02-03T00:00:00"/>
    <s v="Sale"/>
    <n v="0"/>
  </r>
  <r>
    <x v="133"/>
    <n v="1830197"/>
    <d v="2026-02-03T00:00:00"/>
    <s v="Sale"/>
    <n v="0"/>
  </r>
  <r>
    <x v="134"/>
    <n v="1830197"/>
    <d v="2026-02-03T00:00:00"/>
    <s v="Sale"/>
    <n v="0"/>
  </r>
  <r>
    <x v="135"/>
    <n v="1830197"/>
    <d v="2026-02-03T00:00:00"/>
    <s v="Sale"/>
    <n v="13"/>
  </r>
  <r>
    <x v="136"/>
    <n v="1830197"/>
    <d v="2026-02-03T00:00:00"/>
    <s v="Sale"/>
    <n v="0"/>
  </r>
  <r>
    <x v="137"/>
    <n v="1830197"/>
    <d v="2026-02-03T00:00:00"/>
    <s v="Sale"/>
    <n v="0"/>
  </r>
  <r>
    <x v="138"/>
    <n v="1830197"/>
    <d v="2026-02-03T00:00:00"/>
    <s v="Sale"/>
    <n v="0"/>
  </r>
  <r>
    <x v="139"/>
    <n v="1830197"/>
    <d v="2026-02-03T00:00:00"/>
    <s v="Sale"/>
    <n v="0"/>
  </r>
  <r>
    <x v="140"/>
    <n v="1830197"/>
    <d v="2026-02-03T00:00:00"/>
    <s v="Sale"/>
    <n v="0"/>
  </r>
  <r>
    <x v="141"/>
    <n v="1830197"/>
    <d v="2026-02-03T00:00:00"/>
    <s v="Sale"/>
    <n v="0"/>
  </r>
  <r>
    <x v="142"/>
    <n v="1830197"/>
    <d v="2026-02-03T00:00:00"/>
    <s v="Sale"/>
    <n v="3"/>
  </r>
  <r>
    <x v="143"/>
    <n v="1830197"/>
    <d v="2026-02-03T00:00:00"/>
    <s v="Sale"/>
    <n v="9"/>
  </r>
  <r>
    <x v="144"/>
    <n v="1830197"/>
    <d v="2026-02-03T00:00:00"/>
    <s v="Sale"/>
    <n v="5.03"/>
  </r>
  <r>
    <x v="145"/>
    <n v="1830197"/>
    <d v="2026-02-03T00:00:00"/>
    <s v="Sale"/>
    <n v="0"/>
  </r>
  <r>
    <x v="146"/>
    <n v="1830197"/>
    <d v="2026-02-03T00:00:00"/>
    <s v="Sale"/>
    <n v="0"/>
  </r>
  <r>
    <x v="147"/>
    <n v="1830197"/>
    <d v="2026-02-03T00:00:00"/>
    <s v="Sale"/>
    <n v="0.45"/>
  </r>
  <r>
    <x v="148"/>
    <n v="1830197"/>
    <d v="2026-02-03T00:00:00"/>
    <s v="Sale"/>
    <n v="14"/>
  </r>
  <r>
    <x v="149"/>
    <n v="1830197"/>
    <d v="2026-02-03T00:00:00"/>
    <s v="Sale"/>
    <n v="179"/>
  </r>
  <r>
    <x v="150"/>
    <n v="1830197"/>
    <d v="2026-02-03T00:00:00"/>
    <s v="Sale"/>
    <n v="30"/>
  </r>
  <r>
    <x v="151"/>
    <n v="1830197"/>
    <d v="2026-02-03T00:00:00"/>
    <s v="Sale"/>
    <n v="0"/>
  </r>
  <r>
    <x v="152"/>
    <n v="1830197"/>
    <d v="2026-02-03T00:00:00"/>
    <s v="Sale"/>
    <n v="0"/>
  </r>
  <r>
    <x v="153"/>
    <n v="1830197"/>
    <d v="2026-02-03T00:00:00"/>
    <s v="Sale"/>
    <n v="12"/>
  </r>
  <r>
    <x v="154"/>
    <n v="1830197"/>
    <d v="2026-02-03T00:00:00"/>
    <s v="Sale"/>
    <n v="0"/>
  </r>
  <r>
    <x v="155"/>
    <n v="1830197"/>
    <d v="2026-02-03T00:00:00"/>
    <s v="Sale"/>
    <n v="2.77"/>
  </r>
  <r>
    <x v="156"/>
    <n v="1830197"/>
    <d v="2026-02-03T00:00:00"/>
    <s v="Sale"/>
    <n v="0"/>
  </r>
  <r>
    <x v="157"/>
    <n v="1830197"/>
    <d v="2026-02-03T00:00:00"/>
    <s v="Sale"/>
    <n v="0"/>
  </r>
  <r>
    <x v="158"/>
    <n v="1830197"/>
    <d v="2026-02-03T00:00:00"/>
    <s v="Sale"/>
    <n v="0"/>
  </r>
  <r>
    <x v="159"/>
    <n v="1830197"/>
    <d v="2026-02-03T00:00:00"/>
    <s v="Sale"/>
    <n v="14.83"/>
  </r>
  <r>
    <x v="160"/>
    <n v="1830197"/>
    <d v="2026-02-03T00:00:00"/>
    <s v="Sale"/>
    <n v="1"/>
  </r>
  <r>
    <x v="161"/>
    <n v="1830197"/>
    <d v="2026-02-03T00:00:00"/>
    <s v="Sale"/>
    <n v="3"/>
  </r>
  <r>
    <x v="162"/>
    <n v="1830197"/>
    <d v="2026-02-03T00:00:00"/>
    <s v="Sale"/>
    <n v="4"/>
  </r>
  <r>
    <x v="163"/>
    <n v="1830197"/>
    <d v="2026-02-03T00:00:00"/>
    <s v="Sale"/>
    <n v="0"/>
  </r>
  <r>
    <x v="164"/>
    <n v="1830197"/>
    <d v="2026-02-03T00:00:00"/>
    <s v="Sale"/>
    <n v="0"/>
  </r>
  <r>
    <x v="165"/>
    <n v="1830197"/>
    <d v="2026-02-03T00:00:00"/>
    <s v="Sale"/>
    <n v="0"/>
  </r>
  <r>
    <x v="166"/>
    <n v="1830197"/>
    <d v="2026-02-03T00:00:00"/>
    <s v="Sale"/>
    <n v="0"/>
  </r>
  <r>
    <x v="167"/>
    <n v="1830197"/>
    <d v="2026-02-03T00:00:00"/>
    <s v="Sale"/>
    <n v="0"/>
  </r>
  <r>
    <x v="168"/>
    <n v="1830197"/>
    <d v="2026-02-03T00:00:00"/>
    <s v="Sale"/>
    <n v="0"/>
  </r>
  <r>
    <x v="169"/>
    <n v="1830197"/>
    <d v="2026-02-03T00:00:00"/>
    <s v="Sale"/>
    <n v="-0.1"/>
  </r>
  <r>
    <x v="170"/>
    <n v="1830197"/>
    <d v="2026-02-03T00:00:00"/>
    <s v="Sale"/>
    <n v="0"/>
  </r>
  <r>
    <x v="171"/>
    <n v="1830197"/>
    <d v="2026-02-03T00:00:00"/>
    <s v="Sale"/>
    <n v="19"/>
  </r>
  <r>
    <x v="172"/>
    <n v="1830197"/>
    <d v="2026-02-03T00:00:00"/>
    <s v="Sale"/>
    <n v="231"/>
  </r>
  <r>
    <x v="173"/>
    <n v="1830197"/>
    <d v="2026-02-03T00:00:00"/>
    <s v="Sale"/>
    <n v="0"/>
  </r>
  <r>
    <x v="174"/>
    <n v="1830197"/>
    <d v="2026-02-03T00:00:00"/>
    <s v="Sale"/>
    <n v="0"/>
  </r>
  <r>
    <x v="175"/>
    <n v="1830197"/>
    <d v="2026-02-03T00:00:00"/>
    <s v="Sale"/>
    <n v="424"/>
  </r>
  <r>
    <x v="176"/>
    <n v="1830197"/>
    <d v="2026-02-03T00:00:00"/>
    <s v="Sale"/>
    <n v="177"/>
  </r>
  <r>
    <x v="177"/>
    <n v="1830197"/>
    <d v="2026-02-03T00:00:00"/>
    <s v="Sale"/>
    <n v="0"/>
  </r>
  <r>
    <x v="178"/>
    <n v="1830197"/>
    <d v="2026-02-03T00:00:00"/>
    <s v="Sale"/>
    <n v="82"/>
  </r>
  <r>
    <x v="179"/>
    <n v="1830197"/>
    <d v="2026-02-03T00:00:00"/>
    <s v="Sale"/>
    <n v="0"/>
  </r>
  <r>
    <x v="180"/>
    <n v="1830197"/>
    <d v="2026-02-03T00:00:00"/>
    <s v="Sale"/>
    <n v="0"/>
  </r>
  <r>
    <x v="181"/>
    <n v="1830197"/>
    <d v="2026-02-03T00:00:00"/>
    <s v="Sale"/>
    <n v="1.49"/>
  </r>
  <r>
    <x v="182"/>
    <n v="1830197"/>
    <d v="2026-02-03T00:00:00"/>
    <s v="Sale"/>
    <n v="0"/>
  </r>
  <r>
    <x v="183"/>
    <n v="1830197"/>
    <d v="2026-02-03T00:00:00"/>
    <s v="Sale"/>
    <n v="0"/>
  </r>
  <r>
    <x v="184"/>
    <n v="1830197"/>
    <d v="2026-02-03T00:00:00"/>
    <s v="Sale"/>
    <n v="0"/>
  </r>
  <r>
    <x v="185"/>
    <n v="1830197"/>
    <d v="2026-02-03T00:00:00"/>
    <s v="Sale"/>
    <n v="5.68"/>
  </r>
  <r>
    <x v="186"/>
    <n v="1830197"/>
    <d v="2026-02-03T00:00:00"/>
    <s v="Sale"/>
    <n v="71"/>
  </r>
  <r>
    <x v="187"/>
    <n v="1830197"/>
    <d v="2026-02-03T00:00:00"/>
    <s v="Sale"/>
    <n v="179"/>
  </r>
  <r>
    <x v="188"/>
    <n v="1830197"/>
    <d v="2026-02-03T00:00:00"/>
    <s v="Sale"/>
    <n v="0"/>
  </r>
  <r>
    <x v="189"/>
    <n v="1830197"/>
    <d v="2026-02-03T00:00:00"/>
    <s v="Sale"/>
    <n v="0"/>
  </r>
  <r>
    <x v="190"/>
    <n v="1830197"/>
    <d v="2026-02-03T00:00:00"/>
    <s v="Sale"/>
    <n v="27"/>
  </r>
  <r>
    <x v="191"/>
    <n v="1830197"/>
    <d v="2026-02-03T00:00:00"/>
    <s v="Sale"/>
    <n v="4.1399999999999997"/>
  </r>
  <r>
    <x v="192"/>
    <n v="1830197"/>
    <d v="2026-02-03T00:00:00"/>
    <s v="Sale"/>
    <n v="0"/>
  </r>
  <r>
    <x v="193"/>
    <n v="1830197"/>
    <d v="2026-02-03T00:00:00"/>
    <s v="Sale"/>
    <n v="0"/>
  </r>
  <r>
    <x v="194"/>
    <n v="1830197"/>
    <d v="2026-02-03T00:00:00"/>
    <s v="Sale"/>
    <n v="0"/>
  </r>
  <r>
    <x v="195"/>
    <n v="1830197"/>
    <d v="2026-02-03T00:00:00"/>
    <s v="Sale"/>
    <n v="0"/>
  </r>
  <r>
    <x v="196"/>
    <n v="1830197"/>
    <d v="2026-02-03T00:00:00"/>
    <s v="Sale"/>
    <n v="0"/>
  </r>
  <r>
    <x v="197"/>
    <n v="1830197"/>
    <d v="2026-02-03T00:00:00"/>
    <s v="Sale"/>
    <n v="204"/>
  </r>
  <r>
    <x v="198"/>
    <n v="1830197"/>
    <d v="2026-02-03T00:00:00"/>
    <s v="Sale"/>
    <n v="0"/>
  </r>
  <r>
    <x v="199"/>
    <n v="1830197"/>
    <d v="2026-02-03T00:00:00"/>
    <s v="Sale"/>
    <n v="0"/>
  </r>
  <r>
    <x v="200"/>
    <n v="1830197"/>
    <d v="2026-02-03T00:00:00"/>
    <s v="Sale"/>
    <n v="0"/>
  </r>
  <r>
    <x v="201"/>
    <n v="1830197"/>
    <d v="2026-02-03T00:00:00"/>
    <s v="Sale"/>
    <n v="0"/>
  </r>
  <r>
    <x v="202"/>
    <n v="1830197"/>
    <d v="2026-02-03T00:00:00"/>
    <s v="Sale"/>
    <n v="0"/>
  </r>
  <r>
    <x v="203"/>
    <n v="1830197"/>
    <d v="2026-02-03T00:00:00"/>
    <s v="Sale"/>
    <n v="2"/>
  </r>
  <r>
    <x v="204"/>
    <n v="1830197"/>
    <d v="2026-02-03T00:00:00"/>
    <s v="Sale"/>
    <n v="1.04"/>
  </r>
  <r>
    <x v="205"/>
    <n v="1830197"/>
    <d v="2026-02-03T00:00:00"/>
    <s v="Sale"/>
    <n v="0"/>
  </r>
  <r>
    <x v="206"/>
    <n v="1830197"/>
    <d v="2026-02-03T00:00:00"/>
    <s v="Sale"/>
    <n v="0"/>
  </r>
  <r>
    <x v="207"/>
    <n v="1830197"/>
    <d v="2026-02-03T00:00:00"/>
    <s v="Sale"/>
    <n v="47"/>
  </r>
  <r>
    <x v="208"/>
    <n v="1830197"/>
    <d v="2026-02-03T00:00:00"/>
    <s v="Sale"/>
    <n v="0"/>
  </r>
  <r>
    <x v="209"/>
    <n v="1830197"/>
    <d v="2026-02-03T00:00:00"/>
    <s v="Sale"/>
    <n v="24"/>
  </r>
  <r>
    <x v="210"/>
    <n v="1830197"/>
    <d v="2026-02-03T00:00:00"/>
    <s v="Sale"/>
    <n v="0"/>
  </r>
  <r>
    <x v="211"/>
    <n v="1830197"/>
    <d v="2026-02-03T00:00:00"/>
    <s v="Sale"/>
    <n v="0"/>
  </r>
  <r>
    <x v="212"/>
    <n v="1830197"/>
    <d v="2026-02-03T00:00:00"/>
    <s v="Sale"/>
    <n v="114"/>
  </r>
  <r>
    <x v="213"/>
    <n v="1830197"/>
    <d v="2026-02-03T00:00:00"/>
    <s v="Sale"/>
    <n v="0"/>
  </r>
  <r>
    <x v="214"/>
    <n v="1830197"/>
    <d v="2026-02-03T00:00:00"/>
    <s v="Sale"/>
    <n v="0"/>
  </r>
  <r>
    <x v="215"/>
    <n v="1830197"/>
    <d v="2026-02-03T00:00:00"/>
    <s v="Sale"/>
    <n v="0"/>
  </r>
  <r>
    <x v="216"/>
    <n v="1830197"/>
    <d v="2026-02-03T00:00:00"/>
    <s v="Sale"/>
    <n v="0"/>
  </r>
  <r>
    <x v="217"/>
    <n v="1830197"/>
    <d v="2026-02-03T00:00:00"/>
    <s v="Sale"/>
    <n v="0"/>
  </r>
  <r>
    <x v="218"/>
    <n v="1830197"/>
    <d v="2026-02-03T00:00:00"/>
    <s v="Sale"/>
    <n v="0"/>
  </r>
  <r>
    <x v="219"/>
    <n v="1830197"/>
    <d v="2026-02-03T00:00:00"/>
    <s v="Sale"/>
    <n v="0"/>
  </r>
  <r>
    <x v="220"/>
    <n v="1830197"/>
    <d v="2026-02-03T00:00:00"/>
    <s v="Sale"/>
    <n v="14"/>
  </r>
  <r>
    <x v="221"/>
    <n v="1830197"/>
    <d v="2026-02-03T00:00:00"/>
    <s v="Sale"/>
    <n v="15"/>
  </r>
  <r>
    <x v="222"/>
    <n v="1830197"/>
    <d v="2026-02-03T00:00:00"/>
    <s v="Sale"/>
    <n v="365"/>
  </r>
  <r>
    <x v="223"/>
    <n v="1830197"/>
    <d v="2026-02-03T00:00:00"/>
    <s v="Sale"/>
    <n v="1.9"/>
  </r>
  <r>
    <x v="224"/>
    <n v="1830197"/>
    <d v="2026-02-03T00:00:00"/>
    <s v="Sale"/>
    <n v="10.49"/>
  </r>
  <r>
    <x v="225"/>
    <n v="1830197"/>
    <d v="2026-02-03T00:00:00"/>
    <s v="Sale"/>
    <n v="0"/>
  </r>
  <r>
    <x v="226"/>
    <n v="1830197"/>
    <d v="2026-02-03T00:00:00"/>
    <s v="Sale"/>
    <n v="0"/>
  </r>
  <r>
    <x v="227"/>
    <n v="1830197"/>
    <d v="2026-02-03T00:00:00"/>
    <s v="Sale"/>
    <n v="0"/>
  </r>
  <r>
    <x v="228"/>
    <n v="1830197"/>
    <d v="2026-02-03T00:00:00"/>
    <s v="Sale"/>
    <n v="0"/>
  </r>
  <r>
    <x v="229"/>
    <n v="1830197"/>
    <d v="2026-02-03T00:00:00"/>
    <s v="Sale"/>
    <n v="0"/>
  </r>
  <r>
    <x v="230"/>
    <n v="1830197"/>
    <d v="2026-02-03T00:00:00"/>
    <s v="Sale"/>
    <n v="0"/>
  </r>
  <r>
    <x v="231"/>
    <n v="1830197"/>
    <d v="2026-02-03T00:00:00"/>
    <s v="Sale"/>
    <n v="0"/>
  </r>
  <r>
    <x v="232"/>
    <n v="1830197"/>
    <d v="2026-02-03T00:00:00"/>
    <s v="Sale"/>
    <n v="7"/>
  </r>
  <r>
    <x v="233"/>
    <n v="1830197"/>
    <d v="2026-02-03T00:00:00"/>
    <s v="Sale"/>
    <n v="0"/>
  </r>
  <r>
    <x v="234"/>
    <n v="1830197"/>
    <d v="2026-02-03T00:00:00"/>
    <s v="Sale"/>
    <n v="0"/>
  </r>
  <r>
    <x v="235"/>
    <n v="1830197"/>
    <d v="2026-02-03T00:00:00"/>
    <s v="Sale"/>
    <n v="0"/>
  </r>
  <r>
    <x v="236"/>
    <n v="1830197"/>
    <d v="2026-02-03T00:00:00"/>
    <s v="Sale"/>
    <n v="0"/>
  </r>
  <r>
    <x v="237"/>
    <n v="1830197"/>
    <d v="2026-02-03T00:00:00"/>
    <s v="Sale"/>
    <n v="0"/>
  </r>
  <r>
    <x v="238"/>
    <n v="1830197"/>
    <d v="2026-02-03T00:00:00"/>
    <s v="Sale"/>
    <n v="0"/>
  </r>
  <r>
    <x v="239"/>
    <n v="1830197"/>
    <d v="2026-02-03T00:00:00"/>
    <s v="Sale"/>
    <n v="0"/>
  </r>
  <r>
    <x v="240"/>
    <n v="1830197"/>
    <d v="2026-02-03T00:00:00"/>
    <s v="Sale"/>
    <n v="25"/>
  </r>
  <r>
    <x v="241"/>
    <n v="1830197"/>
    <d v="2026-02-03T00:00:00"/>
    <s v="Sale"/>
    <n v="0"/>
  </r>
  <r>
    <x v="242"/>
    <n v="1830197"/>
    <d v="2026-02-03T00:00:00"/>
    <s v="Sale"/>
    <n v="2"/>
  </r>
  <r>
    <x v="243"/>
    <n v="1830197"/>
    <d v="2026-02-03T00:00:00"/>
    <s v="Sale"/>
    <n v="0"/>
  </r>
  <r>
    <x v="244"/>
    <n v="1830197"/>
    <d v="2026-02-03T00:00:00"/>
    <s v="Sale"/>
    <n v="0"/>
  </r>
  <r>
    <x v="245"/>
    <n v="1830197"/>
    <d v="2026-02-03T00:00:00"/>
    <s v="Sale"/>
    <n v="0"/>
  </r>
  <r>
    <x v="246"/>
    <n v="1830197"/>
    <d v="2026-02-03T00:00:00"/>
    <s v="Sale"/>
    <n v="3.08"/>
  </r>
  <r>
    <x v="247"/>
    <n v="1830197"/>
    <d v="2026-02-03T00:00:00"/>
    <s v="Sale"/>
    <n v="0"/>
  </r>
  <r>
    <x v="248"/>
    <n v="1830197"/>
    <d v="2026-02-03T00:00:00"/>
    <s v="Sale"/>
    <n v="6"/>
  </r>
  <r>
    <x v="249"/>
    <n v="1830197"/>
    <d v="2026-02-03T00:00:00"/>
    <s v="Sale"/>
    <n v="0"/>
  </r>
  <r>
    <x v="250"/>
    <n v="1830197"/>
    <d v="2026-02-03T00:00:00"/>
    <s v="Sale"/>
    <n v="0"/>
  </r>
  <r>
    <x v="251"/>
    <n v="1830197"/>
    <d v="2026-02-03T00:00:00"/>
    <s v="Sale"/>
    <n v="0"/>
  </r>
  <r>
    <x v="252"/>
    <n v="1830197"/>
    <d v="2026-02-03T00:00:00"/>
    <s v="Sale"/>
    <n v="0"/>
  </r>
  <r>
    <x v="253"/>
    <n v="1830197"/>
    <d v="2026-02-03T00:00:00"/>
    <s v="Sale"/>
    <n v="0"/>
  </r>
  <r>
    <x v="254"/>
    <n v="1830197"/>
    <d v="2026-02-03T00:00:00"/>
    <s v="Sale"/>
    <n v="0"/>
  </r>
  <r>
    <x v="255"/>
    <n v="1830197"/>
    <d v="2026-02-03T00:00:00"/>
    <s v="Sale"/>
    <n v="0"/>
  </r>
  <r>
    <x v="256"/>
    <n v="1830197"/>
    <d v="2026-02-03T00:00:00"/>
    <s v="Sale"/>
    <n v="0"/>
  </r>
  <r>
    <x v="257"/>
    <n v="1830197"/>
    <d v="2026-02-03T00:00:00"/>
    <s v="Sale"/>
    <n v="0"/>
  </r>
  <r>
    <x v="258"/>
    <n v="1830197"/>
    <d v="2026-02-03T00:00:00"/>
    <s v="Sale"/>
    <n v="0"/>
  </r>
  <r>
    <x v="259"/>
    <n v="1830197"/>
    <d v="2026-02-03T00:00:00"/>
    <s v="Sale"/>
    <n v="0"/>
  </r>
  <r>
    <x v="260"/>
    <n v="1830197"/>
    <d v="2026-02-03T00:00:00"/>
    <s v="Sale"/>
    <n v="274"/>
  </r>
  <r>
    <x v="261"/>
    <n v="1830197"/>
    <d v="2026-02-03T00:00:00"/>
    <s v="Sale"/>
    <n v="0"/>
  </r>
  <r>
    <x v="262"/>
    <n v="1830197"/>
    <d v="2026-02-03T00:00:00"/>
    <s v="Sale"/>
    <n v="0"/>
  </r>
  <r>
    <x v="263"/>
    <n v="1830197"/>
    <d v="2026-02-03T00:00:00"/>
    <s v="Sale"/>
    <n v="0"/>
  </r>
  <r>
    <x v="264"/>
    <n v="1830197"/>
    <d v="2026-02-03T00:00:00"/>
    <s v="Sale"/>
    <n v="3"/>
  </r>
  <r>
    <x v="265"/>
    <n v="1830197"/>
    <d v="2026-02-03T00:00:00"/>
    <s v="Sale"/>
    <n v="167"/>
  </r>
  <r>
    <x v="266"/>
    <n v="1830197"/>
    <d v="2026-02-03T00:00:00"/>
    <s v="Sale"/>
    <n v="82"/>
  </r>
  <r>
    <x v="267"/>
    <n v="1830197"/>
    <d v="2026-02-03T00:00:00"/>
    <s v="Sale"/>
    <n v="0"/>
  </r>
  <r>
    <x v="268"/>
    <n v="1830197"/>
    <d v="2026-02-03T00:00:00"/>
    <s v="Sale"/>
    <n v="100"/>
  </r>
  <r>
    <x v="269"/>
    <n v="1830197"/>
    <d v="2026-02-03T00:00:00"/>
    <s v="Sale"/>
    <n v="0"/>
  </r>
  <r>
    <x v="270"/>
    <n v="1830197"/>
    <d v="2026-02-03T00:00:00"/>
    <s v="Sale"/>
    <n v="0"/>
  </r>
  <r>
    <x v="271"/>
    <n v="1830197"/>
    <d v="2026-02-03T00:00:00"/>
    <s v="Sale"/>
    <n v="0"/>
  </r>
  <r>
    <x v="272"/>
    <n v="1830197"/>
    <d v="2026-02-03T00:00:00"/>
    <s v="Sale"/>
    <n v="0"/>
  </r>
  <r>
    <x v="273"/>
    <n v="1830197"/>
    <d v="2026-02-03T00:00:00"/>
    <s v="Sale"/>
    <n v="298"/>
  </r>
  <r>
    <x v="274"/>
    <n v="1830197"/>
    <d v="2026-02-03T00:00:00"/>
    <s v="Sale"/>
    <n v="0"/>
  </r>
  <r>
    <x v="275"/>
    <n v="1830197"/>
    <d v="2026-02-03T00:00:00"/>
    <s v="Sale"/>
    <n v="0.1"/>
  </r>
  <r>
    <x v="276"/>
    <n v="1830197"/>
    <d v="2026-02-03T00:00:00"/>
    <s v="Sale"/>
    <n v="8"/>
  </r>
  <r>
    <x v="277"/>
    <n v="1830197"/>
    <d v="2026-02-03T00:00:00"/>
    <s v="Sale"/>
    <n v="4.87"/>
  </r>
  <r>
    <x v="278"/>
    <n v="1830197"/>
    <d v="2026-02-03T00:00:00"/>
    <s v="Sale"/>
    <n v="192"/>
  </r>
  <r>
    <x v="279"/>
    <n v="1830197"/>
    <d v="2026-02-03T00:00:00"/>
    <s v="Sale"/>
    <n v="0"/>
  </r>
  <r>
    <x v="280"/>
    <n v="1830197"/>
    <d v="2026-02-03T00:00:00"/>
    <s v="Sale"/>
    <n v="0"/>
  </r>
  <r>
    <x v="281"/>
    <n v="1830197"/>
    <d v="2026-02-03T00:00:00"/>
    <s v="Sale"/>
    <n v="80"/>
  </r>
  <r>
    <x v="282"/>
    <n v="1830197"/>
    <d v="2026-02-03T00:00:00"/>
    <s v="Sale"/>
    <n v="0"/>
  </r>
  <r>
    <x v="283"/>
    <n v="1830197"/>
    <d v="2026-02-03T00:00:00"/>
    <s v="Sale"/>
    <n v="0"/>
  </r>
  <r>
    <x v="284"/>
    <n v="1830197"/>
    <d v="2026-02-03T00:00:00"/>
    <s v="Sale"/>
    <n v="1"/>
  </r>
  <r>
    <x v="285"/>
    <n v="1830197"/>
    <d v="2026-02-03T00:00:00"/>
    <s v="Sale"/>
    <n v="0"/>
  </r>
  <r>
    <x v="286"/>
    <n v="1830197"/>
    <d v="2026-02-03T00:00:00"/>
    <s v="Sale"/>
    <n v="0"/>
  </r>
  <r>
    <x v="287"/>
    <n v="1830197"/>
    <d v="2026-02-03T00:00:00"/>
    <s v="Sale"/>
    <n v="0"/>
  </r>
  <r>
    <x v="288"/>
    <n v="1830197"/>
    <d v="2026-02-03T00:00:00"/>
    <s v="Sale"/>
    <n v="0"/>
  </r>
  <r>
    <x v="289"/>
    <n v="1830197"/>
    <d v="2026-02-03T00:00:00"/>
    <s v="Sale"/>
    <n v="0"/>
  </r>
  <r>
    <x v="290"/>
    <n v="1830197"/>
    <d v="2026-02-03T00:00:00"/>
    <s v="Sale"/>
    <n v="81"/>
  </r>
  <r>
    <x v="291"/>
    <n v="1830197"/>
    <d v="2026-02-03T00:00:00"/>
    <s v="Sale"/>
    <n v="0"/>
  </r>
  <r>
    <x v="292"/>
    <n v="1830197"/>
    <d v="2026-02-03T00:00:00"/>
    <s v="Sale"/>
    <n v="0"/>
  </r>
  <r>
    <x v="293"/>
    <n v="1830197"/>
    <d v="2026-02-03T00:00:00"/>
    <s v="Sale"/>
    <n v="0"/>
  </r>
  <r>
    <x v="294"/>
    <n v="1830197"/>
    <d v="2026-02-03T00:00:00"/>
    <s v="Sale"/>
    <n v="2"/>
  </r>
  <r>
    <x v="295"/>
    <n v="1830197"/>
    <d v="2026-02-03T00:00:00"/>
    <s v="Sale"/>
    <n v="0"/>
  </r>
  <r>
    <x v="296"/>
    <n v="1830197"/>
    <d v="2026-02-03T00:00:00"/>
    <s v="Sale"/>
    <n v="0.1"/>
  </r>
  <r>
    <x v="297"/>
    <n v="1830197"/>
    <d v="2026-02-03T00:00:00"/>
    <s v="Sale"/>
    <n v="0"/>
  </r>
  <r>
    <x v="298"/>
    <n v="1830197"/>
    <d v="2026-02-03T00:00:00"/>
    <s v="Sale"/>
    <n v="0.26"/>
  </r>
  <r>
    <x v="299"/>
    <n v="1830197"/>
    <d v="2026-02-03T00:00:00"/>
    <s v="Sale"/>
    <n v="0"/>
  </r>
  <r>
    <x v="300"/>
    <n v="1830197"/>
    <d v="2026-02-03T00:00:00"/>
    <s v="Sale"/>
    <n v="0"/>
  </r>
  <r>
    <x v="301"/>
    <n v="1830197"/>
    <d v="2026-02-03T00:00:00"/>
    <s v="Sale"/>
    <n v="0"/>
  </r>
  <r>
    <x v="302"/>
    <n v="1830197"/>
    <d v="2026-02-03T00:00:00"/>
    <s v="Sale"/>
    <n v="0"/>
  </r>
  <r>
    <x v="303"/>
    <n v="1830197"/>
    <d v="2026-02-03T00:00:00"/>
    <s v="Sale"/>
    <n v="0"/>
  </r>
  <r>
    <x v="304"/>
    <n v="1830197"/>
    <d v="2026-02-03T00:00:00"/>
    <s v="Sale"/>
    <n v="0"/>
  </r>
  <r>
    <x v="305"/>
    <n v="1830197"/>
    <d v="2026-02-03T00:00:00"/>
    <s v="Sale"/>
    <n v="0"/>
  </r>
  <r>
    <x v="306"/>
    <n v="1830197"/>
    <d v="2026-02-03T00:00:00"/>
    <s v="Sale"/>
    <n v="70"/>
  </r>
  <r>
    <x v="307"/>
    <n v="1830197"/>
    <d v="2026-02-03T00:00:00"/>
    <s v="Sale"/>
    <n v="0.5"/>
  </r>
  <r>
    <x v="308"/>
    <n v="1830197"/>
    <d v="2026-02-03T00:00:00"/>
    <s v="Sale"/>
    <n v="0.5"/>
  </r>
  <r>
    <x v="309"/>
    <n v="1830197"/>
    <d v="2026-02-03T00:00:00"/>
    <s v="Sale"/>
    <n v="0"/>
  </r>
  <r>
    <x v="310"/>
    <n v="1830197"/>
    <d v="2026-02-03T00:00:00"/>
    <s v="Sale"/>
    <n v="0.5"/>
  </r>
  <r>
    <x v="311"/>
    <n v="1830197"/>
    <d v="2026-02-03T00:00:00"/>
    <s v="Sale"/>
    <n v="15.24"/>
  </r>
  <r>
    <x v="312"/>
    <n v="1830197"/>
    <d v="2026-02-03T00:00:00"/>
    <s v="Sale"/>
    <n v="0"/>
  </r>
  <r>
    <x v="313"/>
    <n v="1830197"/>
    <d v="2026-02-03T00:00:00"/>
    <s v="Sale"/>
    <n v="22"/>
  </r>
  <r>
    <x v="314"/>
    <n v="1830197"/>
    <d v="2026-02-03T00:00:00"/>
    <s v="Sale"/>
    <n v="0"/>
  </r>
  <r>
    <x v="315"/>
    <n v="1830197"/>
    <d v="2026-02-03T00:00:00"/>
    <s v="Sale"/>
    <n v="0"/>
  </r>
  <r>
    <x v="316"/>
    <n v="1830197"/>
    <d v="2026-02-03T00:00:00"/>
    <s v="Sale"/>
    <n v="0"/>
  </r>
  <r>
    <x v="317"/>
    <n v="1830197"/>
    <d v="2026-02-03T00:00:00"/>
    <s v="Sale"/>
    <n v="16"/>
  </r>
  <r>
    <x v="318"/>
    <n v="1830197"/>
    <d v="2026-02-03T00:00:00"/>
    <s v="Sale"/>
    <n v="0"/>
  </r>
  <r>
    <x v="319"/>
    <n v="1830197"/>
    <d v="2026-02-03T00:00:00"/>
    <s v="Sale"/>
    <n v="0"/>
  </r>
  <r>
    <x v="320"/>
    <n v="1830197"/>
    <d v="2026-02-03T00:00:00"/>
    <s v="Sale"/>
    <n v="0"/>
  </r>
  <r>
    <x v="321"/>
    <n v="1830197"/>
    <d v="2026-02-03T00:00:00"/>
    <s v="Sale"/>
    <n v="43"/>
  </r>
  <r>
    <x v="322"/>
    <n v="1830197"/>
    <d v="2026-02-03T00:00:00"/>
    <s v="Sale"/>
    <n v="0"/>
  </r>
  <r>
    <x v="323"/>
    <n v="1830197"/>
    <d v="2026-02-03T00:00:00"/>
    <s v="Sale"/>
    <n v="0"/>
  </r>
  <r>
    <x v="324"/>
    <n v="1830197"/>
    <d v="2026-02-03T00:00:00"/>
    <s v="Sale"/>
    <n v="0"/>
  </r>
  <r>
    <x v="325"/>
    <n v="1830197"/>
    <d v="2026-02-03T00:00:00"/>
    <s v="Sale"/>
    <n v="0"/>
  </r>
  <r>
    <x v="326"/>
    <n v="1830197"/>
    <d v="2026-02-03T00:00:00"/>
    <s v="Sale"/>
    <n v="0"/>
  </r>
  <r>
    <x v="327"/>
    <n v="1830197"/>
    <d v="2026-02-03T00:00:00"/>
    <s v="Sale"/>
    <n v="0"/>
  </r>
  <r>
    <x v="328"/>
    <n v="1830197"/>
    <d v="2026-02-03T00:00:00"/>
    <s v="Sale"/>
    <n v="0"/>
  </r>
  <r>
    <x v="329"/>
    <n v="1830197"/>
    <d v="2026-02-03T00:00:00"/>
    <s v="Sale"/>
    <n v="0"/>
  </r>
  <r>
    <x v="330"/>
    <n v="1830197"/>
    <d v="2026-02-03T00:00:00"/>
    <s v="Sale"/>
    <n v="0"/>
  </r>
  <r>
    <x v="331"/>
    <n v="1830197"/>
    <d v="2026-02-03T00:00:00"/>
    <s v="Sale"/>
    <n v="1"/>
  </r>
  <r>
    <x v="332"/>
    <n v="1830197"/>
    <d v="2026-02-03T00:00:00"/>
    <s v="Sale"/>
    <n v="0"/>
  </r>
  <r>
    <x v="333"/>
    <n v="1830197"/>
    <d v="2026-02-03T00:00:00"/>
    <s v="Sale"/>
    <n v="0"/>
  </r>
  <r>
    <x v="334"/>
    <n v="1830197"/>
    <d v="2026-02-03T00:00:00"/>
    <s v="Sale"/>
    <n v="10"/>
  </r>
  <r>
    <x v="335"/>
    <n v="1830197"/>
    <d v="2026-02-03T00:00:00"/>
    <s v="Sale"/>
    <n v="0"/>
  </r>
  <r>
    <x v="336"/>
    <n v="1830197"/>
    <d v="2026-02-03T00:00:00"/>
    <s v="Sale"/>
    <n v="0"/>
  </r>
  <r>
    <x v="337"/>
    <n v="1830197"/>
    <d v="2026-02-03T00:00:00"/>
    <s v="Sale"/>
    <n v="4"/>
  </r>
  <r>
    <x v="338"/>
    <n v="1830197"/>
    <d v="2026-02-03T00:00:00"/>
    <s v="Sale"/>
    <n v="43"/>
  </r>
  <r>
    <x v="339"/>
    <n v="1830197"/>
    <d v="2026-02-03T00:00:00"/>
    <s v="Sale"/>
    <n v="13"/>
  </r>
  <r>
    <x v="340"/>
    <n v="1830197"/>
    <d v="2026-02-03T00:00:00"/>
    <s v="Sale"/>
    <n v="0"/>
  </r>
  <r>
    <x v="341"/>
    <n v="1830197"/>
    <d v="2026-02-03T00:00:00"/>
    <s v="Sale"/>
    <n v="0"/>
  </r>
  <r>
    <x v="342"/>
    <n v="1830197"/>
    <d v="2026-02-03T00:00:00"/>
    <s v="Sale"/>
    <n v="0"/>
  </r>
  <r>
    <x v="343"/>
    <n v="1830197"/>
    <d v="2026-02-03T00:00:00"/>
    <s v="Sale"/>
    <n v="0"/>
  </r>
  <r>
    <x v="344"/>
    <n v="1830197"/>
    <d v="2026-02-03T00:00:00"/>
    <s v="Sale"/>
    <n v="0"/>
  </r>
  <r>
    <x v="345"/>
    <n v="1830197"/>
    <d v="2026-02-03T00:00:00"/>
    <s v="Sale"/>
    <n v="0"/>
  </r>
  <r>
    <x v="346"/>
    <n v="1830197"/>
    <d v="2026-02-03T00:00:00"/>
    <s v="Sale"/>
    <n v="0"/>
  </r>
  <r>
    <x v="347"/>
    <n v="1830197"/>
    <d v="2026-02-03T00:00:00"/>
    <s v="Sale"/>
    <n v="0"/>
  </r>
  <r>
    <x v="348"/>
    <n v="1830197"/>
    <d v="2026-02-03T00:00:00"/>
    <s v="Sale"/>
    <n v="0"/>
  </r>
  <r>
    <x v="349"/>
    <n v="1830197"/>
    <d v="2026-02-03T00:00:00"/>
    <s v="Sale"/>
    <n v="0"/>
  </r>
  <r>
    <x v="350"/>
    <n v="1830197"/>
    <d v="2026-02-03T00:00:00"/>
    <s v="Sale"/>
    <n v="0"/>
  </r>
  <r>
    <x v="351"/>
    <n v="1830197"/>
    <d v="2026-02-03T00:00:00"/>
    <s v="Sale"/>
    <n v="0"/>
  </r>
  <r>
    <x v="352"/>
    <n v="1830197"/>
    <d v="2026-02-03T00:00:00"/>
    <s v="Sale"/>
    <n v="121"/>
  </r>
  <r>
    <x v="353"/>
    <n v="1830197"/>
    <d v="2026-02-03T00:00:00"/>
    <s v="Sale"/>
    <n v="0"/>
  </r>
  <r>
    <x v="354"/>
    <n v="1830197"/>
    <d v="2026-02-03T00:00:00"/>
    <s v="Sale"/>
    <n v="3"/>
  </r>
  <r>
    <x v="355"/>
    <n v="1830197"/>
    <d v="2026-02-03T00:00:00"/>
    <s v="Sale"/>
    <n v="0"/>
  </r>
  <r>
    <x v="356"/>
    <n v="1830197"/>
    <d v="2026-02-03T00:00:00"/>
    <s v="Sale"/>
    <n v="0"/>
  </r>
  <r>
    <x v="357"/>
    <n v="1830197"/>
    <d v="2026-02-03T00:00:00"/>
    <s v="Sale"/>
    <n v="0.1"/>
  </r>
  <r>
    <x v="358"/>
    <n v="1830197"/>
    <d v="2026-02-03T00:00:00"/>
    <s v="Sale"/>
    <n v="0"/>
  </r>
  <r>
    <x v="359"/>
    <n v="1830197"/>
    <d v="2026-02-03T00:00:00"/>
    <s v="Sale"/>
    <n v="0"/>
  </r>
  <r>
    <x v="360"/>
    <n v="1830197"/>
    <d v="2026-02-03T00:00:00"/>
    <s v="Sale"/>
    <n v="0"/>
  </r>
  <r>
    <x v="361"/>
    <n v="1830197"/>
    <d v="2026-02-03T00:00:00"/>
    <s v="Sale"/>
    <n v="0"/>
  </r>
  <r>
    <x v="362"/>
    <n v="1830197"/>
    <d v="2026-02-03T00:00:00"/>
    <s v="Sale"/>
    <n v="0"/>
  </r>
  <r>
    <x v="363"/>
    <n v="1830197"/>
    <d v="2026-02-03T00:00:00"/>
    <s v="Sale"/>
    <n v="0"/>
  </r>
  <r>
    <x v="364"/>
    <n v="1830197"/>
    <d v="2026-02-03T00:00:00"/>
    <s v="Sale"/>
    <n v="0"/>
  </r>
  <r>
    <x v="365"/>
    <n v="1830197"/>
    <d v="2026-02-03T00:00:00"/>
    <s v="Sale"/>
    <n v="0"/>
  </r>
  <r>
    <x v="366"/>
    <n v="1830197"/>
    <d v="2026-02-03T00:00:00"/>
    <s v="Sale"/>
    <n v="0"/>
  </r>
  <r>
    <x v="367"/>
    <n v="1830197"/>
    <d v="2026-02-03T00:00:00"/>
    <s v="Sale"/>
    <n v="0"/>
  </r>
  <r>
    <x v="368"/>
    <n v="1830197"/>
    <d v="2026-02-03T00:00:00"/>
    <s v="Sale"/>
    <n v="0"/>
  </r>
  <r>
    <x v="369"/>
    <n v="1830197"/>
    <d v="2026-02-03T00:00:00"/>
    <s v="Sale"/>
    <n v="0"/>
  </r>
  <r>
    <x v="370"/>
    <n v="1830197"/>
    <d v="2026-02-03T00:00:00"/>
    <s v="Sale"/>
    <n v="0"/>
  </r>
  <r>
    <x v="371"/>
    <n v="1830197"/>
    <d v="2026-02-03T00:00:00"/>
    <s v="Sale"/>
    <n v="0"/>
  </r>
  <r>
    <x v="372"/>
    <n v="1830197"/>
    <d v="2026-02-03T00:00:00"/>
    <s v="Sale"/>
    <n v="26"/>
  </r>
  <r>
    <x v="373"/>
    <n v="1830197"/>
    <d v="2026-02-03T00:00:00"/>
    <s v="Sale"/>
    <n v="6"/>
  </r>
  <r>
    <x v="374"/>
    <n v="1830197"/>
    <d v="2026-02-03T00:00:00"/>
    <s v="Sale"/>
    <n v="2"/>
  </r>
  <r>
    <x v="375"/>
    <n v="1830197"/>
    <d v="2026-02-03T00:00:00"/>
    <s v="Sale"/>
    <n v="0"/>
  </r>
  <r>
    <x v="376"/>
    <n v="1830197"/>
    <d v="2026-02-03T00:00:00"/>
    <s v="Sale"/>
    <n v="0"/>
  </r>
  <r>
    <x v="377"/>
    <n v="1830197"/>
    <d v="2026-02-03T00:00:00"/>
    <s v="Sale"/>
    <n v="0"/>
  </r>
  <r>
    <x v="378"/>
    <n v="1830197"/>
    <d v="2026-02-03T00:00:00"/>
    <s v="Sale"/>
    <n v="6"/>
  </r>
  <r>
    <x v="379"/>
    <n v="1830197"/>
    <d v="2026-02-03T00:00:00"/>
    <s v="Sale"/>
    <n v="0"/>
  </r>
  <r>
    <x v="380"/>
    <n v="1830197"/>
    <d v="2026-02-03T00:00:00"/>
    <s v="Sale"/>
    <n v="0"/>
  </r>
  <r>
    <x v="381"/>
    <n v="1830197"/>
    <d v="2026-02-03T00:00:00"/>
    <s v="Sale"/>
    <n v="0"/>
  </r>
  <r>
    <x v="382"/>
    <n v="1830197"/>
    <d v="2026-02-03T00:00:00"/>
    <s v="Sale"/>
    <n v="0"/>
  </r>
  <r>
    <x v="383"/>
    <n v="1830197"/>
    <d v="2026-02-03T00:00:00"/>
    <s v="Sale"/>
    <n v="0"/>
  </r>
  <r>
    <x v="384"/>
    <n v="1830197"/>
    <d v="2026-02-03T00:00:00"/>
    <s v="Sale"/>
    <n v="0"/>
  </r>
  <r>
    <x v="385"/>
    <n v="1830197"/>
    <d v="2026-02-03T00:00:00"/>
    <s v="Sale"/>
    <n v="1"/>
  </r>
  <r>
    <x v="386"/>
    <n v="1830197"/>
    <d v="2026-02-03T00:00:00"/>
    <s v="Sale"/>
    <n v="0"/>
  </r>
  <r>
    <x v="387"/>
    <n v="1830197"/>
    <d v="2026-02-03T00:00:00"/>
    <s v="Sale"/>
    <n v="0"/>
  </r>
  <r>
    <x v="388"/>
    <n v="1830197"/>
    <d v="2026-02-03T00:00:00"/>
    <s v="Sale"/>
    <n v="0"/>
  </r>
  <r>
    <x v="389"/>
    <n v="1830197"/>
    <d v="2026-02-03T00:00:00"/>
    <s v="Sale"/>
    <n v="0"/>
  </r>
  <r>
    <x v="390"/>
    <n v="1830197"/>
    <d v="2026-02-03T00:00:00"/>
    <s v="Sale"/>
    <n v="4"/>
  </r>
  <r>
    <x v="391"/>
    <n v="1830197"/>
    <d v="2026-02-03T00:00:00"/>
    <s v="Sale"/>
    <n v="91"/>
  </r>
  <r>
    <x v="392"/>
    <n v="1830197"/>
    <d v="2026-02-03T00:00:00"/>
    <s v="Sale"/>
    <n v="0"/>
  </r>
  <r>
    <x v="393"/>
    <n v="1830197"/>
    <d v="2026-02-03T00:00:00"/>
    <s v="Sale"/>
    <n v="0"/>
  </r>
  <r>
    <x v="394"/>
    <n v="1830197"/>
    <d v="2026-02-03T00:00:00"/>
    <s v="Sale"/>
    <n v="-0.1"/>
  </r>
  <r>
    <x v="395"/>
    <n v="1830197"/>
    <d v="2026-02-03T00:00:00"/>
    <s v="Sale"/>
    <n v="0"/>
  </r>
  <r>
    <x v="396"/>
    <n v="1830197"/>
    <d v="2026-02-03T00:00:00"/>
    <s v="Sale"/>
    <n v="0"/>
  </r>
  <r>
    <x v="397"/>
    <n v="1830197"/>
    <d v="2026-02-03T00:00:00"/>
    <s v="Sale"/>
    <n v="0"/>
  </r>
  <r>
    <x v="398"/>
    <n v="1830197"/>
    <d v="2026-02-03T00:00:00"/>
    <s v="Sale"/>
    <n v="0"/>
  </r>
  <r>
    <x v="399"/>
    <n v="1830197"/>
    <d v="2026-02-03T00:00:00"/>
    <s v="Sale"/>
    <n v="0"/>
  </r>
  <r>
    <x v="400"/>
    <n v="1830197"/>
    <d v="2026-02-03T00:00:00"/>
    <s v="Sale"/>
    <n v="0"/>
  </r>
  <r>
    <x v="401"/>
    <n v="1830197"/>
    <d v="2026-02-03T00:00:00"/>
    <s v="Sale"/>
    <n v="0"/>
  </r>
  <r>
    <x v="402"/>
    <n v="1830197"/>
    <d v="2026-02-03T00:00:00"/>
    <s v="Sale"/>
    <n v="0"/>
  </r>
  <r>
    <x v="403"/>
    <n v="1830197"/>
    <d v="2026-02-03T00:00:00"/>
    <s v="Sale"/>
    <n v="0"/>
  </r>
  <r>
    <x v="404"/>
    <n v="1830197"/>
    <d v="2026-02-03T00:00:00"/>
    <s v="Sale"/>
    <n v="0"/>
  </r>
  <r>
    <x v="405"/>
    <n v="1830197"/>
    <d v="2026-02-03T00:00:00"/>
    <s v="Sale"/>
    <n v="44"/>
  </r>
  <r>
    <x v="406"/>
    <n v="1830197"/>
    <d v="2026-02-03T00:00:00"/>
    <s v="Sale"/>
    <n v="0"/>
  </r>
  <r>
    <x v="407"/>
    <n v="1830197"/>
    <d v="2026-02-03T00:00:00"/>
    <s v="Sale"/>
    <n v="0"/>
  </r>
  <r>
    <x v="408"/>
    <n v="1830197"/>
    <d v="2026-02-03T00:00:00"/>
    <s v="Sale"/>
    <n v="0"/>
  </r>
  <r>
    <x v="409"/>
    <n v="1830197"/>
    <d v="2026-02-03T00:00:00"/>
    <s v="Sale"/>
    <n v="0"/>
  </r>
  <r>
    <x v="410"/>
    <n v="1830197"/>
    <d v="2026-02-03T00:00:00"/>
    <s v="Sale"/>
    <n v="30"/>
  </r>
  <r>
    <x v="411"/>
    <n v="1830197"/>
    <d v="2026-02-03T00:00:00"/>
    <s v="Sale"/>
    <n v="1"/>
  </r>
  <r>
    <x v="412"/>
    <n v="1830197"/>
    <d v="2026-02-03T00:00:00"/>
    <s v="Sale"/>
    <n v="0"/>
  </r>
  <r>
    <x v="413"/>
    <n v="1830197"/>
    <d v="2026-02-03T00:00:00"/>
    <s v="Sale"/>
    <n v="0"/>
  </r>
  <r>
    <x v="414"/>
    <n v="1830197"/>
    <d v="2026-02-03T00:00:00"/>
    <s v="Sale"/>
    <n v="0"/>
  </r>
  <r>
    <x v="415"/>
    <n v="1830197"/>
    <d v="2026-02-03T00:00:00"/>
    <s v="Sale"/>
    <n v="0"/>
  </r>
  <r>
    <x v="416"/>
    <n v="1830197"/>
    <d v="2026-02-03T00:00:00"/>
    <s v="Sale"/>
    <n v="0"/>
  </r>
  <r>
    <x v="417"/>
    <n v="1830197"/>
    <d v="2026-02-03T00:00:00"/>
    <s v="Sale"/>
    <n v="0"/>
  </r>
  <r>
    <x v="418"/>
    <n v="1830197"/>
    <d v="2026-02-03T00:00:00"/>
    <s v="Sale"/>
    <n v="0"/>
  </r>
  <r>
    <x v="419"/>
    <n v="1830197"/>
    <d v="2026-02-03T00:00:00"/>
    <s v="Sale"/>
    <n v="0"/>
  </r>
  <r>
    <x v="420"/>
    <n v="1830197"/>
    <d v="2026-02-03T00:00:00"/>
    <s v="Sale"/>
    <n v="0"/>
  </r>
  <r>
    <x v="421"/>
    <n v="1830197"/>
    <d v="2026-02-03T00:00:00"/>
    <s v="Sale"/>
    <n v="0.5"/>
  </r>
  <r>
    <x v="422"/>
    <n v="1830197"/>
    <d v="2026-02-03T00:00:00"/>
    <s v="Sale"/>
    <n v="0.02"/>
  </r>
  <r>
    <x v="423"/>
    <n v="1830197"/>
    <d v="2026-02-03T00:00:00"/>
    <s v="Sale"/>
    <n v="7"/>
  </r>
  <r>
    <x v="424"/>
    <n v="1830197"/>
    <d v="2026-02-03T00:00:00"/>
    <s v="Sale"/>
    <n v="0"/>
  </r>
  <r>
    <x v="425"/>
    <n v="1830197"/>
    <d v="2026-02-03T00:00:00"/>
    <s v="Sale"/>
    <n v="0"/>
  </r>
  <r>
    <x v="426"/>
    <n v="1830197"/>
    <d v="2026-02-03T00:00:00"/>
    <s v="Sale"/>
    <n v="0"/>
  </r>
  <r>
    <x v="427"/>
    <n v="1830197"/>
    <d v="2026-02-03T00:00:00"/>
    <s v="Sale"/>
    <n v="20"/>
  </r>
  <r>
    <x v="428"/>
    <n v="1830197"/>
    <d v="2026-02-03T00:00:00"/>
    <s v="Sale"/>
    <n v="-0.97"/>
  </r>
  <r>
    <x v="429"/>
    <n v="1830197"/>
    <d v="2026-02-03T00:00:00"/>
    <s v="Sale"/>
    <n v="0"/>
  </r>
  <r>
    <x v="430"/>
    <n v="1830197"/>
    <d v="2026-02-03T00:00:00"/>
    <s v="Sale"/>
    <n v="0"/>
  </r>
  <r>
    <x v="431"/>
    <n v="1830197"/>
    <d v="2026-02-03T00:00:00"/>
    <s v="Sale"/>
    <n v="0"/>
  </r>
  <r>
    <x v="432"/>
    <n v="1830197"/>
    <d v="2026-02-03T00:00:00"/>
    <s v="Sale"/>
    <n v="3"/>
  </r>
  <r>
    <x v="433"/>
    <n v="1830197"/>
    <d v="2026-02-03T00:00:00"/>
    <s v="Sale"/>
    <n v="1"/>
  </r>
  <r>
    <x v="434"/>
    <n v="1830197"/>
    <d v="2026-02-03T00:00:00"/>
    <s v="Sale"/>
    <n v="0.3"/>
  </r>
  <r>
    <x v="435"/>
    <n v="1830197"/>
    <d v="2026-02-03T00:00:00"/>
    <s v="Sale"/>
    <n v="0"/>
  </r>
  <r>
    <x v="436"/>
    <n v="1830197"/>
    <d v="2026-02-03T00:00:00"/>
    <s v="Sale"/>
    <n v="0"/>
  </r>
  <r>
    <x v="437"/>
    <n v="1830197"/>
    <d v="2026-02-03T00:00:00"/>
    <s v="Sale"/>
    <n v="0"/>
  </r>
  <r>
    <x v="438"/>
    <n v="1830197"/>
    <d v="2026-02-03T00:00:00"/>
    <s v="Sale"/>
    <n v="0"/>
  </r>
  <r>
    <x v="439"/>
    <n v="1830197"/>
    <d v="2026-02-03T00:00:00"/>
    <s v="Sale"/>
    <n v="0"/>
  </r>
  <r>
    <x v="440"/>
    <n v="1830197"/>
    <d v="2026-02-03T00:00:00"/>
    <s v="Sale"/>
    <n v="258"/>
  </r>
  <r>
    <x v="441"/>
    <n v="1830197"/>
    <d v="2026-02-03T00:00:00"/>
    <s v="Sale"/>
    <n v="15"/>
  </r>
  <r>
    <x v="442"/>
    <n v="1830197"/>
    <d v="2026-02-03T00:00:00"/>
    <s v="Sale"/>
    <n v="2"/>
  </r>
  <r>
    <x v="443"/>
    <n v="1830197"/>
    <d v="2026-02-03T00:00:00"/>
    <s v="Sale"/>
    <n v="0"/>
  </r>
  <r>
    <x v="444"/>
    <n v="1830197"/>
    <d v="2026-02-03T00:00:00"/>
    <s v="Sale"/>
    <n v="20"/>
  </r>
  <r>
    <x v="445"/>
    <n v="1830197"/>
    <d v="2026-02-03T00:00:00"/>
    <s v="Sale"/>
    <n v="0"/>
  </r>
  <r>
    <x v="446"/>
    <n v="1830197"/>
    <d v="2026-02-03T00:00:00"/>
    <s v="Sale"/>
    <n v="3"/>
  </r>
  <r>
    <x v="447"/>
    <n v="1830197"/>
    <d v="2026-02-03T00:00:00"/>
    <s v="Sale"/>
    <n v="2"/>
  </r>
  <r>
    <x v="448"/>
    <n v="1830197"/>
    <d v="2026-02-03T00:00:00"/>
    <s v="Sale"/>
    <n v="0"/>
  </r>
  <r>
    <x v="449"/>
    <n v="1830197"/>
    <d v="2026-02-03T00:00:00"/>
    <s v="Sale"/>
    <n v="3"/>
  </r>
  <r>
    <x v="450"/>
    <n v="1830197"/>
    <d v="2026-02-03T00:00:00"/>
    <s v="Sale"/>
    <n v="0"/>
  </r>
  <r>
    <x v="451"/>
    <n v="1830197"/>
    <d v="2026-02-03T00:00:00"/>
    <s v="Sale"/>
    <n v="0"/>
  </r>
  <r>
    <x v="452"/>
    <n v="1830197"/>
    <d v="2026-02-03T00:00:00"/>
    <s v="Sale"/>
    <n v="0"/>
  </r>
  <r>
    <x v="453"/>
    <n v="1830197"/>
    <d v="2026-02-03T00:00:00"/>
    <s v="Sale"/>
    <n v="0"/>
  </r>
  <r>
    <x v="454"/>
    <n v="1830197"/>
    <d v="2026-02-03T00:00:00"/>
    <s v="Sale"/>
    <n v="0"/>
  </r>
  <r>
    <x v="455"/>
    <n v="1830197"/>
    <d v="2026-02-03T00:00:00"/>
    <s v="Sale"/>
    <n v="0"/>
  </r>
  <r>
    <x v="456"/>
    <n v="1830197"/>
    <d v="2026-02-03T00:00:00"/>
    <s v="Sale"/>
    <n v="0"/>
  </r>
  <r>
    <x v="457"/>
    <n v="1830197"/>
    <d v="2026-02-03T00:00:00"/>
    <s v="Sale"/>
    <n v="0"/>
  </r>
  <r>
    <x v="458"/>
    <n v="1830197"/>
    <d v="2026-02-03T00:00:00"/>
    <s v="Sale"/>
    <n v="0"/>
  </r>
  <r>
    <x v="459"/>
    <n v="1830197"/>
    <d v="2026-02-03T00:00:00"/>
    <s v="Sale"/>
    <n v="0"/>
  </r>
  <r>
    <x v="460"/>
    <n v="1830197"/>
    <d v="2026-02-03T00:00:00"/>
    <s v="Sale"/>
    <n v="0"/>
  </r>
  <r>
    <x v="461"/>
    <n v="1830197"/>
    <d v="2026-02-03T00:00:00"/>
    <s v="Sale"/>
    <n v="0"/>
  </r>
  <r>
    <x v="462"/>
    <n v="1830197"/>
    <d v="2026-02-03T00:00:00"/>
    <s v="Sale"/>
    <n v="0"/>
  </r>
  <r>
    <x v="463"/>
    <n v="1830197"/>
    <d v="2026-02-03T00:00:00"/>
    <s v="Sale"/>
    <n v="0"/>
  </r>
  <r>
    <x v="464"/>
    <n v="1830197"/>
    <d v="2026-02-03T00:00:00"/>
    <s v="Sale"/>
    <n v="0"/>
  </r>
  <r>
    <x v="465"/>
    <n v="1830197"/>
    <d v="2026-02-03T00:00:00"/>
    <s v="Sale"/>
    <n v="0"/>
  </r>
  <r>
    <x v="466"/>
    <n v="1830197"/>
    <d v="2026-02-03T00:00:00"/>
    <s v="Sale"/>
    <n v="0"/>
  </r>
  <r>
    <x v="467"/>
    <n v="1830197"/>
    <d v="2026-02-03T00:00:00"/>
    <s v="Sale"/>
    <n v="0"/>
  </r>
  <r>
    <x v="468"/>
    <n v="1830197"/>
    <d v="2026-02-03T00:00:00"/>
    <s v="Sale"/>
    <n v="0"/>
  </r>
  <r>
    <x v="469"/>
    <n v="1830197"/>
    <d v="2026-02-03T00:00:00"/>
    <s v="Sale"/>
    <n v="0"/>
  </r>
  <r>
    <x v="470"/>
    <n v="1830197"/>
    <d v="2026-02-03T00:00:00"/>
    <s v="Sale"/>
    <n v="0"/>
  </r>
  <r>
    <x v="471"/>
    <n v="1830197"/>
    <d v="2026-02-03T00:00:00"/>
    <s v="Sale"/>
    <n v="0"/>
  </r>
  <r>
    <x v="472"/>
    <n v="1830197"/>
    <d v="2026-02-03T00:00:00"/>
    <s v="Sale"/>
    <n v="0"/>
  </r>
  <r>
    <x v="473"/>
    <n v="1830197"/>
    <d v="2026-02-03T00:00:00"/>
    <s v="Sale"/>
    <n v="0"/>
  </r>
  <r>
    <x v="474"/>
    <n v="1830197"/>
    <d v="2026-02-03T00:00:00"/>
    <s v="Sale"/>
    <n v="0"/>
  </r>
  <r>
    <x v="475"/>
    <n v="1830197"/>
    <d v="2026-02-03T00:00:00"/>
    <s v="Sale"/>
    <n v="0"/>
  </r>
  <r>
    <x v="476"/>
    <n v="1830197"/>
    <d v="2026-02-03T00:00:00"/>
    <s v="Sale"/>
    <n v="0"/>
  </r>
  <r>
    <x v="477"/>
    <n v="1830197"/>
    <d v="2026-02-03T00:00:00"/>
    <s v="Sale"/>
    <n v="0"/>
  </r>
  <r>
    <x v="478"/>
    <n v="1830197"/>
    <d v="2026-02-03T00:00:00"/>
    <s v="Sale"/>
    <n v="0"/>
  </r>
  <r>
    <x v="479"/>
    <n v="1830197"/>
    <d v="2026-02-03T00:00:00"/>
    <s v="Sale"/>
    <n v="0.1"/>
  </r>
  <r>
    <x v="480"/>
    <n v="1830197"/>
    <d v="2026-02-03T00:00:00"/>
    <s v="Sale"/>
    <n v="0"/>
  </r>
  <r>
    <x v="481"/>
    <n v="1830197"/>
    <d v="2026-02-03T00:00:00"/>
    <s v="Sale"/>
    <n v="0"/>
  </r>
  <r>
    <x v="482"/>
    <n v="1830197"/>
    <d v="2026-02-03T00:00:00"/>
    <s v="Sale"/>
    <n v="5"/>
  </r>
  <r>
    <x v="483"/>
    <n v="1830197"/>
    <d v="2026-02-03T00:00:00"/>
    <s v="Sale"/>
    <n v="8"/>
  </r>
  <r>
    <x v="484"/>
    <n v="1830197"/>
    <d v="2026-02-03T00:00:00"/>
    <s v="Sale"/>
    <n v="0"/>
  </r>
  <r>
    <x v="485"/>
    <n v="1830197"/>
    <d v="2026-02-03T00:00:00"/>
    <s v="Sale"/>
    <n v="0"/>
  </r>
  <r>
    <x v="486"/>
    <n v="1830197"/>
    <d v="2026-02-03T00:00:00"/>
    <s v="Sale"/>
    <n v="0"/>
  </r>
  <r>
    <x v="487"/>
    <n v="1830197"/>
    <d v="2026-02-03T00:00:00"/>
    <s v="Sale"/>
    <n v="4"/>
  </r>
  <r>
    <x v="488"/>
    <n v="1830197"/>
    <d v="2026-02-03T00:00:00"/>
    <s v="Sale"/>
    <n v="0"/>
  </r>
  <r>
    <x v="489"/>
    <n v="1830197"/>
    <d v="2026-02-03T00:00:00"/>
    <s v="Sale"/>
    <n v="2"/>
  </r>
  <r>
    <x v="490"/>
    <n v="1830197"/>
    <d v="2026-02-03T00:00:00"/>
    <s v="Sale"/>
    <n v="0"/>
  </r>
  <r>
    <x v="491"/>
    <n v="1830197"/>
    <d v="2026-02-03T00:00:00"/>
    <s v="Sale"/>
    <n v="0"/>
  </r>
  <r>
    <x v="492"/>
    <n v="1830197"/>
    <d v="2026-02-03T00:00:00"/>
    <s v="Sale"/>
    <n v="0"/>
  </r>
  <r>
    <x v="493"/>
    <n v="1830197"/>
    <d v="2026-02-03T00:00:00"/>
    <s v="Sale"/>
    <n v="0"/>
  </r>
  <r>
    <x v="494"/>
    <n v="1830197"/>
    <d v="2026-02-03T00:00:00"/>
    <s v="Sale"/>
    <n v="0"/>
  </r>
  <r>
    <x v="495"/>
    <n v="1830197"/>
    <d v="2026-02-03T00:00:00"/>
    <s v="Sale"/>
    <n v="0"/>
  </r>
  <r>
    <x v="496"/>
    <n v="1830197"/>
    <d v="2026-02-03T00:00:00"/>
    <s v="Sale"/>
    <n v="0"/>
  </r>
  <r>
    <x v="497"/>
    <n v="1830197"/>
    <d v="2026-02-03T00:00:00"/>
    <s v="Sale"/>
    <n v="0"/>
  </r>
  <r>
    <x v="498"/>
    <n v="1830197"/>
    <d v="2026-02-03T00:00:00"/>
    <s v="Sale"/>
    <n v="0"/>
  </r>
  <r>
    <x v="499"/>
    <n v="1830197"/>
    <d v="2026-02-03T00:00:00"/>
    <s v="Sale"/>
    <n v="1"/>
  </r>
  <r>
    <x v="500"/>
    <n v="1830197"/>
    <d v="2026-02-03T00:00:00"/>
    <s v="Sale"/>
    <n v="4"/>
  </r>
  <r>
    <x v="501"/>
    <n v="1830197"/>
    <d v="2026-02-03T00:00:00"/>
    <s v="Sale"/>
    <n v="0"/>
  </r>
  <r>
    <x v="502"/>
    <n v="1830197"/>
    <d v="2026-02-03T00:00:00"/>
    <s v="Sale"/>
    <n v="0"/>
  </r>
  <r>
    <x v="503"/>
    <n v="1830197"/>
    <d v="2026-02-03T00:00:00"/>
    <s v="Sale"/>
    <n v="0.1"/>
  </r>
  <r>
    <x v="504"/>
    <n v="1830197"/>
    <d v="2026-02-03T00:00:00"/>
    <s v="Sale"/>
    <n v="0"/>
  </r>
  <r>
    <x v="505"/>
    <n v="1830197"/>
    <d v="2026-02-03T00:00:00"/>
    <s v="Sale"/>
    <n v="0"/>
  </r>
  <r>
    <x v="506"/>
    <n v="1830197"/>
    <d v="2026-02-03T00:00:00"/>
    <s v="Sale"/>
    <n v="0"/>
  </r>
  <r>
    <x v="507"/>
    <n v="1830197"/>
    <d v="2026-02-03T00:00:00"/>
    <s v="Sale"/>
    <n v="0"/>
  </r>
  <r>
    <x v="508"/>
    <n v="1830197"/>
    <d v="2026-02-03T00:00:00"/>
    <s v="Sale"/>
    <n v="0"/>
  </r>
  <r>
    <x v="509"/>
    <n v="1830197"/>
    <d v="2026-02-03T00:00:00"/>
    <s v="Sale"/>
    <n v="0"/>
  </r>
  <r>
    <x v="510"/>
    <n v="1830197"/>
    <d v="2026-02-03T00:00:00"/>
    <s v="Sale"/>
    <n v="0"/>
  </r>
  <r>
    <x v="511"/>
    <n v="1830197"/>
    <d v="2026-02-03T00:00:00"/>
    <s v="Sale"/>
    <n v="0"/>
  </r>
  <r>
    <x v="512"/>
    <n v="1830197"/>
    <d v="2026-02-03T00:00:00"/>
    <s v="Sale"/>
    <n v="0"/>
  </r>
  <r>
    <x v="513"/>
    <n v="1830197"/>
    <d v="2026-02-03T00:00:00"/>
    <s v="Sale"/>
    <n v="0"/>
  </r>
  <r>
    <x v="514"/>
    <n v="1830197"/>
    <d v="2026-02-03T00:00:00"/>
    <s v="Sale"/>
    <n v="0"/>
  </r>
  <r>
    <x v="515"/>
    <n v="1830197"/>
    <d v="2026-02-03T00:00:00"/>
    <s v="Sale"/>
    <n v="0"/>
  </r>
  <r>
    <x v="516"/>
    <n v="1830197"/>
    <d v="2026-02-03T00:00:00"/>
    <s v="Sale"/>
    <n v="0"/>
  </r>
  <r>
    <x v="517"/>
    <n v="1830197"/>
    <d v="2026-02-03T00:00:00"/>
    <s v="Sale"/>
    <n v="0"/>
  </r>
  <r>
    <x v="518"/>
    <n v="1830197"/>
    <d v="2026-02-03T00:00:00"/>
    <s v="Sale"/>
    <n v="0"/>
  </r>
  <r>
    <x v="519"/>
    <n v="1830197"/>
    <d v="2026-02-03T00:00:00"/>
    <s v="Sale"/>
    <n v="0"/>
  </r>
  <r>
    <x v="520"/>
    <n v="1830197"/>
    <d v="2026-02-03T00:00:00"/>
    <s v="Sale"/>
    <n v="0"/>
  </r>
  <r>
    <x v="521"/>
    <n v="1830197"/>
    <d v="2026-02-03T00:00:00"/>
    <s v="Sale"/>
    <n v="0"/>
  </r>
  <r>
    <x v="522"/>
    <n v="1830197"/>
    <d v="2026-02-03T00:00:00"/>
    <s v="Sale"/>
    <n v="0"/>
  </r>
  <r>
    <x v="0"/>
    <n v="1830197"/>
    <d v="2026-02-04T00:00:00"/>
    <s v="Sale"/>
    <n v="489"/>
  </r>
  <r>
    <x v="1"/>
    <n v="1830197"/>
    <d v="2026-02-04T00:00:00"/>
    <s v="Sale"/>
    <n v="81"/>
  </r>
  <r>
    <x v="2"/>
    <n v="1830197"/>
    <d v="2026-02-04T00:00:00"/>
    <s v="Sale"/>
    <n v="136"/>
  </r>
  <r>
    <x v="3"/>
    <n v="1830197"/>
    <d v="2026-02-04T00:00:00"/>
    <s v="Sale"/>
    <n v="575.35"/>
  </r>
  <r>
    <x v="4"/>
    <n v="1830197"/>
    <d v="2026-02-04T00:00:00"/>
    <s v="Sale"/>
    <n v="199"/>
  </r>
  <r>
    <x v="5"/>
    <n v="1830197"/>
    <d v="2026-02-04T00:00:00"/>
    <s v="Sale"/>
    <n v="25"/>
  </r>
  <r>
    <x v="6"/>
    <n v="1830197"/>
    <d v="2026-02-04T00:00:00"/>
    <s v="Sale"/>
    <n v="183"/>
  </r>
  <r>
    <x v="7"/>
    <n v="1830197"/>
    <d v="2026-02-04T00:00:00"/>
    <s v="Sale"/>
    <n v="0"/>
  </r>
  <r>
    <x v="8"/>
    <n v="1830197"/>
    <d v="2026-02-04T00:00:00"/>
    <s v="Sale"/>
    <n v="0"/>
  </r>
  <r>
    <x v="9"/>
    <n v="1830197"/>
    <d v="2026-02-04T00:00:00"/>
    <s v="Sale"/>
    <n v="5.23"/>
  </r>
  <r>
    <x v="10"/>
    <n v="1830197"/>
    <d v="2026-02-04T00:00:00"/>
    <s v="Sale"/>
    <n v="17.13"/>
  </r>
  <r>
    <x v="11"/>
    <n v="1830197"/>
    <d v="2026-02-04T00:00:00"/>
    <s v="Sale"/>
    <n v="669"/>
  </r>
  <r>
    <x v="12"/>
    <n v="1830197"/>
    <d v="2026-02-04T00:00:00"/>
    <s v="Sale"/>
    <n v="21.26"/>
  </r>
  <r>
    <x v="13"/>
    <n v="1830197"/>
    <d v="2026-02-04T00:00:00"/>
    <s v="Sale"/>
    <n v="226"/>
  </r>
  <r>
    <x v="14"/>
    <n v="1830197"/>
    <d v="2026-02-04T00:00:00"/>
    <s v="Sale"/>
    <n v="6.51"/>
  </r>
  <r>
    <x v="15"/>
    <n v="1830197"/>
    <d v="2026-02-04T00:00:00"/>
    <s v="Sale"/>
    <n v="81"/>
  </r>
  <r>
    <x v="16"/>
    <n v="1830197"/>
    <d v="2026-02-04T00:00:00"/>
    <s v="Sale"/>
    <n v="0.01"/>
  </r>
  <r>
    <x v="17"/>
    <n v="1830197"/>
    <d v="2026-02-04T00:00:00"/>
    <s v="Sale"/>
    <n v="0"/>
  </r>
  <r>
    <x v="18"/>
    <n v="1830197"/>
    <d v="2026-02-04T00:00:00"/>
    <s v="Sale"/>
    <n v="0"/>
  </r>
  <r>
    <x v="19"/>
    <n v="1830197"/>
    <d v="2026-02-04T00:00:00"/>
    <s v="Sale"/>
    <n v="0"/>
  </r>
  <r>
    <x v="20"/>
    <n v="1830197"/>
    <d v="2026-02-04T00:00:00"/>
    <s v="Sale"/>
    <n v="1319"/>
  </r>
  <r>
    <x v="21"/>
    <n v="1830197"/>
    <d v="2026-02-04T00:00:00"/>
    <s v="Sale"/>
    <n v="0"/>
  </r>
  <r>
    <x v="22"/>
    <n v="1830197"/>
    <d v="2026-02-04T00:00:00"/>
    <s v="Sale"/>
    <n v="220"/>
  </r>
  <r>
    <x v="23"/>
    <n v="1830197"/>
    <d v="2026-02-04T00:00:00"/>
    <s v="Sale"/>
    <n v="1.79"/>
  </r>
  <r>
    <x v="24"/>
    <n v="1830197"/>
    <d v="2026-02-04T00:00:00"/>
    <s v="Sale"/>
    <n v="0.73"/>
  </r>
  <r>
    <x v="25"/>
    <n v="1830197"/>
    <d v="2026-02-04T00:00:00"/>
    <s v="Sale"/>
    <n v="0"/>
  </r>
  <r>
    <x v="26"/>
    <n v="1830197"/>
    <d v="2026-02-04T00:00:00"/>
    <s v="Sale"/>
    <n v="0.41"/>
  </r>
  <r>
    <x v="27"/>
    <n v="1830197"/>
    <d v="2026-02-04T00:00:00"/>
    <s v="Sale"/>
    <n v="9"/>
  </r>
  <r>
    <x v="28"/>
    <n v="1830197"/>
    <d v="2026-02-04T00:00:00"/>
    <s v="Sale"/>
    <n v="0"/>
  </r>
  <r>
    <x v="29"/>
    <n v="1830197"/>
    <d v="2026-02-04T00:00:00"/>
    <s v="Sale"/>
    <n v="7"/>
  </r>
  <r>
    <x v="30"/>
    <n v="1830197"/>
    <d v="2026-02-04T00:00:00"/>
    <s v="Sale"/>
    <n v="8"/>
  </r>
  <r>
    <x v="31"/>
    <n v="1830197"/>
    <d v="2026-02-04T00:00:00"/>
    <s v="Sale"/>
    <n v="22"/>
  </r>
  <r>
    <x v="32"/>
    <n v="1830197"/>
    <d v="2026-02-04T00:00:00"/>
    <s v="Sale"/>
    <n v="93"/>
  </r>
  <r>
    <x v="33"/>
    <n v="1830197"/>
    <d v="2026-02-04T00:00:00"/>
    <s v="Sale"/>
    <n v="8"/>
  </r>
  <r>
    <x v="34"/>
    <n v="1830197"/>
    <d v="2026-02-04T00:00:00"/>
    <s v="Sale"/>
    <n v="0"/>
  </r>
  <r>
    <x v="35"/>
    <n v="1830197"/>
    <d v="2026-02-04T00:00:00"/>
    <s v="Sale"/>
    <n v="10"/>
  </r>
  <r>
    <x v="36"/>
    <n v="1830197"/>
    <d v="2026-02-04T00:00:00"/>
    <s v="Sale"/>
    <n v="0"/>
  </r>
  <r>
    <x v="37"/>
    <n v="1830197"/>
    <d v="2026-02-04T00:00:00"/>
    <s v="Sale"/>
    <n v="0"/>
  </r>
  <r>
    <x v="38"/>
    <n v="1830197"/>
    <d v="2026-02-04T00:00:00"/>
    <s v="Sale"/>
    <n v="70"/>
  </r>
  <r>
    <x v="39"/>
    <n v="1830197"/>
    <d v="2026-02-04T00:00:00"/>
    <s v="Sale"/>
    <n v="0"/>
  </r>
  <r>
    <x v="40"/>
    <n v="1830197"/>
    <d v="2026-02-04T00:00:00"/>
    <s v="Sale"/>
    <n v="10"/>
  </r>
  <r>
    <x v="41"/>
    <n v="1830197"/>
    <d v="2026-02-04T00:00:00"/>
    <s v="Sale"/>
    <n v="86"/>
  </r>
  <r>
    <x v="42"/>
    <n v="1830197"/>
    <d v="2026-02-04T00:00:00"/>
    <s v="Sale"/>
    <n v="25"/>
  </r>
  <r>
    <x v="43"/>
    <n v="1830197"/>
    <d v="2026-02-04T00:00:00"/>
    <s v="Sale"/>
    <n v="80"/>
  </r>
  <r>
    <x v="44"/>
    <n v="1830197"/>
    <d v="2026-02-04T00:00:00"/>
    <s v="Sale"/>
    <n v="120"/>
  </r>
  <r>
    <x v="45"/>
    <n v="1830197"/>
    <d v="2026-02-04T00:00:00"/>
    <s v="Sale"/>
    <n v="802"/>
  </r>
  <r>
    <x v="46"/>
    <n v="1830197"/>
    <d v="2026-02-04T00:00:00"/>
    <s v="Sale"/>
    <n v="0"/>
  </r>
  <r>
    <x v="47"/>
    <n v="1830197"/>
    <d v="2026-02-04T00:00:00"/>
    <s v="Sale"/>
    <n v="195"/>
  </r>
  <r>
    <x v="48"/>
    <n v="1830197"/>
    <d v="2026-02-04T00:00:00"/>
    <s v="Sale"/>
    <n v="0"/>
  </r>
  <r>
    <x v="49"/>
    <n v="1830197"/>
    <d v="2026-02-04T00:00:00"/>
    <s v="Sale"/>
    <n v="0"/>
  </r>
  <r>
    <x v="50"/>
    <n v="1830197"/>
    <d v="2026-02-04T00:00:00"/>
    <s v="Sale"/>
    <n v="0"/>
  </r>
  <r>
    <x v="51"/>
    <n v="1830197"/>
    <d v="2026-02-04T00:00:00"/>
    <s v="Sale"/>
    <n v="0"/>
  </r>
  <r>
    <x v="52"/>
    <n v="1830197"/>
    <d v="2026-02-04T00:00:00"/>
    <s v="Sale"/>
    <n v="0"/>
  </r>
  <r>
    <x v="53"/>
    <n v="1830197"/>
    <d v="2026-02-04T00:00:00"/>
    <s v="Sale"/>
    <n v="120"/>
  </r>
  <r>
    <x v="54"/>
    <n v="1830197"/>
    <d v="2026-02-04T00:00:00"/>
    <s v="Sale"/>
    <n v="323"/>
  </r>
  <r>
    <x v="55"/>
    <n v="1830197"/>
    <d v="2026-02-04T00:00:00"/>
    <s v="Sale"/>
    <n v="22"/>
  </r>
  <r>
    <x v="56"/>
    <n v="1830197"/>
    <d v="2026-02-04T00:00:00"/>
    <s v="Sale"/>
    <n v="10.15"/>
  </r>
  <r>
    <x v="57"/>
    <n v="1830197"/>
    <d v="2026-02-04T00:00:00"/>
    <s v="Sale"/>
    <n v="0"/>
  </r>
  <r>
    <x v="58"/>
    <n v="1830197"/>
    <d v="2026-02-04T00:00:00"/>
    <s v="Sale"/>
    <n v="6"/>
  </r>
  <r>
    <x v="59"/>
    <n v="1830197"/>
    <d v="2026-02-04T00:00:00"/>
    <s v="Sale"/>
    <n v="7288"/>
  </r>
  <r>
    <x v="60"/>
    <n v="1830197"/>
    <d v="2026-02-04T00:00:00"/>
    <s v="Sale"/>
    <n v="0"/>
  </r>
  <r>
    <x v="61"/>
    <n v="1830197"/>
    <d v="2026-02-04T00:00:00"/>
    <s v="Sale"/>
    <n v="11"/>
  </r>
  <r>
    <x v="62"/>
    <n v="1830197"/>
    <d v="2026-02-04T00:00:00"/>
    <s v="Sale"/>
    <n v="0"/>
  </r>
  <r>
    <x v="63"/>
    <n v="1830197"/>
    <d v="2026-02-04T00:00:00"/>
    <s v="Sale"/>
    <n v="2"/>
  </r>
  <r>
    <x v="64"/>
    <n v="1830197"/>
    <d v="2026-02-04T00:00:00"/>
    <s v="Sale"/>
    <n v="1242"/>
  </r>
  <r>
    <x v="65"/>
    <n v="1830197"/>
    <d v="2026-02-04T00:00:00"/>
    <s v="Sale"/>
    <n v="0"/>
  </r>
  <r>
    <x v="66"/>
    <n v="1830197"/>
    <d v="2026-02-04T00:00:00"/>
    <s v="Sale"/>
    <n v="13.92"/>
  </r>
  <r>
    <x v="67"/>
    <n v="1830197"/>
    <d v="2026-02-04T00:00:00"/>
    <s v="Sale"/>
    <n v="11"/>
  </r>
  <r>
    <x v="68"/>
    <n v="1830197"/>
    <d v="2026-02-04T00:00:00"/>
    <s v="Sale"/>
    <n v="19"/>
  </r>
  <r>
    <x v="69"/>
    <n v="1830197"/>
    <d v="2026-02-04T00:00:00"/>
    <s v="Sale"/>
    <n v="0"/>
  </r>
  <r>
    <x v="70"/>
    <n v="1830197"/>
    <d v="2026-02-04T00:00:00"/>
    <s v="Sale"/>
    <n v="40"/>
  </r>
  <r>
    <x v="71"/>
    <n v="1830197"/>
    <d v="2026-02-04T00:00:00"/>
    <s v="Sale"/>
    <n v="83"/>
  </r>
  <r>
    <x v="72"/>
    <n v="1830197"/>
    <d v="2026-02-04T00:00:00"/>
    <s v="Sale"/>
    <n v="8"/>
  </r>
  <r>
    <x v="73"/>
    <n v="1830197"/>
    <d v="2026-02-04T00:00:00"/>
    <s v="Sale"/>
    <n v="38"/>
  </r>
  <r>
    <x v="74"/>
    <n v="1830197"/>
    <d v="2026-02-04T00:00:00"/>
    <s v="Sale"/>
    <n v="68"/>
  </r>
  <r>
    <x v="75"/>
    <n v="1830197"/>
    <d v="2026-02-04T00:00:00"/>
    <s v="Sale"/>
    <n v="0"/>
  </r>
  <r>
    <x v="76"/>
    <n v="1830197"/>
    <d v="2026-02-04T00:00:00"/>
    <s v="Sale"/>
    <n v="13"/>
  </r>
  <r>
    <x v="77"/>
    <n v="1830197"/>
    <d v="2026-02-04T00:00:00"/>
    <s v="Sale"/>
    <n v="0"/>
  </r>
  <r>
    <x v="78"/>
    <n v="1830197"/>
    <d v="2026-02-04T00:00:00"/>
    <s v="Sale"/>
    <n v="0"/>
  </r>
  <r>
    <x v="79"/>
    <n v="1830197"/>
    <d v="2026-02-04T00:00:00"/>
    <s v="Sale"/>
    <n v="11"/>
  </r>
  <r>
    <x v="80"/>
    <n v="1830197"/>
    <d v="2026-02-04T00:00:00"/>
    <s v="Sale"/>
    <n v="19"/>
  </r>
  <r>
    <x v="81"/>
    <n v="1830197"/>
    <d v="2026-02-04T00:00:00"/>
    <s v="Sale"/>
    <n v="0"/>
  </r>
  <r>
    <x v="82"/>
    <n v="1830197"/>
    <d v="2026-02-04T00:00:00"/>
    <s v="Sale"/>
    <n v="0"/>
  </r>
  <r>
    <x v="83"/>
    <n v="1830197"/>
    <d v="2026-02-04T00:00:00"/>
    <s v="Sale"/>
    <n v="1.39"/>
  </r>
  <r>
    <x v="84"/>
    <n v="1830197"/>
    <d v="2026-02-04T00:00:00"/>
    <s v="Sale"/>
    <n v="82"/>
  </r>
  <r>
    <x v="85"/>
    <n v="1830197"/>
    <d v="2026-02-04T00:00:00"/>
    <s v="Sale"/>
    <n v="0"/>
  </r>
  <r>
    <x v="86"/>
    <n v="1830197"/>
    <d v="2026-02-04T00:00:00"/>
    <s v="Sale"/>
    <n v="0"/>
  </r>
  <r>
    <x v="87"/>
    <n v="1830197"/>
    <d v="2026-02-04T00:00:00"/>
    <s v="Sale"/>
    <n v="0"/>
  </r>
  <r>
    <x v="88"/>
    <n v="1830197"/>
    <d v="2026-02-04T00:00:00"/>
    <s v="Sale"/>
    <n v="0"/>
  </r>
  <r>
    <x v="89"/>
    <n v="1830197"/>
    <d v="2026-02-04T00:00:00"/>
    <s v="Sale"/>
    <n v="0"/>
  </r>
  <r>
    <x v="90"/>
    <n v="1830197"/>
    <d v="2026-02-04T00:00:00"/>
    <s v="Sale"/>
    <n v="1520"/>
  </r>
  <r>
    <x v="91"/>
    <n v="1830197"/>
    <d v="2026-02-04T00:00:00"/>
    <s v="Sale"/>
    <n v="165"/>
  </r>
  <r>
    <x v="92"/>
    <n v="1830197"/>
    <d v="2026-02-04T00:00:00"/>
    <s v="Sale"/>
    <n v="0"/>
  </r>
  <r>
    <x v="93"/>
    <n v="1830197"/>
    <d v="2026-02-04T00:00:00"/>
    <s v="Sale"/>
    <n v="0"/>
  </r>
  <r>
    <x v="94"/>
    <n v="1830197"/>
    <d v="2026-02-04T00:00:00"/>
    <s v="Sale"/>
    <n v="0"/>
  </r>
  <r>
    <x v="95"/>
    <n v="1830197"/>
    <d v="2026-02-04T00:00:00"/>
    <s v="Sale"/>
    <n v="0"/>
  </r>
  <r>
    <x v="96"/>
    <n v="1830197"/>
    <d v="2026-02-04T00:00:00"/>
    <s v="Sale"/>
    <n v="243"/>
  </r>
  <r>
    <x v="97"/>
    <n v="1830197"/>
    <d v="2026-02-04T00:00:00"/>
    <s v="Sale"/>
    <n v="31"/>
  </r>
  <r>
    <x v="98"/>
    <n v="1830197"/>
    <d v="2026-02-04T00:00:00"/>
    <s v="Sale"/>
    <n v="13"/>
  </r>
  <r>
    <x v="99"/>
    <n v="1830197"/>
    <d v="2026-02-04T00:00:00"/>
    <s v="Sale"/>
    <n v="248"/>
  </r>
  <r>
    <x v="100"/>
    <n v="1830197"/>
    <d v="2026-02-04T00:00:00"/>
    <s v="Sale"/>
    <n v="5"/>
  </r>
  <r>
    <x v="101"/>
    <n v="1830197"/>
    <d v="2026-02-04T00:00:00"/>
    <s v="Sale"/>
    <n v="0"/>
  </r>
  <r>
    <x v="102"/>
    <n v="1830197"/>
    <d v="2026-02-04T00:00:00"/>
    <s v="Sale"/>
    <n v="60"/>
  </r>
  <r>
    <x v="103"/>
    <n v="1830197"/>
    <d v="2026-02-04T00:00:00"/>
    <s v="Sale"/>
    <n v="0"/>
  </r>
  <r>
    <x v="104"/>
    <n v="1830197"/>
    <d v="2026-02-04T00:00:00"/>
    <s v="Sale"/>
    <n v="0"/>
  </r>
  <r>
    <x v="105"/>
    <n v="1830197"/>
    <d v="2026-02-04T00:00:00"/>
    <s v="Sale"/>
    <n v="4"/>
  </r>
  <r>
    <x v="106"/>
    <n v="1830197"/>
    <d v="2026-02-04T00:00:00"/>
    <s v="Sale"/>
    <n v="0"/>
  </r>
  <r>
    <x v="107"/>
    <n v="1830197"/>
    <d v="2026-02-04T00:00:00"/>
    <s v="Sale"/>
    <n v="0"/>
  </r>
  <r>
    <x v="108"/>
    <n v="1830197"/>
    <d v="2026-02-04T00:00:00"/>
    <s v="Sale"/>
    <n v="0"/>
  </r>
  <r>
    <x v="109"/>
    <n v="1830197"/>
    <d v="2026-02-04T00:00:00"/>
    <s v="Sale"/>
    <n v="0"/>
  </r>
  <r>
    <x v="110"/>
    <n v="1830197"/>
    <d v="2026-02-04T00:00:00"/>
    <s v="Sale"/>
    <n v="0"/>
  </r>
  <r>
    <x v="111"/>
    <n v="1830197"/>
    <d v="2026-02-04T00:00:00"/>
    <s v="Sale"/>
    <n v="0"/>
  </r>
  <r>
    <x v="112"/>
    <n v="1830197"/>
    <d v="2026-02-04T00:00:00"/>
    <s v="Sale"/>
    <n v="0"/>
  </r>
  <r>
    <x v="113"/>
    <n v="1830197"/>
    <d v="2026-02-04T00:00:00"/>
    <s v="Sale"/>
    <n v="1.92"/>
  </r>
  <r>
    <x v="114"/>
    <n v="1830197"/>
    <d v="2026-02-04T00:00:00"/>
    <s v="Sale"/>
    <n v="32.17"/>
  </r>
  <r>
    <x v="115"/>
    <n v="1830197"/>
    <d v="2026-02-04T00:00:00"/>
    <s v="Sale"/>
    <n v="66"/>
  </r>
  <r>
    <x v="116"/>
    <n v="1830197"/>
    <d v="2026-02-04T00:00:00"/>
    <s v="Sale"/>
    <n v="0"/>
  </r>
  <r>
    <x v="117"/>
    <n v="1830197"/>
    <d v="2026-02-04T00:00:00"/>
    <s v="Sale"/>
    <n v="0"/>
  </r>
  <r>
    <x v="118"/>
    <n v="1830197"/>
    <d v="2026-02-04T00:00:00"/>
    <s v="Sale"/>
    <n v="535"/>
  </r>
  <r>
    <x v="119"/>
    <n v="1830197"/>
    <d v="2026-02-04T00:00:00"/>
    <s v="Sale"/>
    <n v="64"/>
  </r>
  <r>
    <x v="120"/>
    <n v="1830197"/>
    <d v="2026-02-04T00:00:00"/>
    <s v="Sale"/>
    <n v="0"/>
  </r>
  <r>
    <x v="121"/>
    <n v="1830197"/>
    <d v="2026-02-04T00:00:00"/>
    <s v="Sale"/>
    <n v="0"/>
  </r>
  <r>
    <x v="122"/>
    <n v="1830197"/>
    <d v="2026-02-04T00:00:00"/>
    <s v="Sale"/>
    <n v="191"/>
  </r>
  <r>
    <x v="123"/>
    <n v="1830197"/>
    <d v="2026-02-04T00:00:00"/>
    <s v="Sale"/>
    <n v="0"/>
  </r>
  <r>
    <x v="124"/>
    <n v="1830197"/>
    <d v="2026-02-04T00:00:00"/>
    <s v="Sale"/>
    <n v="0"/>
  </r>
  <r>
    <x v="125"/>
    <n v="1830197"/>
    <d v="2026-02-04T00:00:00"/>
    <s v="Sale"/>
    <n v="0"/>
  </r>
  <r>
    <x v="126"/>
    <n v="1830197"/>
    <d v="2026-02-04T00:00:00"/>
    <s v="Sale"/>
    <n v="0"/>
  </r>
  <r>
    <x v="127"/>
    <n v="1830197"/>
    <d v="2026-02-04T00:00:00"/>
    <s v="Sale"/>
    <n v="124"/>
  </r>
  <r>
    <x v="128"/>
    <n v="1830197"/>
    <d v="2026-02-04T00:00:00"/>
    <s v="Sale"/>
    <n v="0"/>
  </r>
  <r>
    <x v="129"/>
    <n v="1830197"/>
    <d v="2026-02-04T00:00:00"/>
    <s v="Sale"/>
    <n v="0.05"/>
  </r>
  <r>
    <x v="130"/>
    <n v="1830197"/>
    <d v="2026-02-04T00:00:00"/>
    <s v="Sale"/>
    <n v="3"/>
  </r>
  <r>
    <x v="131"/>
    <n v="1830197"/>
    <d v="2026-02-04T00:00:00"/>
    <s v="Sale"/>
    <n v="765"/>
  </r>
  <r>
    <x v="132"/>
    <n v="1830197"/>
    <d v="2026-02-04T00:00:00"/>
    <s v="Sale"/>
    <n v="0"/>
  </r>
  <r>
    <x v="133"/>
    <n v="1830197"/>
    <d v="2026-02-04T00:00:00"/>
    <s v="Sale"/>
    <n v="0"/>
  </r>
  <r>
    <x v="134"/>
    <n v="1830197"/>
    <d v="2026-02-04T00:00:00"/>
    <s v="Sale"/>
    <n v="0"/>
  </r>
  <r>
    <x v="135"/>
    <n v="1830197"/>
    <d v="2026-02-04T00:00:00"/>
    <s v="Sale"/>
    <n v="0"/>
  </r>
  <r>
    <x v="136"/>
    <n v="1830197"/>
    <d v="2026-02-04T00:00:00"/>
    <s v="Sale"/>
    <n v="0"/>
  </r>
  <r>
    <x v="137"/>
    <n v="1830197"/>
    <d v="2026-02-04T00:00:00"/>
    <s v="Sale"/>
    <n v="0"/>
  </r>
  <r>
    <x v="138"/>
    <n v="1830197"/>
    <d v="2026-02-04T00:00:00"/>
    <s v="Sale"/>
    <n v="0"/>
  </r>
  <r>
    <x v="139"/>
    <n v="1830197"/>
    <d v="2026-02-04T00:00:00"/>
    <s v="Sale"/>
    <n v="0"/>
  </r>
  <r>
    <x v="140"/>
    <n v="1830197"/>
    <d v="2026-02-04T00:00:00"/>
    <s v="Sale"/>
    <n v="0"/>
  </r>
  <r>
    <x v="141"/>
    <n v="1830197"/>
    <d v="2026-02-04T00:00:00"/>
    <s v="Sale"/>
    <n v="0"/>
  </r>
  <r>
    <x v="142"/>
    <n v="1830197"/>
    <d v="2026-02-04T00:00:00"/>
    <s v="Sale"/>
    <n v="2"/>
  </r>
  <r>
    <x v="143"/>
    <n v="1830197"/>
    <d v="2026-02-04T00:00:00"/>
    <s v="Sale"/>
    <n v="9"/>
  </r>
  <r>
    <x v="144"/>
    <n v="1830197"/>
    <d v="2026-02-04T00:00:00"/>
    <s v="Sale"/>
    <n v="6.42"/>
  </r>
  <r>
    <x v="145"/>
    <n v="1830197"/>
    <d v="2026-02-04T00:00:00"/>
    <s v="Sale"/>
    <n v="0"/>
  </r>
  <r>
    <x v="146"/>
    <n v="1830197"/>
    <d v="2026-02-04T00:00:00"/>
    <s v="Sale"/>
    <n v="0"/>
  </r>
  <r>
    <x v="147"/>
    <n v="1830197"/>
    <d v="2026-02-04T00:00:00"/>
    <s v="Sale"/>
    <n v="0.28000000000000003"/>
  </r>
  <r>
    <x v="148"/>
    <n v="1830197"/>
    <d v="2026-02-04T00:00:00"/>
    <s v="Sale"/>
    <n v="12"/>
  </r>
  <r>
    <x v="149"/>
    <n v="1830197"/>
    <d v="2026-02-04T00:00:00"/>
    <s v="Sale"/>
    <n v="1"/>
  </r>
  <r>
    <x v="150"/>
    <n v="1830197"/>
    <d v="2026-02-04T00:00:00"/>
    <s v="Sale"/>
    <n v="4"/>
  </r>
  <r>
    <x v="151"/>
    <n v="1830197"/>
    <d v="2026-02-04T00:00:00"/>
    <s v="Sale"/>
    <n v="0"/>
  </r>
  <r>
    <x v="152"/>
    <n v="1830197"/>
    <d v="2026-02-04T00:00:00"/>
    <s v="Sale"/>
    <n v="0"/>
  </r>
  <r>
    <x v="153"/>
    <n v="1830197"/>
    <d v="2026-02-04T00:00:00"/>
    <s v="Sale"/>
    <n v="0"/>
  </r>
  <r>
    <x v="154"/>
    <n v="1830197"/>
    <d v="2026-02-04T00:00:00"/>
    <s v="Sale"/>
    <n v="0"/>
  </r>
  <r>
    <x v="155"/>
    <n v="1830197"/>
    <d v="2026-02-04T00:00:00"/>
    <s v="Sale"/>
    <n v="7.71"/>
  </r>
  <r>
    <x v="156"/>
    <n v="1830197"/>
    <d v="2026-02-04T00:00:00"/>
    <s v="Sale"/>
    <n v="0"/>
  </r>
  <r>
    <x v="157"/>
    <n v="1830197"/>
    <d v="2026-02-04T00:00:00"/>
    <s v="Sale"/>
    <n v="0"/>
  </r>
  <r>
    <x v="158"/>
    <n v="1830197"/>
    <d v="2026-02-04T00:00:00"/>
    <s v="Sale"/>
    <n v="0"/>
  </r>
  <r>
    <x v="159"/>
    <n v="1830197"/>
    <d v="2026-02-04T00:00:00"/>
    <s v="Sale"/>
    <n v="19.75"/>
  </r>
  <r>
    <x v="160"/>
    <n v="1830197"/>
    <d v="2026-02-04T00:00:00"/>
    <s v="Sale"/>
    <n v="0.64"/>
  </r>
  <r>
    <x v="161"/>
    <n v="1830197"/>
    <d v="2026-02-04T00:00:00"/>
    <s v="Sale"/>
    <n v="0"/>
  </r>
  <r>
    <x v="162"/>
    <n v="1830197"/>
    <d v="2026-02-04T00:00:00"/>
    <s v="Sale"/>
    <n v="3"/>
  </r>
  <r>
    <x v="163"/>
    <n v="1830197"/>
    <d v="2026-02-04T00:00:00"/>
    <s v="Sale"/>
    <n v="0"/>
  </r>
  <r>
    <x v="164"/>
    <n v="1830197"/>
    <d v="2026-02-04T00:00:00"/>
    <s v="Sale"/>
    <n v="0"/>
  </r>
  <r>
    <x v="165"/>
    <n v="1830197"/>
    <d v="2026-02-04T00:00:00"/>
    <s v="Sale"/>
    <n v="0"/>
  </r>
  <r>
    <x v="166"/>
    <n v="1830197"/>
    <d v="2026-02-04T00:00:00"/>
    <s v="Sale"/>
    <n v="0"/>
  </r>
  <r>
    <x v="167"/>
    <n v="1830197"/>
    <d v="2026-02-04T00:00:00"/>
    <s v="Sale"/>
    <n v="0"/>
  </r>
  <r>
    <x v="168"/>
    <n v="1830197"/>
    <d v="2026-02-04T00:00:00"/>
    <s v="Sale"/>
    <n v="0"/>
  </r>
  <r>
    <x v="169"/>
    <n v="1830197"/>
    <d v="2026-02-04T00:00:00"/>
    <s v="Sale"/>
    <n v="0.01"/>
  </r>
  <r>
    <x v="170"/>
    <n v="1830197"/>
    <d v="2026-02-04T00:00:00"/>
    <s v="Sale"/>
    <n v="0"/>
  </r>
  <r>
    <x v="171"/>
    <n v="1830197"/>
    <d v="2026-02-04T00:00:00"/>
    <s v="Sale"/>
    <n v="31"/>
  </r>
  <r>
    <x v="172"/>
    <n v="1830197"/>
    <d v="2026-02-04T00:00:00"/>
    <s v="Sale"/>
    <n v="187"/>
  </r>
  <r>
    <x v="173"/>
    <n v="1830197"/>
    <d v="2026-02-04T00:00:00"/>
    <s v="Sale"/>
    <n v="0"/>
  </r>
  <r>
    <x v="174"/>
    <n v="1830197"/>
    <d v="2026-02-04T00:00:00"/>
    <s v="Sale"/>
    <n v="0"/>
  </r>
  <r>
    <x v="175"/>
    <n v="1830197"/>
    <d v="2026-02-04T00:00:00"/>
    <s v="Sale"/>
    <n v="839"/>
  </r>
  <r>
    <x v="176"/>
    <n v="1830197"/>
    <d v="2026-02-04T00:00:00"/>
    <s v="Sale"/>
    <n v="248"/>
  </r>
  <r>
    <x v="177"/>
    <n v="1830197"/>
    <d v="2026-02-04T00:00:00"/>
    <s v="Sale"/>
    <n v="0"/>
  </r>
  <r>
    <x v="178"/>
    <n v="1830197"/>
    <d v="2026-02-04T00:00:00"/>
    <s v="Sale"/>
    <n v="75"/>
  </r>
  <r>
    <x v="179"/>
    <n v="1830197"/>
    <d v="2026-02-04T00:00:00"/>
    <s v="Sale"/>
    <n v="0"/>
  </r>
  <r>
    <x v="180"/>
    <n v="1830197"/>
    <d v="2026-02-04T00:00:00"/>
    <s v="Sale"/>
    <n v="0"/>
  </r>
  <r>
    <x v="181"/>
    <n v="1830197"/>
    <d v="2026-02-04T00:00:00"/>
    <s v="Sale"/>
    <n v="2.41"/>
  </r>
  <r>
    <x v="182"/>
    <n v="1830197"/>
    <d v="2026-02-04T00:00:00"/>
    <s v="Sale"/>
    <n v="0"/>
  </r>
  <r>
    <x v="183"/>
    <n v="1830197"/>
    <d v="2026-02-04T00:00:00"/>
    <s v="Sale"/>
    <n v="0"/>
  </r>
  <r>
    <x v="184"/>
    <n v="1830197"/>
    <d v="2026-02-04T00:00:00"/>
    <s v="Sale"/>
    <n v="0"/>
  </r>
  <r>
    <x v="185"/>
    <n v="1830197"/>
    <d v="2026-02-04T00:00:00"/>
    <s v="Sale"/>
    <n v="16"/>
  </r>
  <r>
    <x v="186"/>
    <n v="1830197"/>
    <d v="2026-02-04T00:00:00"/>
    <s v="Sale"/>
    <n v="94"/>
  </r>
  <r>
    <x v="187"/>
    <n v="1830197"/>
    <d v="2026-02-04T00:00:00"/>
    <s v="Sale"/>
    <n v="169"/>
  </r>
  <r>
    <x v="188"/>
    <n v="1830197"/>
    <d v="2026-02-04T00:00:00"/>
    <s v="Sale"/>
    <n v="0"/>
  </r>
  <r>
    <x v="189"/>
    <n v="1830197"/>
    <d v="2026-02-04T00:00:00"/>
    <s v="Sale"/>
    <n v="0"/>
  </r>
  <r>
    <x v="190"/>
    <n v="1830197"/>
    <d v="2026-02-04T00:00:00"/>
    <s v="Sale"/>
    <n v="24"/>
  </r>
  <r>
    <x v="191"/>
    <n v="1830197"/>
    <d v="2026-02-04T00:00:00"/>
    <s v="Sale"/>
    <n v="1.89"/>
  </r>
  <r>
    <x v="192"/>
    <n v="1830197"/>
    <d v="2026-02-04T00:00:00"/>
    <s v="Sale"/>
    <n v="0"/>
  </r>
  <r>
    <x v="193"/>
    <n v="1830197"/>
    <d v="2026-02-04T00:00:00"/>
    <s v="Sale"/>
    <n v="0"/>
  </r>
  <r>
    <x v="194"/>
    <n v="1830197"/>
    <d v="2026-02-04T00:00:00"/>
    <s v="Sale"/>
    <n v="0"/>
  </r>
  <r>
    <x v="195"/>
    <n v="1830197"/>
    <d v="2026-02-04T00:00:00"/>
    <s v="Sale"/>
    <n v="0"/>
  </r>
  <r>
    <x v="196"/>
    <n v="1830197"/>
    <d v="2026-02-04T00:00:00"/>
    <s v="Sale"/>
    <n v="0"/>
  </r>
  <r>
    <x v="197"/>
    <n v="1830197"/>
    <d v="2026-02-04T00:00:00"/>
    <s v="Sale"/>
    <n v="282"/>
  </r>
  <r>
    <x v="198"/>
    <n v="1830197"/>
    <d v="2026-02-04T00:00:00"/>
    <s v="Sale"/>
    <n v="0"/>
  </r>
  <r>
    <x v="199"/>
    <n v="1830197"/>
    <d v="2026-02-04T00:00:00"/>
    <s v="Sale"/>
    <n v="0"/>
  </r>
  <r>
    <x v="200"/>
    <n v="1830197"/>
    <d v="2026-02-04T00:00:00"/>
    <s v="Sale"/>
    <n v="0"/>
  </r>
  <r>
    <x v="201"/>
    <n v="1830197"/>
    <d v="2026-02-04T00:00:00"/>
    <s v="Sale"/>
    <n v="0"/>
  </r>
  <r>
    <x v="202"/>
    <n v="1830197"/>
    <d v="2026-02-04T00:00:00"/>
    <s v="Sale"/>
    <n v="0"/>
  </r>
  <r>
    <x v="203"/>
    <n v="1830197"/>
    <d v="2026-02-04T00:00:00"/>
    <s v="Sale"/>
    <n v="4"/>
  </r>
  <r>
    <x v="204"/>
    <n v="1830197"/>
    <d v="2026-02-04T00:00:00"/>
    <s v="Sale"/>
    <n v="0.95"/>
  </r>
  <r>
    <x v="205"/>
    <n v="1830197"/>
    <d v="2026-02-04T00:00:00"/>
    <s v="Sale"/>
    <n v="0"/>
  </r>
  <r>
    <x v="206"/>
    <n v="1830197"/>
    <d v="2026-02-04T00:00:00"/>
    <s v="Sale"/>
    <n v="0"/>
  </r>
  <r>
    <x v="207"/>
    <n v="1830197"/>
    <d v="2026-02-04T00:00:00"/>
    <s v="Sale"/>
    <n v="64"/>
  </r>
  <r>
    <x v="208"/>
    <n v="1830197"/>
    <d v="2026-02-04T00:00:00"/>
    <s v="Sale"/>
    <n v="0"/>
  </r>
  <r>
    <x v="209"/>
    <n v="1830197"/>
    <d v="2026-02-04T00:00:00"/>
    <s v="Sale"/>
    <n v="19"/>
  </r>
  <r>
    <x v="210"/>
    <n v="1830197"/>
    <d v="2026-02-04T00:00:00"/>
    <s v="Sale"/>
    <n v="0"/>
  </r>
  <r>
    <x v="211"/>
    <n v="1830197"/>
    <d v="2026-02-04T00:00:00"/>
    <s v="Sale"/>
    <n v="0"/>
  </r>
  <r>
    <x v="212"/>
    <n v="1830197"/>
    <d v="2026-02-04T00:00:00"/>
    <s v="Sale"/>
    <n v="113"/>
  </r>
  <r>
    <x v="213"/>
    <n v="1830197"/>
    <d v="2026-02-04T00:00:00"/>
    <s v="Sale"/>
    <n v="0"/>
  </r>
  <r>
    <x v="214"/>
    <n v="1830197"/>
    <d v="2026-02-04T00:00:00"/>
    <s v="Sale"/>
    <n v="0"/>
  </r>
  <r>
    <x v="215"/>
    <n v="1830197"/>
    <d v="2026-02-04T00:00:00"/>
    <s v="Sale"/>
    <n v="0"/>
  </r>
  <r>
    <x v="216"/>
    <n v="1830197"/>
    <d v="2026-02-04T00:00:00"/>
    <s v="Sale"/>
    <n v="0"/>
  </r>
  <r>
    <x v="217"/>
    <n v="1830197"/>
    <d v="2026-02-04T00:00:00"/>
    <s v="Sale"/>
    <n v="0"/>
  </r>
  <r>
    <x v="218"/>
    <n v="1830197"/>
    <d v="2026-02-04T00:00:00"/>
    <s v="Sale"/>
    <n v="0"/>
  </r>
  <r>
    <x v="219"/>
    <n v="1830197"/>
    <d v="2026-02-04T00:00:00"/>
    <s v="Sale"/>
    <n v="0"/>
  </r>
  <r>
    <x v="220"/>
    <n v="1830197"/>
    <d v="2026-02-04T00:00:00"/>
    <s v="Sale"/>
    <n v="9"/>
  </r>
  <r>
    <x v="221"/>
    <n v="1830197"/>
    <d v="2026-02-04T00:00:00"/>
    <s v="Sale"/>
    <n v="19"/>
  </r>
  <r>
    <x v="222"/>
    <n v="1830197"/>
    <d v="2026-02-04T00:00:00"/>
    <s v="Sale"/>
    <n v="387"/>
  </r>
  <r>
    <x v="223"/>
    <n v="1830197"/>
    <d v="2026-02-04T00:00:00"/>
    <s v="Sale"/>
    <n v="2.2999999999999998"/>
  </r>
  <r>
    <x v="224"/>
    <n v="1830197"/>
    <d v="2026-02-04T00:00:00"/>
    <s v="Sale"/>
    <n v="17.52"/>
  </r>
  <r>
    <x v="225"/>
    <n v="1830197"/>
    <d v="2026-02-04T00:00:00"/>
    <s v="Sale"/>
    <n v="0"/>
  </r>
  <r>
    <x v="226"/>
    <n v="1830197"/>
    <d v="2026-02-04T00:00:00"/>
    <s v="Sale"/>
    <n v="2.4"/>
  </r>
  <r>
    <x v="227"/>
    <n v="1830197"/>
    <d v="2026-02-04T00:00:00"/>
    <s v="Sale"/>
    <n v="0"/>
  </r>
  <r>
    <x v="228"/>
    <n v="1830197"/>
    <d v="2026-02-04T00:00:00"/>
    <s v="Sale"/>
    <n v="0"/>
  </r>
  <r>
    <x v="229"/>
    <n v="1830197"/>
    <d v="2026-02-04T00:00:00"/>
    <s v="Sale"/>
    <n v="0"/>
  </r>
  <r>
    <x v="230"/>
    <n v="1830197"/>
    <d v="2026-02-04T00:00:00"/>
    <s v="Sale"/>
    <n v="0"/>
  </r>
  <r>
    <x v="231"/>
    <n v="1830197"/>
    <d v="2026-02-04T00:00:00"/>
    <s v="Sale"/>
    <n v="0"/>
  </r>
  <r>
    <x v="232"/>
    <n v="1830197"/>
    <d v="2026-02-04T00:00:00"/>
    <s v="Sale"/>
    <n v="8"/>
  </r>
  <r>
    <x v="233"/>
    <n v="1830197"/>
    <d v="2026-02-04T00:00:00"/>
    <s v="Sale"/>
    <n v="0"/>
  </r>
  <r>
    <x v="234"/>
    <n v="1830197"/>
    <d v="2026-02-04T00:00:00"/>
    <s v="Sale"/>
    <n v="0"/>
  </r>
  <r>
    <x v="235"/>
    <n v="1830197"/>
    <d v="2026-02-04T00:00:00"/>
    <s v="Sale"/>
    <n v="0"/>
  </r>
  <r>
    <x v="236"/>
    <n v="1830197"/>
    <d v="2026-02-04T00:00:00"/>
    <s v="Sale"/>
    <n v="0"/>
  </r>
  <r>
    <x v="237"/>
    <n v="1830197"/>
    <d v="2026-02-04T00:00:00"/>
    <s v="Sale"/>
    <n v="0"/>
  </r>
  <r>
    <x v="238"/>
    <n v="1830197"/>
    <d v="2026-02-04T00:00:00"/>
    <s v="Sale"/>
    <n v="0"/>
  </r>
  <r>
    <x v="239"/>
    <n v="1830197"/>
    <d v="2026-02-04T00:00:00"/>
    <s v="Sale"/>
    <n v="0"/>
  </r>
  <r>
    <x v="240"/>
    <n v="1830197"/>
    <d v="2026-02-04T00:00:00"/>
    <s v="Sale"/>
    <n v="19"/>
  </r>
  <r>
    <x v="241"/>
    <n v="1830197"/>
    <d v="2026-02-04T00:00:00"/>
    <s v="Sale"/>
    <n v="0"/>
  </r>
  <r>
    <x v="242"/>
    <n v="1830197"/>
    <d v="2026-02-04T00:00:00"/>
    <s v="Sale"/>
    <n v="3"/>
  </r>
  <r>
    <x v="243"/>
    <n v="1830197"/>
    <d v="2026-02-04T00:00:00"/>
    <s v="Sale"/>
    <n v="0"/>
  </r>
  <r>
    <x v="244"/>
    <n v="1830197"/>
    <d v="2026-02-04T00:00:00"/>
    <s v="Sale"/>
    <n v="0"/>
  </r>
  <r>
    <x v="245"/>
    <n v="1830197"/>
    <d v="2026-02-04T00:00:00"/>
    <s v="Sale"/>
    <n v="0"/>
  </r>
  <r>
    <x v="246"/>
    <n v="1830197"/>
    <d v="2026-02-04T00:00:00"/>
    <s v="Sale"/>
    <n v="0.79"/>
  </r>
  <r>
    <x v="247"/>
    <n v="1830197"/>
    <d v="2026-02-04T00:00:00"/>
    <s v="Sale"/>
    <n v="0"/>
  </r>
  <r>
    <x v="248"/>
    <n v="1830197"/>
    <d v="2026-02-04T00:00:00"/>
    <s v="Sale"/>
    <n v="13"/>
  </r>
  <r>
    <x v="249"/>
    <n v="1830197"/>
    <d v="2026-02-04T00:00:00"/>
    <s v="Sale"/>
    <n v="0"/>
  </r>
  <r>
    <x v="250"/>
    <n v="1830197"/>
    <d v="2026-02-04T00:00:00"/>
    <s v="Sale"/>
    <n v="0"/>
  </r>
  <r>
    <x v="251"/>
    <n v="1830197"/>
    <d v="2026-02-04T00:00:00"/>
    <s v="Sale"/>
    <n v="0"/>
  </r>
  <r>
    <x v="252"/>
    <n v="1830197"/>
    <d v="2026-02-04T00:00:00"/>
    <s v="Sale"/>
    <n v="0"/>
  </r>
  <r>
    <x v="253"/>
    <n v="1830197"/>
    <d v="2026-02-04T00:00:00"/>
    <s v="Sale"/>
    <n v="0"/>
  </r>
  <r>
    <x v="254"/>
    <n v="1830197"/>
    <d v="2026-02-04T00:00:00"/>
    <s v="Sale"/>
    <n v="0"/>
  </r>
  <r>
    <x v="255"/>
    <n v="1830197"/>
    <d v="2026-02-04T00:00:00"/>
    <s v="Sale"/>
    <n v="0"/>
  </r>
  <r>
    <x v="256"/>
    <n v="1830197"/>
    <d v="2026-02-04T00:00:00"/>
    <s v="Sale"/>
    <n v="0"/>
  </r>
  <r>
    <x v="257"/>
    <n v="1830197"/>
    <d v="2026-02-04T00:00:00"/>
    <s v="Sale"/>
    <n v="0"/>
  </r>
  <r>
    <x v="258"/>
    <n v="1830197"/>
    <d v="2026-02-04T00:00:00"/>
    <s v="Sale"/>
    <n v="0"/>
  </r>
  <r>
    <x v="259"/>
    <n v="1830197"/>
    <d v="2026-02-04T00:00:00"/>
    <s v="Sale"/>
    <n v="0"/>
  </r>
  <r>
    <x v="260"/>
    <n v="1830197"/>
    <d v="2026-02-04T00:00:00"/>
    <s v="Sale"/>
    <n v="264"/>
  </r>
  <r>
    <x v="261"/>
    <n v="1830197"/>
    <d v="2026-02-04T00:00:00"/>
    <s v="Sale"/>
    <n v="0"/>
  </r>
  <r>
    <x v="262"/>
    <n v="1830197"/>
    <d v="2026-02-04T00:00:00"/>
    <s v="Sale"/>
    <n v="0.93"/>
  </r>
  <r>
    <x v="263"/>
    <n v="1830197"/>
    <d v="2026-02-04T00:00:00"/>
    <s v="Sale"/>
    <n v="0"/>
  </r>
  <r>
    <x v="264"/>
    <n v="1830197"/>
    <d v="2026-02-04T00:00:00"/>
    <s v="Sale"/>
    <n v="1"/>
  </r>
  <r>
    <x v="265"/>
    <n v="1830197"/>
    <d v="2026-02-04T00:00:00"/>
    <s v="Sale"/>
    <n v="176"/>
  </r>
  <r>
    <x v="266"/>
    <n v="1830197"/>
    <d v="2026-02-04T00:00:00"/>
    <s v="Sale"/>
    <n v="100"/>
  </r>
  <r>
    <x v="267"/>
    <n v="1830197"/>
    <d v="2026-02-04T00:00:00"/>
    <s v="Sale"/>
    <n v="0"/>
  </r>
  <r>
    <x v="268"/>
    <n v="1830197"/>
    <d v="2026-02-04T00:00:00"/>
    <s v="Sale"/>
    <n v="90"/>
  </r>
  <r>
    <x v="269"/>
    <n v="1830197"/>
    <d v="2026-02-04T00:00:00"/>
    <s v="Sale"/>
    <n v="0"/>
  </r>
  <r>
    <x v="270"/>
    <n v="1830197"/>
    <d v="2026-02-04T00:00:00"/>
    <s v="Sale"/>
    <n v="0"/>
  </r>
  <r>
    <x v="271"/>
    <n v="1830197"/>
    <d v="2026-02-04T00:00:00"/>
    <s v="Sale"/>
    <n v="1"/>
  </r>
  <r>
    <x v="272"/>
    <n v="1830197"/>
    <d v="2026-02-04T00:00:00"/>
    <s v="Sale"/>
    <n v="0"/>
  </r>
  <r>
    <x v="273"/>
    <n v="1830197"/>
    <d v="2026-02-04T00:00:00"/>
    <s v="Sale"/>
    <n v="297"/>
  </r>
  <r>
    <x v="274"/>
    <n v="1830197"/>
    <d v="2026-02-04T00:00:00"/>
    <s v="Sale"/>
    <n v="0"/>
  </r>
  <r>
    <x v="275"/>
    <n v="1830197"/>
    <d v="2026-02-04T00:00:00"/>
    <s v="Sale"/>
    <n v="0"/>
  </r>
  <r>
    <x v="276"/>
    <n v="1830197"/>
    <d v="2026-02-04T00:00:00"/>
    <s v="Sale"/>
    <n v="10"/>
  </r>
  <r>
    <x v="277"/>
    <n v="1830197"/>
    <d v="2026-02-04T00:00:00"/>
    <s v="Sale"/>
    <n v="7.31"/>
  </r>
  <r>
    <x v="278"/>
    <n v="1830197"/>
    <d v="2026-02-04T00:00:00"/>
    <s v="Sale"/>
    <n v="179"/>
  </r>
  <r>
    <x v="279"/>
    <n v="1830197"/>
    <d v="2026-02-04T00:00:00"/>
    <s v="Sale"/>
    <n v="0"/>
  </r>
  <r>
    <x v="280"/>
    <n v="1830197"/>
    <d v="2026-02-04T00:00:00"/>
    <s v="Sale"/>
    <n v="0"/>
  </r>
  <r>
    <x v="281"/>
    <n v="1830197"/>
    <d v="2026-02-04T00:00:00"/>
    <s v="Sale"/>
    <n v="77"/>
  </r>
  <r>
    <x v="282"/>
    <n v="1830197"/>
    <d v="2026-02-04T00:00:00"/>
    <s v="Sale"/>
    <n v="0"/>
  </r>
  <r>
    <x v="283"/>
    <n v="1830197"/>
    <d v="2026-02-04T00:00:00"/>
    <s v="Sale"/>
    <n v="0"/>
  </r>
  <r>
    <x v="284"/>
    <n v="1830197"/>
    <d v="2026-02-04T00:00:00"/>
    <s v="Sale"/>
    <n v="4"/>
  </r>
  <r>
    <x v="285"/>
    <n v="1830197"/>
    <d v="2026-02-04T00:00:00"/>
    <s v="Sale"/>
    <n v="0"/>
  </r>
  <r>
    <x v="286"/>
    <n v="1830197"/>
    <d v="2026-02-04T00:00:00"/>
    <s v="Sale"/>
    <n v="0"/>
  </r>
  <r>
    <x v="287"/>
    <n v="1830197"/>
    <d v="2026-02-04T00:00:00"/>
    <s v="Sale"/>
    <n v="0"/>
  </r>
  <r>
    <x v="288"/>
    <n v="1830197"/>
    <d v="2026-02-04T00:00:00"/>
    <s v="Sale"/>
    <n v="0"/>
  </r>
  <r>
    <x v="289"/>
    <n v="1830197"/>
    <d v="2026-02-04T00:00:00"/>
    <s v="Sale"/>
    <n v="0"/>
  </r>
  <r>
    <x v="290"/>
    <n v="1830197"/>
    <d v="2026-02-04T00:00:00"/>
    <s v="Sale"/>
    <n v="86"/>
  </r>
  <r>
    <x v="291"/>
    <n v="1830197"/>
    <d v="2026-02-04T00:00:00"/>
    <s v="Sale"/>
    <n v="0"/>
  </r>
  <r>
    <x v="292"/>
    <n v="1830197"/>
    <d v="2026-02-04T00:00:00"/>
    <s v="Sale"/>
    <n v="0"/>
  </r>
  <r>
    <x v="293"/>
    <n v="1830197"/>
    <d v="2026-02-04T00:00:00"/>
    <s v="Sale"/>
    <n v="0"/>
  </r>
  <r>
    <x v="294"/>
    <n v="1830197"/>
    <d v="2026-02-04T00:00:00"/>
    <s v="Sale"/>
    <n v="0"/>
  </r>
  <r>
    <x v="295"/>
    <n v="1830197"/>
    <d v="2026-02-04T00:00:00"/>
    <s v="Sale"/>
    <n v="0"/>
  </r>
  <r>
    <x v="296"/>
    <n v="1830197"/>
    <d v="2026-02-04T00:00:00"/>
    <s v="Sale"/>
    <n v="0.06"/>
  </r>
  <r>
    <x v="297"/>
    <n v="1830197"/>
    <d v="2026-02-04T00:00:00"/>
    <s v="Sale"/>
    <n v="0"/>
  </r>
  <r>
    <x v="298"/>
    <n v="1830197"/>
    <d v="2026-02-04T00:00:00"/>
    <s v="Sale"/>
    <n v="0.18"/>
  </r>
  <r>
    <x v="299"/>
    <n v="1830197"/>
    <d v="2026-02-04T00:00:00"/>
    <s v="Sale"/>
    <n v="0"/>
  </r>
  <r>
    <x v="300"/>
    <n v="1830197"/>
    <d v="2026-02-04T00:00:00"/>
    <s v="Sale"/>
    <n v="0"/>
  </r>
  <r>
    <x v="301"/>
    <n v="1830197"/>
    <d v="2026-02-04T00:00:00"/>
    <s v="Sale"/>
    <n v="0"/>
  </r>
  <r>
    <x v="302"/>
    <n v="1830197"/>
    <d v="2026-02-04T00:00:00"/>
    <s v="Sale"/>
    <n v="0"/>
  </r>
  <r>
    <x v="303"/>
    <n v="1830197"/>
    <d v="2026-02-04T00:00:00"/>
    <s v="Sale"/>
    <n v="0"/>
  </r>
  <r>
    <x v="304"/>
    <n v="1830197"/>
    <d v="2026-02-04T00:00:00"/>
    <s v="Sale"/>
    <n v="0"/>
  </r>
  <r>
    <x v="305"/>
    <n v="1830197"/>
    <d v="2026-02-04T00:00:00"/>
    <s v="Sale"/>
    <n v="0"/>
  </r>
  <r>
    <x v="306"/>
    <n v="1830197"/>
    <d v="2026-02-04T00:00:00"/>
    <s v="Sale"/>
    <n v="0"/>
  </r>
  <r>
    <x v="307"/>
    <n v="1830197"/>
    <d v="2026-02-04T00:00:00"/>
    <s v="Sale"/>
    <n v="0.31"/>
  </r>
  <r>
    <x v="308"/>
    <n v="1830197"/>
    <d v="2026-02-04T00:00:00"/>
    <s v="Sale"/>
    <n v="0.53"/>
  </r>
  <r>
    <x v="309"/>
    <n v="1830197"/>
    <d v="2026-02-04T00:00:00"/>
    <s v="Sale"/>
    <n v="1.06"/>
  </r>
  <r>
    <x v="310"/>
    <n v="1830197"/>
    <d v="2026-02-04T00:00:00"/>
    <s v="Sale"/>
    <n v="0.96"/>
  </r>
  <r>
    <x v="311"/>
    <n v="1830197"/>
    <d v="2026-02-04T00:00:00"/>
    <s v="Sale"/>
    <n v="14.74"/>
  </r>
  <r>
    <x v="312"/>
    <n v="1830197"/>
    <d v="2026-02-04T00:00:00"/>
    <s v="Sale"/>
    <n v="0"/>
  </r>
  <r>
    <x v="313"/>
    <n v="1830197"/>
    <d v="2026-02-04T00:00:00"/>
    <s v="Sale"/>
    <n v="22"/>
  </r>
  <r>
    <x v="314"/>
    <n v="1830197"/>
    <d v="2026-02-04T00:00:00"/>
    <s v="Sale"/>
    <n v="0"/>
  </r>
  <r>
    <x v="315"/>
    <n v="1830197"/>
    <d v="2026-02-04T00:00:00"/>
    <s v="Sale"/>
    <n v="0"/>
  </r>
  <r>
    <x v="316"/>
    <n v="1830197"/>
    <d v="2026-02-04T00:00:00"/>
    <s v="Sale"/>
    <n v="0"/>
  </r>
  <r>
    <x v="317"/>
    <n v="1830197"/>
    <d v="2026-02-04T00:00:00"/>
    <s v="Sale"/>
    <n v="14"/>
  </r>
  <r>
    <x v="318"/>
    <n v="1830197"/>
    <d v="2026-02-04T00:00:00"/>
    <s v="Sale"/>
    <n v="0"/>
  </r>
  <r>
    <x v="319"/>
    <n v="1830197"/>
    <d v="2026-02-04T00:00:00"/>
    <s v="Sale"/>
    <n v="0"/>
  </r>
  <r>
    <x v="320"/>
    <n v="1830197"/>
    <d v="2026-02-04T00:00:00"/>
    <s v="Sale"/>
    <n v="0"/>
  </r>
  <r>
    <x v="321"/>
    <n v="1830197"/>
    <d v="2026-02-04T00:00:00"/>
    <s v="Sale"/>
    <n v="18"/>
  </r>
  <r>
    <x v="322"/>
    <n v="1830197"/>
    <d v="2026-02-04T00:00:00"/>
    <s v="Sale"/>
    <n v="0"/>
  </r>
  <r>
    <x v="323"/>
    <n v="1830197"/>
    <d v="2026-02-04T00:00:00"/>
    <s v="Sale"/>
    <n v="0"/>
  </r>
  <r>
    <x v="324"/>
    <n v="1830197"/>
    <d v="2026-02-04T00:00:00"/>
    <s v="Sale"/>
    <n v="0"/>
  </r>
  <r>
    <x v="325"/>
    <n v="1830197"/>
    <d v="2026-02-04T00:00:00"/>
    <s v="Sale"/>
    <n v="0"/>
  </r>
  <r>
    <x v="326"/>
    <n v="1830197"/>
    <d v="2026-02-04T00:00:00"/>
    <s v="Sale"/>
    <n v="0"/>
  </r>
  <r>
    <x v="327"/>
    <n v="1830197"/>
    <d v="2026-02-04T00:00:00"/>
    <s v="Sale"/>
    <n v="0"/>
  </r>
  <r>
    <x v="328"/>
    <n v="1830197"/>
    <d v="2026-02-04T00:00:00"/>
    <s v="Sale"/>
    <n v="0"/>
  </r>
  <r>
    <x v="329"/>
    <n v="1830197"/>
    <d v="2026-02-04T00:00:00"/>
    <s v="Sale"/>
    <n v="0"/>
  </r>
  <r>
    <x v="330"/>
    <n v="1830197"/>
    <d v="2026-02-04T00:00:00"/>
    <s v="Sale"/>
    <n v="0"/>
  </r>
  <r>
    <x v="331"/>
    <n v="1830197"/>
    <d v="2026-02-04T00:00:00"/>
    <s v="Sale"/>
    <n v="4"/>
  </r>
  <r>
    <x v="332"/>
    <n v="1830197"/>
    <d v="2026-02-04T00:00:00"/>
    <s v="Sale"/>
    <n v="0"/>
  </r>
  <r>
    <x v="333"/>
    <n v="1830197"/>
    <d v="2026-02-04T00:00:00"/>
    <s v="Sale"/>
    <n v="0"/>
  </r>
  <r>
    <x v="334"/>
    <n v="1830197"/>
    <d v="2026-02-04T00:00:00"/>
    <s v="Sale"/>
    <n v="13"/>
  </r>
  <r>
    <x v="335"/>
    <n v="1830197"/>
    <d v="2026-02-04T00:00:00"/>
    <s v="Sale"/>
    <n v="0"/>
  </r>
  <r>
    <x v="336"/>
    <n v="1830197"/>
    <d v="2026-02-04T00:00:00"/>
    <s v="Sale"/>
    <n v="0"/>
  </r>
  <r>
    <x v="337"/>
    <n v="1830197"/>
    <d v="2026-02-04T00:00:00"/>
    <s v="Sale"/>
    <n v="5"/>
  </r>
  <r>
    <x v="338"/>
    <n v="1830197"/>
    <d v="2026-02-04T00:00:00"/>
    <s v="Sale"/>
    <n v="64"/>
  </r>
  <r>
    <x v="339"/>
    <n v="1830197"/>
    <d v="2026-02-04T00:00:00"/>
    <s v="Sale"/>
    <n v="7"/>
  </r>
  <r>
    <x v="340"/>
    <n v="1830197"/>
    <d v="2026-02-04T00:00:00"/>
    <s v="Sale"/>
    <n v="0"/>
  </r>
  <r>
    <x v="341"/>
    <n v="1830197"/>
    <d v="2026-02-04T00:00:00"/>
    <s v="Sale"/>
    <n v="0"/>
  </r>
  <r>
    <x v="342"/>
    <n v="1830197"/>
    <d v="2026-02-04T00:00:00"/>
    <s v="Sale"/>
    <n v="0"/>
  </r>
  <r>
    <x v="343"/>
    <n v="1830197"/>
    <d v="2026-02-04T00:00:00"/>
    <s v="Sale"/>
    <n v="0"/>
  </r>
  <r>
    <x v="344"/>
    <n v="1830197"/>
    <d v="2026-02-04T00:00:00"/>
    <s v="Sale"/>
    <n v="0"/>
  </r>
  <r>
    <x v="345"/>
    <n v="1830197"/>
    <d v="2026-02-04T00:00:00"/>
    <s v="Sale"/>
    <n v="0"/>
  </r>
  <r>
    <x v="346"/>
    <n v="1830197"/>
    <d v="2026-02-04T00:00:00"/>
    <s v="Sale"/>
    <n v="0"/>
  </r>
  <r>
    <x v="347"/>
    <n v="1830197"/>
    <d v="2026-02-04T00:00:00"/>
    <s v="Sale"/>
    <n v="0"/>
  </r>
  <r>
    <x v="348"/>
    <n v="1830197"/>
    <d v="2026-02-04T00:00:00"/>
    <s v="Sale"/>
    <n v="0"/>
  </r>
  <r>
    <x v="349"/>
    <n v="1830197"/>
    <d v="2026-02-04T00:00:00"/>
    <s v="Sale"/>
    <n v="0"/>
  </r>
  <r>
    <x v="350"/>
    <n v="1830197"/>
    <d v="2026-02-04T00:00:00"/>
    <s v="Sale"/>
    <n v="0"/>
  </r>
  <r>
    <x v="351"/>
    <n v="1830197"/>
    <d v="2026-02-04T00:00:00"/>
    <s v="Sale"/>
    <n v="0"/>
  </r>
  <r>
    <x v="352"/>
    <n v="1830197"/>
    <d v="2026-02-04T00:00:00"/>
    <s v="Sale"/>
    <n v="96"/>
  </r>
  <r>
    <x v="353"/>
    <n v="1830197"/>
    <d v="2026-02-04T00:00:00"/>
    <s v="Sale"/>
    <n v="0"/>
  </r>
  <r>
    <x v="354"/>
    <n v="1830197"/>
    <d v="2026-02-04T00:00:00"/>
    <s v="Sale"/>
    <n v="1"/>
  </r>
  <r>
    <x v="355"/>
    <n v="1830197"/>
    <d v="2026-02-04T00:00:00"/>
    <s v="Sale"/>
    <n v="0"/>
  </r>
  <r>
    <x v="356"/>
    <n v="1830197"/>
    <d v="2026-02-04T00:00:00"/>
    <s v="Sale"/>
    <n v="0"/>
  </r>
  <r>
    <x v="357"/>
    <n v="1830197"/>
    <d v="2026-02-04T00:00:00"/>
    <s v="Sale"/>
    <n v="0.06"/>
  </r>
  <r>
    <x v="358"/>
    <n v="1830197"/>
    <d v="2026-02-04T00:00:00"/>
    <s v="Sale"/>
    <n v="0"/>
  </r>
  <r>
    <x v="359"/>
    <n v="1830197"/>
    <d v="2026-02-04T00:00:00"/>
    <s v="Sale"/>
    <n v="0"/>
  </r>
  <r>
    <x v="360"/>
    <n v="1830197"/>
    <d v="2026-02-04T00:00:00"/>
    <s v="Sale"/>
    <n v="0"/>
  </r>
  <r>
    <x v="361"/>
    <n v="1830197"/>
    <d v="2026-02-04T00:00:00"/>
    <s v="Sale"/>
    <n v="0"/>
  </r>
  <r>
    <x v="362"/>
    <n v="1830197"/>
    <d v="2026-02-04T00:00:00"/>
    <s v="Sale"/>
    <n v="0"/>
  </r>
  <r>
    <x v="363"/>
    <n v="1830197"/>
    <d v="2026-02-04T00:00:00"/>
    <s v="Sale"/>
    <n v="0"/>
  </r>
  <r>
    <x v="364"/>
    <n v="1830197"/>
    <d v="2026-02-04T00:00:00"/>
    <s v="Sale"/>
    <n v="0"/>
  </r>
  <r>
    <x v="365"/>
    <n v="1830197"/>
    <d v="2026-02-04T00:00:00"/>
    <s v="Sale"/>
    <n v="0"/>
  </r>
  <r>
    <x v="366"/>
    <n v="1830197"/>
    <d v="2026-02-04T00:00:00"/>
    <s v="Sale"/>
    <n v="0"/>
  </r>
  <r>
    <x v="367"/>
    <n v="1830197"/>
    <d v="2026-02-04T00:00:00"/>
    <s v="Sale"/>
    <n v="0"/>
  </r>
  <r>
    <x v="368"/>
    <n v="1830197"/>
    <d v="2026-02-04T00:00:00"/>
    <s v="Sale"/>
    <n v="0"/>
  </r>
  <r>
    <x v="369"/>
    <n v="1830197"/>
    <d v="2026-02-04T00:00:00"/>
    <s v="Sale"/>
    <n v="0"/>
  </r>
  <r>
    <x v="370"/>
    <n v="1830197"/>
    <d v="2026-02-04T00:00:00"/>
    <s v="Sale"/>
    <n v="0"/>
  </r>
  <r>
    <x v="371"/>
    <n v="1830197"/>
    <d v="2026-02-04T00:00:00"/>
    <s v="Sale"/>
    <n v="0"/>
  </r>
  <r>
    <x v="372"/>
    <n v="1830197"/>
    <d v="2026-02-04T00:00:00"/>
    <s v="Sale"/>
    <n v="40"/>
  </r>
  <r>
    <x v="373"/>
    <n v="1830197"/>
    <d v="2026-02-04T00:00:00"/>
    <s v="Sale"/>
    <n v="3"/>
  </r>
  <r>
    <x v="374"/>
    <n v="1830197"/>
    <d v="2026-02-04T00:00:00"/>
    <s v="Sale"/>
    <n v="0.64"/>
  </r>
  <r>
    <x v="375"/>
    <n v="1830197"/>
    <d v="2026-02-04T00:00:00"/>
    <s v="Sale"/>
    <n v="0"/>
  </r>
  <r>
    <x v="376"/>
    <n v="1830197"/>
    <d v="2026-02-04T00:00:00"/>
    <s v="Sale"/>
    <n v="0"/>
  </r>
  <r>
    <x v="377"/>
    <n v="1830197"/>
    <d v="2026-02-04T00:00:00"/>
    <s v="Sale"/>
    <n v="0"/>
  </r>
  <r>
    <x v="378"/>
    <n v="1830197"/>
    <d v="2026-02-04T00:00:00"/>
    <s v="Sale"/>
    <n v="5"/>
  </r>
  <r>
    <x v="379"/>
    <n v="1830197"/>
    <d v="2026-02-04T00:00:00"/>
    <s v="Sale"/>
    <n v="0"/>
  </r>
  <r>
    <x v="380"/>
    <n v="1830197"/>
    <d v="2026-02-04T00:00:00"/>
    <s v="Sale"/>
    <n v="0"/>
  </r>
  <r>
    <x v="381"/>
    <n v="1830197"/>
    <d v="2026-02-04T00:00:00"/>
    <s v="Sale"/>
    <n v="0"/>
  </r>
  <r>
    <x v="382"/>
    <n v="1830197"/>
    <d v="2026-02-04T00:00:00"/>
    <s v="Sale"/>
    <n v="0"/>
  </r>
  <r>
    <x v="383"/>
    <n v="1830197"/>
    <d v="2026-02-04T00:00:00"/>
    <s v="Sale"/>
    <n v="0"/>
  </r>
  <r>
    <x v="384"/>
    <n v="1830197"/>
    <d v="2026-02-04T00:00:00"/>
    <s v="Sale"/>
    <n v="0"/>
  </r>
  <r>
    <x v="385"/>
    <n v="1830197"/>
    <d v="2026-02-04T00:00:00"/>
    <s v="Sale"/>
    <n v="1"/>
  </r>
  <r>
    <x v="386"/>
    <n v="1830197"/>
    <d v="2026-02-04T00:00:00"/>
    <s v="Sale"/>
    <n v="0"/>
  </r>
  <r>
    <x v="387"/>
    <n v="1830197"/>
    <d v="2026-02-04T00:00:00"/>
    <s v="Sale"/>
    <n v="0"/>
  </r>
  <r>
    <x v="388"/>
    <n v="1830197"/>
    <d v="2026-02-04T00:00:00"/>
    <s v="Sale"/>
    <n v="1"/>
  </r>
  <r>
    <x v="389"/>
    <n v="1830197"/>
    <d v="2026-02-04T00:00:00"/>
    <s v="Sale"/>
    <n v="0"/>
  </r>
  <r>
    <x v="390"/>
    <n v="1830197"/>
    <d v="2026-02-04T00:00:00"/>
    <s v="Sale"/>
    <n v="0"/>
  </r>
  <r>
    <x v="391"/>
    <n v="1830197"/>
    <d v="2026-02-04T00:00:00"/>
    <s v="Sale"/>
    <n v="40"/>
  </r>
  <r>
    <x v="392"/>
    <n v="1830197"/>
    <d v="2026-02-04T00:00:00"/>
    <s v="Sale"/>
    <n v="0"/>
  </r>
  <r>
    <x v="393"/>
    <n v="1830197"/>
    <d v="2026-02-04T00:00:00"/>
    <s v="Sale"/>
    <n v="0"/>
  </r>
  <r>
    <x v="394"/>
    <n v="1830197"/>
    <d v="2026-02-04T00:00:00"/>
    <s v="Sale"/>
    <n v="0"/>
  </r>
  <r>
    <x v="395"/>
    <n v="1830197"/>
    <d v="2026-02-04T00:00:00"/>
    <s v="Sale"/>
    <n v="0"/>
  </r>
  <r>
    <x v="396"/>
    <n v="1830197"/>
    <d v="2026-02-04T00:00:00"/>
    <s v="Sale"/>
    <n v="0"/>
  </r>
  <r>
    <x v="397"/>
    <n v="1830197"/>
    <d v="2026-02-04T00:00:00"/>
    <s v="Sale"/>
    <n v="0"/>
  </r>
  <r>
    <x v="398"/>
    <n v="1830197"/>
    <d v="2026-02-04T00:00:00"/>
    <s v="Sale"/>
    <n v="0"/>
  </r>
  <r>
    <x v="399"/>
    <n v="1830197"/>
    <d v="2026-02-04T00:00:00"/>
    <s v="Sale"/>
    <n v="0"/>
  </r>
  <r>
    <x v="400"/>
    <n v="1830197"/>
    <d v="2026-02-04T00:00:00"/>
    <s v="Sale"/>
    <n v="0"/>
  </r>
  <r>
    <x v="401"/>
    <n v="1830197"/>
    <d v="2026-02-04T00:00:00"/>
    <s v="Sale"/>
    <n v="0"/>
  </r>
  <r>
    <x v="402"/>
    <n v="1830197"/>
    <d v="2026-02-04T00:00:00"/>
    <s v="Sale"/>
    <n v="0"/>
  </r>
  <r>
    <x v="403"/>
    <n v="1830197"/>
    <d v="2026-02-04T00:00:00"/>
    <s v="Sale"/>
    <n v="0"/>
  </r>
  <r>
    <x v="404"/>
    <n v="1830197"/>
    <d v="2026-02-04T00:00:00"/>
    <s v="Sale"/>
    <n v="0"/>
  </r>
  <r>
    <x v="405"/>
    <n v="1830197"/>
    <d v="2026-02-04T00:00:00"/>
    <s v="Sale"/>
    <n v="39"/>
  </r>
  <r>
    <x v="406"/>
    <n v="1830197"/>
    <d v="2026-02-04T00:00:00"/>
    <s v="Sale"/>
    <n v="0"/>
  </r>
  <r>
    <x v="407"/>
    <n v="1830197"/>
    <d v="2026-02-04T00:00:00"/>
    <s v="Sale"/>
    <n v="0"/>
  </r>
  <r>
    <x v="408"/>
    <n v="1830197"/>
    <d v="2026-02-04T00:00:00"/>
    <s v="Sale"/>
    <n v="0"/>
  </r>
  <r>
    <x v="409"/>
    <n v="1830197"/>
    <d v="2026-02-04T00:00:00"/>
    <s v="Sale"/>
    <n v="0"/>
  </r>
  <r>
    <x v="410"/>
    <n v="1830197"/>
    <d v="2026-02-04T00:00:00"/>
    <s v="Sale"/>
    <n v="41"/>
  </r>
  <r>
    <x v="411"/>
    <n v="1830197"/>
    <d v="2026-02-04T00:00:00"/>
    <s v="Sale"/>
    <n v="1"/>
  </r>
  <r>
    <x v="412"/>
    <n v="1830197"/>
    <d v="2026-02-04T00:00:00"/>
    <s v="Sale"/>
    <n v="0"/>
  </r>
  <r>
    <x v="413"/>
    <n v="1830197"/>
    <d v="2026-02-04T00:00:00"/>
    <s v="Sale"/>
    <n v="0"/>
  </r>
  <r>
    <x v="414"/>
    <n v="1830197"/>
    <d v="2026-02-04T00:00:00"/>
    <s v="Sale"/>
    <n v="0"/>
  </r>
  <r>
    <x v="415"/>
    <n v="1830197"/>
    <d v="2026-02-04T00:00:00"/>
    <s v="Sale"/>
    <n v="0"/>
  </r>
  <r>
    <x v="416"/>
    <n v="1830197"/>
    <d v="2026-02-04T00:00:00"/>
    <s v="Sale"/>
    <n v="0"/>
  </r>
  <r>
    <x v="417"/>
    <n v="1830197"/>
    <d v="2026-02-04T00:00:00"/>
    <s v="Sale"/>
    <n v="0"/>
  </r>
  <r>
    <x v="418"/>
    <n v="1830197"/>
    <d v="2026-02-04T00:00:00"/>
    <s v="Sale"/>
    <n v="0"/>
  </r>
  <r>
    <x v="419"/>
    <n v="1830197"/>
    <d v="2026-02-04T00:00:00"/>
    <s v="Sale"/>
    <n v="0"/>
  </r>
  <r>
    <x v="420"/>
    <n v="1830197"/>
    <d v="2026-02-04T00:00:00"/>
    <s v="Sale"/>
    <n v="0"/>
  </r>
  <r>
    <x v="421"/>
    <n v="1830197"/>
    <d v="2026-02-04T00:00:00"/>
    <s v="Sale"/>
    <n v="0.38"/>
  </r>
  <r>
    <x v="422"/>
    <n v="1830197"/>
    <d v="2026-02-04T00:00:00"/>
    <s v="Sale"/>
    <n v="0.11"/>
  </r>
  <r>
    <x v="423"/>
    <n v="1830197"/>
    <d v="2026-02-04T00:00:00"/>
    <s v="Sale"/>
    <n v="47"/>
  </r>
  <r>
    <x v="424"/>
    <n v="1830197"/>
    <d v="2026-02-04T00:00:00"/>
    <s v="Sale"/>
    <n v="0"/>
  </r>
  <r>
    <x v="425"/>
    <n v="1830197"/>
    <d v="2026-02-04T00:00:00"/>
    <s v="Sale"/>
    <n v="0"/>
  </r>
  <r>
    <x v="426"/>
    <n v="1830197"/>
    <d v="2026-02-04T00:00:00"/>
    <s v="Sale"/>
    <n v="0"/>
  </r>
  <r>
    <x v="427"/>
    <n v="1830197"/>
    <d v="2026-02-04T00:00:00"/>
    <s v="Sale"/>
    <n v="19"/>
  </r>
  <r>
    <x v="428"/>
    <n v="1830197"/>
    <d v="2026-02-04T00:00:00"/>
    <s v="Sale"/>
    <n v="1.08"/>
  </r>
  <r>
    <x v="429"/>
    <n v="1830197"/>
    <d v="2026-02-04T00:00:00"/>
    <s v="Sale"/>
    <n v="0"/>
  </r>
  <r>
    <x v="430"/>
    <n v="1830197"/>
    <d v="2026-02-04T00:00:00"/>
    <s v="Sale"/>
    <n v="0"/>
  </r>
  <r>
    <x v="431"/>
    <n v="1830197"/>
    <d v="2026-02-04T00:00:00"/>
    <s v="Sale"/>
    <n v="0"/>
  </r>
  <r>
    <x v="432"/>
    <n v="1830197"/>
    <d v="2026-02-04T00:00:00"/>
    <s v="Sale"/>
    <n v="0"/>
  </r>
  <r>
    <x v="433"/>
    <n v="1830197"/>
    <d v="2026-02-04T00:00:00"/>
    <s v="Sale"/>
    <n v="0"/>
  </r>
  <r>
    <x v="434"/>
    <n v="1830197"/>
    <d v="2026-02-04T00:00:00"/>
    <s v="Sale"/>
    <n v="0.03"/>
  </r>
  <r>
    <x v="435"/>
    <n v="1830197"/>
    <d v="2026-02-04T00:00:00"/>
    <s v="Sale"/>
    <n v="0"/>
  </r>
  <r>
    <x v="436"/>
    <n v="1830197"/>
    <d v="2026-02-04T00:00:00"/>
    <s v="Sale"/>
    <n v="0"/>
  </r>
  <r>
    <x v="437"/>
    <n v="1830197"/>
    <d v="2026-02-04T00:00:00"/>
    <s v="Sale"/>
    <n v="0"/>
  </r>
  <r>
    <x v="438"/>
    <n v="1830197"/>
    <d v="2026-02-04T00:00:00"/>
    <s v="Sale"/>
    <n v="0"/>
  </r>
  <r>
    <x v="439"/>
    <n v="1830197"/>
    <d v="2026-02-04T00:00:00"/>
    <s v="Sale"/>
    <n v="0"/>
  </r>
  <r>
    <x v="440"/>
    <n v="1830197"/>
    <d v="2026-02-04T00:00:00"/>
    <s v="Sale"/>
    <n v="285"/>
  </r>
  <r>
    <x v="441"/>
    <n v="1830197"/>
    <d v="2026-02-04T00:00:00"/>
    <s v="Sale"/>
    <n v="16"/>
  </r>
  <r>
    <x v="442"/>
    <n v="1830197"/>
    <d v="2026-02-04T00:00:00"/>
    <s v="Sale"/>
    <n v="3"/>
  </r>
  <r>
    <x v="443"/>
    <n v="1830197"/>
    <d v="2026-02-04T00:00:00"/>
    <s v="Sale"/>
    <n v="0"/>
  </r>
  <r>
    <x v="444"/>
    <n v="1830197"/>
    <d v="2026-02-04T00:00:00"/>
    <s v="Sale"/>
    <n v="19"/>
  </r>
  <r>
    <x v="445"/>
    <n v="1830197"/>
    <d v="2026-02-04T00:00:00"/>
    <s v="Sale"/>
    <n v="0"/>
  </r>
  <r>
    <x v="446"/>
    <n v="1830197"/>
    <d v="2026-02-04T00:00:00"/>
    <s v="Sale"/>
    <n v="1"/>
  </r>
  <r>
    <x v="447"/>
    <n v="1830197"/>
    <d v="2026-02-04T00:00:00"/>
    <s v="Sale"/>
    <n v="4"/>
  </r>
  <r>
    <x v="448"/>
    <n v="1830197"/>
    <d v="2026-02-04T00:00:00"/>
    <s v="Sale"/>
    <n v="0"/>
  </r>
  <r>
    <x v="449"/>
    <n v="1830197"/>
    <d v="2026-02-04T00:00:00"/>
    <s v="Sale"/>
    <n v="1"/>
  </r>
  <r>
    <x v="450"/>
    <n v="1830197"/>
    <d v="2026-02-04T00:00:00"/>
    <s v="Sale"/>
    <n v="0"/>
  </r>
  <r>
    <x v="451"/>
    <n v="1830197"/>
    <d v="2026-02-04T00:00:00"/>
    <s v="Sale"/>
    <n v="0"/>
  </r>
  <r>
    <x v="452"/>
    <n v="1830197"/>
    <d v="2026-02-04T00:00:00"/>
    <s v="Sale"/>
    <n v="0"/>
  </r>
  <r>
    <x v="453"/>
    <n v="1830197"/>
    <d v="2026-02-04T00:00:00"/>
    <s v="Sale"/>
    <n v="0"/>
  </r>
  <r>
    <x v="454"/>
    <n v="1830197"/>
    <d v="2026-02-04T00:00:00"/>
    <s v="Sale"/>
    <n v="0"/>
  </r>
  <r>
    <x v="455"/>
    <n v="1830197"/>
    <d v="2026-02-04T00:00:00"/>
    <s v="Sale"/>
    <n v="0"/>
  </r>
  <r>
    <x v="456"/>
    <n v="1830197"/>
    <d v="2026-02-04T00:00:00"/>
    <s v="Sale"/>
    <n v="0"/>
  </r>
  <r>
    <x v="457"/>
    <n v="1830197"/>
    <d v="2026-02-04T00:00:00"/>
    <s v="Sale"/>
    <n v="0"/>
  </r>
  <r>
    <x v="458"/>
    <n v="1830197"/>
    <d v="2026-02-04T00:00:00"/>
    <s v="Sale"/>
    <n v="0"/>
  </r>
  <r>
    <x v="459"/>
    <n v="1830197"/>
    <d v="2026-02-04T00:00:00"/>
    <s v="Sale"/>
    <n v="0"/>
  </r>
  <r>
    <x v="460"/>
    <n v="1830197"/>
    <d v="2026-02-04T00:00:00"/>
    <s v="Sale"/>
    <n v="0"/>
  </r>
  <r>
    <x v="461"/>
    <n v="1830197"/>
    <d v="2026-02-04T00:00:00"/>
    <s v="Sale"/>
    <n v="0"/>
  </r>
  <r>
    <x v="462"/>
    <n v="1830197"/>
    <d v="2026-02-04T00:00:00"/>
    <s v="Sale"/>
    <n v="0"/>
  </r>
  <r>
    <x v="463"/>
    <n v="1830197"/>
    <d v="2026-02-04T00:00:00"/>
    <s v="Sale"/>
    <n v="0"/>
  </r>
  <r>
    <x v="464"/>
    <n v="1830197"/>
    <d v="2026-02-04T00:00:00"/>
    <s v="Sale"/>
    <n v="0"/>
  </r>
  <r>
    <x v="465"/>
    <n v="1830197"/>
    <d v="2026-02-04T00:00:00"/>
    <s v="Sale"/>
    <n v="0"/>
  </r>
  <r>
    <x v="466"/>
    <n v="1830197"/>
    <d v="2026-02-04T00:00:00"/>
    <s v="Sale"/>
    <n v="0"/>
  </r>
  <r>
    <x v="467"/>
    <n v="1830197"/>
    <d v="2026-02-04T00:00:00"/>
    <s v="Sale"/>
    <n v="0"/>
  </r>
  <r>
    <x v="468"/>
    <n v="1830197"/>
    <d v="2026-02-04T00:00:00"/>
    <s v="Sale"/>
    <n v="0"/>
  </r>
  <r>
    <x v="469"/>
    <n v="1830197"/>
    <d v="2026-02-04T00:00:00"/>
    <s v="Sale"/>
    <n v="0"/>
  </r>
  <r>
    <x v="470"/>
    <n v="1830197"/>
    <d v="2026-02-04T00:00:00"/>
    <s v="Sale"/>
    <n v="0"/>
  </r>
  <r>
    <x v="471"/>
    <n v="1830197"/>
    <d v="2026-02-04T00:00:00"/>
    <s v="Sale"/>
    <n v="0"/>
  </r>
  <r>
    <x v="472"/>
    <n v="1830197"/>
    <d v="2026-02-04T00:00:00"/>
    <s v="Sale"/>
    <n v="0"/>
  </r>
  <r>
    <x v="473"/>
    <n v="1830197"/>
    <d v="2026-02-04T00:00:00"/>
    <s v="Sale"/>
    <n v="0"/>
  </r>
  <r>
    <x v="474"/>
    <n v="1830197"/>
    <d v="2026-02-04T00:00:00"/>
    <s v="Sale"/>
    <n v="0"/>
  </r>
  <r>
    <x v="475"/>
    <n v="1830197"/>
    <d v="2026-02-04T00:00:00"/>
    <s v="Sale"/>
    <n v="0"/>
  </r>
  <r>
    <x v="476"/>
    <n v="1830197"/>
    <d v="2026-02-04T00:00:00"/>
    <s v="Sale"/>
    <n v="0"/>
  </r>
  <r>
    <x v="477"/>
    <n v="1830197"/>
    <d v="2026-02-04T00:00:00"/>
    <s v="Sale"/>
    <n v="0"/>
  </r>
  <r>
    <x v="478"/>
    <n v="1830197"/>
    <d v="2026-02-04T00:00:00"/>
    <s v="Sale"/>
    <n v="0"/>
  </r>
  <r>
    <x v="479"/>
    <n v="1830197"/>
    <d v="2026-02-04T00:00:00"/>
    <s v="Sale"/>
    <n v="0.04"/>
  </r>
  <r>
    <x v="480"/>
    <n v="1830197"/>
    <d v="2026-02-04T00:00:00"/>
    <s v="Sale"/>
    <n v="0"/>
  </r>
  <r>
    <x v="481"/>
    <n v="1830197"/>
    <d v="2026-02-04T00:00:00"/>
    <s v="Sale"/>
    <n v="0"/>
  </r>
  <r>
    <x v="482"/>
    <n v="1830197"/>
    <d v="2026-02-04T00:00:00"/>
    <s v="Sale"/>
    <n v="3"/>
  </r>
  <r>
    <x v="483"/>
    <n v="1830197"/>
    <d v="2026-02-04T00:00:00"/>
    <s v="Sale"/>
    <n v="3"/>
  </r>
  <r>
    <x v="484"/>
    <n v="1830197"/>
    <d v="2026-02-04T00:00:00"/>
    <s v="Sale"/>
    <n v="0"/>
  </r>
  <r>
    <x v="485"/>
    <n v="1830197"/>
    <d v="2026-02-04T00:00:00"/>
    <s v="Sale"/>
    <n v="0"/>
  </r>
  <r>
    <x v="486"/>
    <n v="1830197"/>
    <d v="2026-02-04T00:00:00"/>
    <s v="Sale"/>
    <n v="0"/>
  </r>
  <r>
    <x v="487"/>
    <n v="1830197"/>
    <d v="2026-02-04T00:00:00"/>
    <s v="Sale"/>
    <n v="6"/>
  </r>
  <r>
    <x v="488"/>
    <n v="1830197"/>
    <d v="2026-02-04T00:00:00"/>
    <s v="Sale"/>
    <n v="0"/>
  </r>
  <r>
    <x v="489"/>
    <n v="1830197"/>
    <d v="2026-02-04T00:00:00"/>
    <s v="Sale"/>
    <n v="1"/>
  </r>
  <r>
    <x v="490"/>
    <n v="1830197"/>
    <d v="2026-02-04T00:00:00"/>
    <s v="Sale"/>
    <n v="0"/>
  </r>
  <r>
    <x v="491"/>
    <n v="1830197"/>
    <d v="2026-02-04T00:00:00"/>
    <s v="Sale"/>
    <n v="0"/>
  </r>
  <r>
    <x v="492"/>
    <n v="1830197"/>
    <d v="2026-02-04T00:00:00"/>
    <s v="Sale"/>
    <n v="0"/>
  </r>
  <r>
    <x v="493"/>
    <n v="1830197"/>
    <d v="2026-02-04T00:00:00"/>
    <s v="Sale"/>
    <n v="0"/>
  </r>
  <r>
    <x v="494"/>
    <n v="1830197"/>
    <d v="2026-02-04T00:00:00"/>
    <s v="Sale"/>
    <n v="0"/>
  </r>
  <r>
    <x v="495"/>
    <n v="1830197"/>
    <d v="2026-02-04T00:00:00"/>
    <s v="Sale"/>
    <n v="0"/>
  </r>
  <r>
    <x v="496"/>
    <n v="1830197"/>
    <d v="2026-02-04T00:00:00"/>
    <s v="Sale"/>
    <n v="0"/>
  </r>
  <r>
    <x v="497"/>
    <n v="1830197"/>
    <d v="2026-02-04T00:00:00"/>
    <s v="Sale"/>
    <n v="0"/>
  </r>
  <r>
    <x v="498"/>
    <n v="1830197"/>
    <d v="2026-02-04T00:00:00"/>
    <s v="Sale"/>
    <n v="0"/>
  </r>
  <r>
    <x v="499"/>
    <n v="1830197"/>
    <d v="2026-02-04T00:00:00"/>
    <s v="Sale"/>
    <n v="0"/>
  </r>
  <r>
    <x v="500"/>
    <n v="1830197"/>
    <d v="2026-02-04T00:00:00"/>
    <s v="Sale"/>
    <n v="1"/>
  </r>
  <r>
    <x v="501"/>
    <n v="1830197"/>
    <d v="2026-02-04T00:00:00"/>
    <s v="Sale"/>
    <n v="0"/>
  </r>
  <r>
    <x v="502"/>
    <n v="1830197"/>
    <d v="2026-02-04T00:00:00"/>
    <s v="Sale"/>
    <n v="0"/>
  </r>
  <r>
    <x v="503"/>
    <n v="1830197"/>
    <d v="2026-02-04T00:00:00"/>
    <s v="Sale"/>
    <n v="0"/>
  </r>
  <r>
    <x v="504"/>
    <n v="1830197"/>
    <d v="2026-02-04T00:00:00"/>
    <s v="Sale"/>
    <n v="0"/>
  </r>
  <r>
    <x v="505"/>
    <n v="1830197"/>
    <d v="2026-02-04T00:00:00"/>
    <s v="Sale"/>
    <n v="0"/>
  </r>
  <r>
    <x v="506"/>
    <n v="1830197"/>
    <d v="2026-02-04T00:00:00"/>
    <s v="Sale"/>
    <n v="0"/>
  </r>
  <r>
    <x v="507"/>
    <n v="1830197"/>
    <d v="2026-02-04T00:00:00"/>
    <s v="Sale"/>
    <n v="0"/>
  </r>
  <r>
    <x v="508"/>
    <n v="1830197"/>
    <d v="2026-02-04T00:00:00"/>
    <s v="Sale"/>
    <n v="0"/>
  </r>
  <r>
    <x v="509"/>
    <n v="1830197"/>
    <d v="2026-02-04T00:00:00"/>
    <s v="Sale"/>
    <n v="0"/>
  </r>
  <r>
    <x v="510"/>
    <n v="1830197"/>
    <d v="2026-02-04T00:00:00"/>
    <s v="Sale"/>
    <n v="0"/>
  </r>
  <r>
    <x v="511"/>
    <n v="1830197"/>
    <d v="2026-02-04T00:00:00"/>
    <s v="Sale"/>
    <n v="0"/>
  </r>
  <r>
    <x v="512"/>
    <n v="1830197"/>
    <d v="2026-02-04T00:00:00"/>
    <s v="Sale"/>
    <n v="0"/>
  </r>
  <r>
    <x v="513"/>
    <n v="1830197"/>
    <d v="2026-02-04T00:00:00"/>
    <s v="Sale"/>
    <n v="0"/>
  </r>
  <r>
    <x v="514"/>
    <n v="1830197"/>
    <d v="2026-02-04T00:00:00"/>
    <s v="Sale"/>
    <n v="0"/>
  </r>
  <r>
    <x v="515"/>
    <n v="1830197"/>
    <d v="2026-02-04T00:00:00"/>
    <s v="Sale"/>
    <n v="0"/>
  </r>
  <r>
    <x v="516"/>
    <n v="1830197"/>
    <d v="2026-02-04T00:00:00"/>
    <s v="Sale"/>
    <n v="0"/>
  </r>
  <r>
    <x v="517"/>
    <n v="1830197"/>
    <d v="2026-02-04T00:00:00"/>
    <s v="Sale"/>
    <n v="0"/>
  </r>
  <r>
    <x v="518"/>
    <n v="1830197"/>
    <d v="2026-02-04T00:00:00"/>
    <s v="Sale"/>
    <n v="0"/>
  </r>
  <r>
    <x v="519"/>
    <n v="1830197"/>
    <d v="2026-02-04T00:00:00"/>
    <s v="Sale"/>
    <n v="0"/>
  </r>
  <r>
    <x v="520"/>
    <n v="1830197"/>
    <d v="2026-02-04T00:00:00"/>
    <s v="Sale"/>
    <n v="0"/>
  </r>
  <r>
    <x v="521"/>
    <n v="1830197"/>
    <d v="2026-02-04T00:00:00"/>
    <s v="Sale"/>
    <n v="0"/>
  </r>
  <r>
    <x v="522"/>
    <n v="1830197"/>
    <d v="2026-02-04T00:00:00"/>
    <s v="Sale"/>
    <n v="0"/>
  </r>
  <r>
    <x v="0"/>
    <n v="1830197"/>
    <d v="2026-02-05T00:00:00"/>
    <s v="Sale"/>
    <n v="623"/>
  </r>
  <r>
    <x v="1"/>
    <n v="1830197"/>
    <d v="2026-02-05T00:00:00"/>
    <s v="Sale"/>
    <n v="114"/>
  </r>
  <r>
    <x v="2"/>
    <n v="1830197"/>
    <d v="2026-02-05T00:00:00"/>
    <s v="Sale"/>
    <n v="152"/>
  </r>
  <r>
    <x v="3"/>
    <n v="1830197"/>
    <d v="2026-02-05T00:00:00"/>
    <s v="Sale"/>
    <n v="662.65"/>
  </r>
  <r>
    <x v="4"/>
    <n v="1830197"/>
    <d v="2026-02-05T00:00:00"/>
    <s v="Sale"/>
    <n v="277"/>
  </r>
  <r>
    <x v="5"/>
    <n v="1830197"/>
    <d v="2026-02-05T00:00:00"/>
    <s v="Sale"/>
    <n v="21"/>
  </r>
  <r>
    <x v="6"/>
    <n v="1830197"/>
    <d v="2026-02-05T00:00:00"/>
    <s v="Sale"/>
    <n v="215"/>
  </r>
  <r>
    <x v="7"/>
    <n v="1830197"/>
    <d v="2026-02-05T00:00:00"/>
    <s v="Sale"/>
    <n v="0"/>
  </r>
  <r>
    <x v="8"/>
    <n v="1830197"/>
    <d v="2026-02-05T00:00:00"/>
    <s v="Sale"/>
    <n v="0"/>
  </r>
  <r>
    <x v="9"/>
    <n v="1830197"/>
    <d v="2026-02-05T00:00:00"/>
    <s v="Sale"/>
    <n v="1.1399999999999999"/>
  </r>
  <r>
    <x v="10"/>
    <n v="1830197"/>
    <d v="2026-02-05T00:00:00"/>
    <s v="Sale"/>
    <n v="12.37"/>
  </r>
  <r>
    <x v="11"/>
    <n v="1830197"/>
    <d v="2026-02-05T00:00:00"/>
    <s v="Sale"/>
    <n v="715"/>
  </r>
  <r>
    <x v="12"/>
    <n v="1830197"/>
    <d v="2026-02-05T00:00:00"/>
    <s v="Sale"/>
    <n v="64.260000000000005"/>
  </r>
  <r>
    <x v="13"/>
    <n v="1830197"/>
    <d v="2026-02-05T00:00:00"/>
    <s v="Sale"/>
    <n v="362"/>
  </r>
  <r>
    <x v="14"/>
    <n v="1830197"/>
    <d v="2026-02-05T00:00:00"/>
    <s v="Sale"/>
    <n v="8.36"/>
  </r>
  <r>
    <x v="15"/>
    <n v="1830197"/>
    <d v="2026-02-05T00:00:00"/>
    <s v="Sale"/>
    <n v="68"/>
  </r>
  <r>
    <x v="16"/>
    <n v="1830197"/>
    <d v="2026-02-05T00:00:00"/>
    <s v="Sale"/>
    <n v="0.02"/>
  </r>
  <r>
    <x v="17"/>
    <n v="1830197"/>
    <d v="2026-02-05T00:00:00"/>
    <s v="Sale"/>
    <n v="0"/>
  </r>
  <r>
    <x v="18"/>
    <n v="1830197"/>
    <d v="2026-02-05T00:00:00"/>
    <s v="Sale"/>
    <n v="0"/>
  </r>
  <r>
    <x v="19"/>
    <n v="1830197"/>
    <d v="2026-02-05T00:00:00"/>
    <s v="Sale"/>
    <n v="0"/>
  </r>
  <r>
    <x v="20"/>
    <n v="1830197"/>
    <d v="2026-02-05T00:00:00"/>
    <s v="Sale"/>
    <n v="4706"/>
  </r>
  <r>
    <x v="21"/>
    <n v="1830197"/>
    <d v="2026-02-05T00:00:00"/>
    <s v="Sale"/>
    <n v="0"/>
  </r>
  <r>
    <x v="22"/>
    <n v="1830197"/>
    <d v="2026-02-05T00:00:00"/>
    <s v="Sale"/>
    <n v="240"/>
  </r>
  <r>
    <x v="23"/>
    <n v="1830197"/>
    <d v="2026-02-05T00:00:00"/>
    <s v="Sale"/>
    <n v="1.28"/>
  </r>
  <r>
    <x v="24"/>
    <n v="1830197"/>
    <d v="2026-02-05T00:00:00"/>
    <s v="Sale"/>
    <n v="1.18"/>
  </r>
  <r>
    <x v="25"/>
    <n v="1830197"/>
    <d v="2026-02-05T00:00:00"/>
    <s v="Sale"/>
    <n v="0"/>
  </r>
  <r>
    <x v="26"/>
    <n v="1830197"/>
    <d v="2026-02-05T00:00:00"/>
    <s v="Sale"/>
    <n v="0.2"/>
  </r>
  <r>
    <x v="27"/>
    <n v="1830197"/>
    <d v="2026-02-05T00:00:00"/>
    <s v="Sale"/>
    <n v="4.5"/>
  </r>
  <r>
    <x v="28"/>
    <n v="1830197"/>
    <d v="2026-02-05T00:00:00"/>
    <s v="Sale"/>
    <n v="0"/>
  </r>
  <r>
    <x v="29"/>
    <n v="1830197"/>
    <d v="2026-02-05T00:00:00"/>
    <s v="Sale"/>
    <n v="4.16"/>
  </r>
  <r>
    <x v="30"/>
    <n v="1830197"/>
    <d v="2026-02-05T00:00:00"/>
    <s v="Sale"/>
    <n v="12"/>
  </r>
  <r>
    <x v="31"/>
    <n v="1830197"/>
    <d v="2026-02-05T00:00:00"/>
    <s v="Sale"/>
    <n v="32"/>
  </r>
  <r>
    <x v="32"/>
    <n v="1830197"/>
    <d v="2026-02-05T00:00:00"/>
    <s v="Sale"/>
    <n v="117"/>
  </r>
  <r>
    <x v="33"/>
    <n v="1830197"/>
    <d v="2026-02-05T00:00:00"/>
    <s v="Sale"/>
    <n v="6"/>
  </r>
  <r>
    <x v="34"/>
    <n v="1830197"/>
    <d v="2026-02-05T00:00:00"/>
    <s v="Sale"/>
    <n v="0"/>
  </r>
  <r>
    <x v="35"/>
    <n v="1830197"/>
    <d v="2026-02-05T00:00:00"/>
    <s v="Sale"/>
    <n v="10"/>
  </r>
  <r>
    <x v="36"/>
    <n v="1830197"/>
    <d v="2026-02-05T00:00:00"/>
    <s v="Sale"/>
    <n v="0"/>
  </r>
  <r>
    <x v="37"/>
    <n v="1830197"/>
    <d v="2026-02-05T00:00:00"/>
    <s v="Sale"/>
    <n v="0"/>
  </r>
  <r>
    <x v="38"/>
    <n v="1830197"/>
    <d v="2026-02-05T00:00:00"/>
    <s v="Sale"/>
    <n v="78"/>
  </r>
  <r>
    <x v="39"/>
    <n v="1830197"/>
    <d v="2026-02-05T00:00:00"/>
    <s v="Sale"/>
    <n v="0"/>
  </r>
  <r>
    <x v="40"/>
    <n v="1830197"/>
    <d v="2026-02-05T00:00:00"/>
    <s v="Sale"/>
    <n v="10"/>
  </r>
  <r>
    <x v="41"/>
    <n v="1830197"/>
    <d v="2026-02-05T00:00:00"/>
    <s v="Sale"/>
    <n v="84"/>
  </r>
  <r>
    <x v="42"/>
    <n v="1830197"/>
    <d v="2026-02-05T00:00:00"/>
    <s v="Sale"/>
    <n v="27"/>
  </r>
  <r>
    <x v="43"/>
    <n v="1830197"/>
    <d v="2026-02-05T00:00:00"/>
    <s v="Sale"/>
    <n v="74"/>
  </r>
  <r>
    <x v="44"/>
    <n v="1830197"/>
    <d v="2026-02-05T00:00:00"/>
    <s v="Sale"/>
    <n v="198"/>
  </r>
  <r>
    <x v="45"/>
    <n v="1830197"/>
    <d v="2026-02-05T00:00:00"/>
    <s v="Sale"/>
    <n v="911"/>
  </r>
  <r>
    <x v="46"/>
    <n v="1830197"/>
    <d v="2026-02-05T00:00:00"/>
    <s v="Sale"/>
    <n v="0"/>
  </r>
  <r>
    <x v="47"/>
    <n v="1830197"/>
    <d v="2026-02-05T00:00:00"/>
    <s v="Sale"/>
    <n v="331"/>
  </r>
  <r>
    <x v="48"/>
    <n v="1830197"/>
    <d v="2026-02-05T00:00:00"/>
    <s v="Sale"/>
    <n v="0"/>
  </r>
  <r>
    <x v="49"/>
    <n v="1830197"/>
    <d v="2026-02-05T00:00:00"/>
    <s v="Sale"/>
    <n v="0"/>
  </r>
  <r>
    <x v="50"/>
    <n v="1830197"/>
    <d v="2026-02-05T00:00:00"/>
    <s v="Sale"/>
    <n v="0"/>
  </r>
  <r>
    <x v="51"/>
    <n v="1830197"/>
    <d v="2026-02-05T00:00:00"/>
    <s v="Sale"/>
    <n v="0"/>
  </r>
  <r>
    <x v="52"/>
    <n v="1830197"/>
    <d v="2026-02-05T00:00:00"/>
    <s v="Sale"/>
    <n v="0"/>
  </r>
  <r>
    <x v="53"/>
    <n v="1830197"/>
    <d v="2026-02-05T00:00:00"/>
    <s v="Sale"/>
    <n v="198"/>
  </r>
  <r>
    <x v="54"/>
    <n v="1830197"/>
    <d v="2026-02-05T00:00:00"/>
    <s v="Sale"/>
    <n v="350"/>
  </r>
  <r>
    <x v="55"/>
    <n v="1830197"/>
    <d v="2026-02-05T00:00:00"/>
    <s v="Sale"/>
    <n v="33"/>
  </r>
  <r>
    <x v="56"/>
    <n v="1830197"/>
    <d v="2026-02-05T00:00:00"/>
    <s v="Sale"/>
    <n v="11.29"/>
  </r>
  <r>
    <x v="57"/>
    <n v="1830197"/>
    <d v="2026-02-05T00:00:00"/>
    <s v="Sale"/>
    <n v="0"/>
  </r>
  <r>
    <x v="58"/>
    <n v="1830197"/>
    <d v="2026-02-05T00:00:00"/>
    <s v="Sale"/>
    <n v="10"/>
  </r>
  <r>
    <x v="59"/>
    <n v="1830197"/>
    <d v="2026-02-05T00:00:00"/>
    <s v="Sale"/>
    <n v="8291"/>
  </r>
  <r>
    <x v="60"/>
    <n v="1830197"/>
    <d v="2026-02-05T00:00:00"/>
    <s v="Sale"/>
    <n v="0"/>
  </r>
  <r>
    <x v="61"/>
    <n v="1830197"/>
    <d v="2026-02-05T00:00:00"/>
    <s v="Sale"/>
    <n v="30"/>
  </r>
  <r>
    <x v="62"/>
    <n v="1830197"/>
    <d v="2026-02-05T00:00:00"/>
    <s v="Sale"/>
    <n v="0"/>
  </r>
  <r>
    <x v="63"/>
    <n v="1830197"/>
    <d v="2026-02-05T00:00:00"/>
    <s v="Sale"/>
    <n v="2"/>
  </r>
  <r>
    <x v="64"/>
    <n v="1830197"/>
    <d v="2026-02-05T00:00:00"/>
    <s v="Sale"/>
    <n v="1462"/>
  </r>
  <r>
    <x v="65"/>
    <n v="1830197"/>
    <d v="2026-02-05T00:00:00"/>
    <s v="Sale"/>
    <n v="0"/>
  </r>
  <r>
    <x v="66"/>
    <n v="1830197"/>
    <d v="2026-02-05T00:00:00"/>
    <s v="Sale"/>
    <n v="3.41"/>
  </r>
  <r>
    <x v="67"/>
    <n v="1830197"/>
    <d v="2026-02-05T00:00:00"/>
    <s v="Sale"/>
    <n v="14"/>
  </r>
  <r>
    <x v="68"/>
    <n v="1830197"/>
    <d v="2026-02-05T00:00:00"/>
    <s v="Sale"/>
    <n v="13"/>
  </r>
  <r>
    <x v="69"/>
    <n v="1830197"/>
    <d v="2026-02-05T00:00:00"/>
    <s v="Sale"/>
    <n v="0"/>
  </r>
  <r>
    <x v="70"/>
    <n v="1830197"/>
    <d v="2026-02-05T00:00:00"/>
    <s v="Sale"/>
    <n v="48"/>
  </r>
  <r>
    <x v="71"/>
    <n v="1830197"/>
    <d v="2026-02-05T00:00:00"/>
    <s v="Sale"/>
    <n v="51"/>
  </r>
  <r>
    <x v="72"/>
    <n v="1830197"/>
    <d v="2026-02-05T00:00:00"/>
    <s v="Sale"/>
    <n v="14"/>
  </r>
  <r>
    <x v="73"/>
    <n v="1830197"/>
    <d v="2026-02-05T00:00:00"/>
    <s v="Sale"/>
    <n v="51"/>
  </r>
  <r>
    <x v="74"/>
    <n v="1830197"/>
    <d v="2026-02-05T00:00:00"/>
    <s v="Sale"/>
    <n v="54"/>
  </r>
  <r>
    <x v="75"/>
    <n v="1830197"/>
    <d v="2026-02-05T00:00:00"/>
    <s v="Sale"/>
    <n v="0"/>
  </r>
  <r>
    <x v="76"/>
    <n v="1830197"/>
    <d v="2026-02-05T00:00:00"/>
    <s v="Sale"/>
    <n v="35"/>
  </r>
  <r>
    <x v="77"/>
    <n v="1830197"/>
    <d v="2026-02-05T00:00:00"/>
    <s v="Sale"/>
    <n v="0"/>
  </r>
  <r>
    <x v="78"/>
    <n v="1830197"/>
    <d v="2026-02-05T00:00:00"/>
    <s v="Sale"/>
    <n v="0"/>
  </r>
  <r>
    <x v="79"/>
    <n v="1830197"/>
    <d v="2026-02-05T00:00:00"/>
    <s v="Sale"/>
    <n v="14"/>
  </r>
  <r>
    <x v="80"/>
    <n v="1830197"/>
    <d v="2026-02-05T00:00:00"/>
    <s v="Sale"/>
    <n v="13"/>
  </r>
  <r>
    <x v="81"/>
    <n v="1830197"/>
    <d v="2026-02-05T00:00:00"/>
    <s v="Sale"/>
    <n v="0"/>
  </r>
  <r>
    <x v="82"/>
    <n v="1830197"/>
    <d v="2026-02-05T00:00:00"/>
    <s v="Sale"/>
    <n v="0"/>
  </r>
  <r>
    <x v="83"/>
    <n v="1830197"/>
    <d v="2026-02-05T00:00:00"/>
    <s v="Sale"/>
    <n v="3.61"/>
  </r>
  <r>
    <x v="84"/>
    <n v="1830197"/>
    <d v="2026-02-05T00:00:00"/>
    <s v="Sale"/>
    <n v="68"/>
  </r>
  <r>
    <x v="85"/>
    <n v="1830197"/>
    <d v="2026-02-05T00:00:00"/>
    <s v="Sale"/>
    <n v="0"/>
  </r>
  <r>
    <x v="86"/>
    <n v="1830197"/>
    <d v="2026-02-05T00:00:00"/>
    <s v="Sale"/>
    <n v="0"/>
  </r>
  <r>
    <x v="87"/>
    <n v="1830197"/>
    <d v="2026-02-05T00:00:00"/>
    <s v="Sale"/>
    <n v="0"/>
  </r>
  <r>
    <x v="88"/>
    <n v="1830197"/>
    <d v="2026-02-05T00:00:00"/>
    <s v="Sale"/>
    <n v="0"/>
  </r>
  <r>
    <x v="89"/>
    <n v="1830197"/>
    <d v="2026-02-05T00:00:00"/>
    <s v="Sale"/>
    <n v="0.5"/>
  </r>
  <r>
    <x v="90"/>
    <n v="1830197"/>
    <d v="2026-02-05T00:00:00"/>
    <s v="Sale"/>
    <n v="1796"/>
  </r>
  <r>
    <x v="91"/>
    <n v="1830197"/>
    <d v="2026-02-05T00:00:00"/>
    <s v="Sale"/>
    <n v="199"/>
  </r>
  <r>
    <x v="92"/>
    <n v="1830197"/>
    <d v="2026-02-05T00:00:00"/>
    <s v="Sale"/>
    <n v="0"/>
  </r>
  <r>
    <x v="93"/>
    <n v="1830197"/>
    <d v="2026-02-05T00:00:00"/>
    <s v="Sale"/>
    <n v="0"/>
  </r>
  <r>
    <x v="94"/>
    <n v="1830197"/>
    <d v="2026-02-05T00:00:00"/>
    <s v="Sale"/>
    <n v="388"/>
  </r>
  <r>
    <x v="95"/>
    <n v="1830197"/>
    <d v="2026-02-05T00:00:00"/>
    <s v="Sale"/>
    <n v="0"/>
  </r>
  <r>
    <x v="96"/>
    <n v="1830197"/>
    <d v="2026-02-05T00:00:00"/>
    <s v="Sale"/>
    <n v="229"/>
  </r>
  <r>
    <x v="97"/>
    <n v="1830197"/>
    <d v="2026-02-05T00:00:00"/>
    <s v="Sale"/>
    <n v="27"/>
  </r>
  <r>
    <x v="98"/>
    <n v="1830197"/>
    <d v="2026-02-05T00:00:00"/>
    <s v="Sale"/>
    <n v="71"/>
  </r>
  <r>
    <x v="99"/>
    <n v="1830197"/>
    <d v="2026-02-05T00:00:00"/>
    <s v="Sale"/>
    <n v="237"/>
  </r>
  <r>
    <x v="100"/>
    <n v="1830197"/>
    <d v="2026-02-05T00:00:00"/>
    <s v="Sale"/>
    <n v="15"/>
  </r>
  <r>
    <x v="101"/>
    <n v="1830197"/>
    <d v="2026-02-05T00:00:00"/>
    <s v="Sale"/>
    <n v="0"/>
  </r>
  <r>
    <x v="102"/>
    <n v="1830197"/>
    <d v="2026-02-05T00:00:00"/>
    <s v="Sale"/>
    <n v="106"/>
  </r>
  <r>
    <x v="103"/>
    <n v="1830197"/>
    <d v="2026-02-05T00:00:00"/>
    <s v="Sale"/>
    <n v="0"/>
  </r>
  <r>
    <x v="104"/>
    <n v="1830197"/>
    <d v="2026-02-05T00:00:00"/>
    <s v="Sale"/>
    <n v="0"/>
  </r>
  <r>
    <x v="105"/>
    <n v="1830197"/>
    <d v="2026-02-05T00:00:00"/>
    <s v="Sale"/>
    <n v="68"/>
  </r>
  <r>
    <x v="106"/>
    <n v="1830197"/>
    <d v="2026-02-05T00:00:00"/>
    <s v="Sale"/>
    <n v="562"/>
  </r>
  <r>
    <x v="107"/>
    <n v="1830197"/>
    <d v="2026-02-05T00:00:00"/>
    <s v="Sale"/>
    <n v="0"/>
  </r>
  <r>
    <x v="108"/>
    <n v="1830197"/>
    <d v="2026-02-05T00:00:00"/>
    <s v="Sale"/>
    <n v="0"/>
  </r>
  <r>
    <x v="109"/>
    <n v="1830197"/>
    <d v="2026-02-05T00:00:00"/>
    <s v="Sale"/>
    <n v="0"/>
  </r>
  <r>
    <x v="110"/>
    <n v="1830197"/>
    <d v="2026-02-05T00:00:00"/>
    <s v="Sale"/>
    <n v="0"/>
  </r>
  <r>
    <x v="111"/>
    <n v="1830197"/>
    <d v="2026-02-05T00:00:00"/>
    <s v="Sale"/>
    <n v="0"/>
  </r>
  <r>
    <x v="112"/>
    <n v="1830197"/>
    <d v="2026-02-05T00:00:00"/>
    <s v="Sale"/>
    <n v="0"/>
  </r>
  <r>
    <x v="113"/>
    <n v="1830197"/>
    <d v="2026-02-05T00:00:00"/>
    <s v="Sale"/>
    <n v="1.89"/>
  </r>
  <r>
    <x v="114"/>
    <n v="1830197"/>
    <d v="2026-02-05T00:00:00"/>
    <s v="Sale"/>
    <n v="27.29"/>
  </r>
  <r>
    <x v="115"/>
    <n v="1830197"/>
    <d v="2026-02-05T00:00:00"/>
    <s v="Sale"/>
    <n v="85"/>
  </r>
  <r>
    <x v="116"/>
    <n v="1830197"/>
    <d v="2026-02-05T00:00:00"/>
    <s v="Sale"/>
    <n v="0"/>
  </r>
  <r>
    <x v="117"/>
    <n v="1830197"/>
    <d v="2026-02-05T00:00:00"/>
    <s v="Sale"/>
    <n v="0"/>
  </r>
  <r>
    <x v="118"/>
    <n v="1830197"/>
    <d v="2026-02-05T00:00:00"/>
    <s v="Sale"/>
    <n v="594"/>
  </r>
  <r>
    <x v="119"/>
    <n v="1830197"/>
    <d v="2026-02-05T00:00:00"/>
    <s v="Sale"/>
    <n v="87"/>
  </r>
  <r>
    <x v="120"/>
    <n v="1830197"/>
    <d v="2026-02-05T00:00:00"/>
    <s v="Sale"/>
    <n v="37"/>
  </r>
  <r>
    <x v="121"/>
    <n v="1830197"/>
    <d v="2026-02-05T00:00:00"/>
    <s v="Sale"/>
    <n v="0"/>
  </r>
  <r>
    <x v="122"/>
    <n v="1830197"/>
    <d v="2026-02-05T00:00:00"/>
    <s v="Sale"/>
    <n v="271"/>
  </r>
  <r>
    <x v="123"/>
    <n v="1830197"/>
    <d v="2026-02-05T00:00:00"/>
    <s v="Sale"/>
    <n v="0"/>
  </r>
  <r>
    <x v="124"/>
    <n v="1830197"/>
    <d v="2026-02-05T00:00:00"/>
    <s v="Sale"/>
    <n v="0"/>
  </r>
  <r>
    <x v="125"/>
    <n v="1830197"/>
    <d v="2026-02-05T00:00:00"/>
    <s v="Sale"/>
    <n v="0"/>
  </r>
  <r>
    <x v="126"/>
    <n v="1830197"/>
    <d v="2026-02-05T00:00:00"/>
    <s v="Sale"/>
    <n v="0"/>
  </r>
  <r>
    <x v="127"/>
    <n v="1830197"/>
    <d v="2026-02-05T00:00:00"/>
    <s v="Sale"/>
    <n v="105"/>
  </r>
  <r>
    <x v="128"/>
    <n v="1830197"/>
    <d v="2026-02-05T00:00:00"/>
    <s v="Sale"/>
    <n v="0"/>
  </r>
  <r>
    <x v="129"/>
    <n v="1830197"/>
    <d v="2026-02-05T00:00:00"/>
    <s v="Sale"/>
    <n v="0.11"/>
  </r>
  <r>
    <x v="130"/>
    <n v="1830197"/>
    <d v="2026-02-05T00:00:00"/>
    <s v="Sale"/>
    <n v="3"/>
  </r>
  <r>
    <x v="131"/>
    <n v="1830197"/>
    <d v="2026-02-05T00:00:00"/>
    <s v="Sale"/>
    <n v="869"/>
  </r>
  <r>
    <x v="132"/>
    <n v="1830197"/>
    <d v="2026-02-05T00:00:00"/>
    <s v="Sale"/>
    <n v="0"/>
  </r>
  <r>
    <x v="133"/>
    <n v="1830197"/>
    <d v="2026-02-05T00:00:00"/>
    <s v="Sale"/>
    <n v="0"/>
  </r>
  <r>
    <x v="134"/>
    <n v="1830197"/>
    <d v="2026-02-05T00:00:00"/>
    <s v="Sale"/>
    <n v="0"/>
  </r>
  <r>
    <x v="135"/>
    <n v="1830197"/>
    <d v="2026-02-05T00:00:00"/>
    <s v="Sale"/>
    <n v="0"/>
  </r>
  <r>
    <x v="136"/>
    <n v="1830197"/>
    <d v="2026-02-05T00:00:00"/>
    <s v="Sale"/>
    <n v="0"/>
  </r>
  <r>
    <x v="137"/>
    <n v="1830197"/>
    <d v="2026-02-05T00:00:00"/>
    <s v="Sale"/>
    <n v="0"/>
  </r>
  <r>
    <x v="138"/>
    <n v="1830197"/>
    <d v="2026-02-05T00:00:00"/>
    <s v="Sale"/>
    <n v="0"/>
  </r>
  <r>
    <x v="139"/>
    <n v="1830197"/>
    <d v="2026-02-05T00:00:00"/>
    <s v="Sale"/>
    <n v="0"/>
  </r>
  <r>
    <x v="140"/>
    <n v="1830197"/>
    <d v="2026-02-05T00:00:00"/>
    <s v="Sale"/>
    <n v="0"/>
  </r>
  <r>
    <x v="141"/>
    <n v="1830197"/>
    <d v="2026-02-05T00:00:00"/>
    <s v="Sale"/>
    <n v="0"/>
  </r>
  <r>
    <x v="142"/>
    <n v="1830197"/>
    <d v="2026-02-05T00:00:00"/>
    <s v="Sale"/>
    <n v="4"/>
  </r>
  <r>
    <x v="143"/>
    <n v="1830197"/>
    <d v="2026-02-05T00:00:00"/>
    <s v="Sale"/>
    <n v="16"/>
  </r>
  <r>
    <x v="144"/>
    <n v="1830197"/>
    <d v="2026-02-05T00:00:00"/>
    <s v="Sale"/>
    <n v="0.92"/>
  </r>
  <r>
    <x v="145"/>
    <n v="1830197"/>
    <d v="2026-02-05T00:00:00"/>
    <s v="Sale"/>
    <n v="0"/>
  </r>
  <r>
    <x v="146"/>
    <n v="1830197"/>
    <d v="2026-02-05T00:00:00"/>
    <s v="Sale"/>
    <n v="0"/>
  </r>
  <r>
    <x v="147"/>
    <n v="1830197"/>
    <d v="2026-02-05T00:00:00"/>
    <s v="Sale"/>
    <n v="0.24"/>
  </r>
  <r>
    <x v="148"/>
    <n v="1830197"/>
    <d v="2026-02-05T00:00:00"/>
    <s v="Sale"/>
    <n v="10"/>
  </r>
  <r>
    <x v="149"/>
    <n v="1830197"/>
    <d v="2026-02-05T00:00:00"/>
    <s v="Sale"/>
    <n v="322"/>
  </r>
  <r>
    <x v="150"/>
    <n v="1830197"/>
    <d v="2026-02-05T00:00:00"/>
    <s v="Sale"/>
    <n v="16"/>
  </r>
  <r>
    <x v="151"/>
    <n v="1830197"/>
    <d v="2026-02-05T00:00:00"/>
    <s v="Sale"/>
    <n v="0"/>
  </r>
  <r>
    <x v="152"/>
    <n v="1830197"/>
    <d v="2026-02-05T00:00:00"/>
    <s v="Sale"/>
    <n v="0"/>
  </r>
  <r>
    <x v="153"/>
    <n v="1830197"/>
    <d v="2026-02-05T00:00:00"/>
    <s v="Sale"/>
    <n v="15"/>
  </r>
  <r>
    <x v="154"/>
    <n v="1830197"/>
    <d v="2026-02-05T00:00:00"/>
    <s v="Sale"/>
    <n v="0.1"/>
  </r>
  <r>
    <x v="155"/>
    <n v="1830197"/>
    <d v="2026-02-05T00:00:00"/>
    <s v="Sale"/>
    <n v="-0.28999999999999998"/>
  </r>
  <r>
    <x v="156"/>
    <n v="1830197"/>
    <d v="2026-02-05T00:00:00"/>
    <s v="Sale"/>
    <n v="0"/>
  </r>
  <r>
    <x v="157"/>
    <n v="1830197"/>
    <d v="2026-02-05T00:00:00"/>
    <s v="Sale"/>
    <n v="0"/>
  </r>
  <r>
    <x v="158"/>
    <n v="1830197"/>
    <d v="2026-02-05T00:00:00"/>
    <s v="Sale"/>
    <n v="0"/>
  </r>
  <r>
    <x v="159"/>
    <n v="1830197"/>
    <d v="2026-02-05T00:00:00"/>
    <s v="Sale"/>
    <n v="16.670000000000002"/>
  </r>
  <r>
    <x v="160"/>
    <n v="1830197"/>
    <d v="2026-02-05T00:00:00"/>
    <s v="Sale"/>
    <n v="1.36"/>
  </r>
  <r>
    <x v="161"/>
    <n v="1830197"/>
    <d v="2026-02-05T00:00:00"/>
    <s v="Sale"/>
    <n v="2"/>
  </r>
  <r>
    <x v="162"/>
    <n v="1830197"/>
    <d v="2026-02-05T00:00:00"/>
    <s v="Sale"/>
    <n v="11"/>
  </r>
  <r>
    <x v="163"/>
    <n v="1830197"/>
    <d v="2026-02-05T00:00:00"/>
    <s v="Sale"/>
    <n v="0"/>
  </r>
  <r>
    <x v="164"/>
    <n v="1830197"/>
    <d v="2026-02-05T00:00:00"/>
    <s v="Sale"/>
    <n v="0"/>
  </r>
  <r>
    <x v="165"/>
    <n v="1830197"/>
    <d v="2026-02-05T00:00:00"/>
    <s v="Sale"/>
    <n v="0"/>
  </r>
  <r>
    <x v="166"/>
    <n v="1830197"/>
    <d v="2026-02-05T00:00:00"/>
    <s v="Sale"/>
    <n v="0"/>
  </r>
  <r>
    <x v="167"/>
    <n v="1830197"/>
    <d v="2026-02-05T00:00:00"/>
    <s v="Sale"/>
    <n v="0"/>
  </r>
  <r>
    <x v="168"/>
    <n v="1830197"/>
    <d v="2026-02-05T00:00:00"/>
    <s v="Sale"/>
    <n v="0"/>
  </r>
  <r>
    <x v="169"/>
    <n v="1830197"/>
    <d v="2026-02-05T00:00:00"/>
    <s v="Sale"/>
    <n v="0.05"/>
  </r>
  <r>
    <x v="170"/>
    <n v="1830197"/>
    <d v="2026-02-05T00:00:00"/>
    <s v="Sale"/>
    <n v="0"/>
  </r>
  <r>
    <x v="171"/>
    <n v="1830197"/>
    <d v="2026-02-05T00:00:00"/>
    <s v="Sale"/>
    <n v="26"/>
  </r>
  <r>
    <x v="172"/>
    <n v="1830197"/>
    <d v="2026-02-05T00:00:00"/>
    <s v="Sale"/>
    <n v="330"/>
  </r>
  <r>
    <x v="173"/>
    <n v="1830197"/>
    <d v="2026-02-05T00:00:00"/>
    <s v="Sale"/>
    <n v="0"/>
  </r>
  <r>
    <x v="174"/>
    <n v="1830197"/>
    <d v="2026-02-05T00:00:00"/>
    <s v="Sale"/>
    <n v="0"/>
  </r>
  <r>
    <x v="175"/>
    <n v="1830197"/>
    <d v="2026-02-05T00:00:00"/>
    <s v="Sale"/>
    <n v="537"/>
  </r>
  <r>
    <x v="176"/>
    <n v="1830197"/>
    <d v="2026-02-05T00:00:00"/>
    <s v="Sale"/>
    <n v="237"/>
  </r>
  <r>
    <x v="177"/>
    <n v="1830197"/>
    <d v="2026-02-05T00:00:00"/>
    <s v="Sale"/>
    <n v="0"/>
  </r>
  <r>
    <x v="178"/>
    <n v="1830197"/>
    <d v="2026-02-05T00:00:00"/>
    <s v="Sale"/>
    <n v="85"/>
  </r>
  <r>
    <x v="179"/>
    <n v="1830197"/>
    <d v="2026-02-05T00:00:00"/>
    <s v="Sale"/>
    <n v="0.4"/>
  </r>
  <r>
    <x v="180"/>
    <n v="1830197"/>
    <d v="2026-02-05T00:00:00"/>
    <s v="Sale"/>
    <n v="0"/>
  </r>
  <r>
    <x v="181"/>
    <n v="1830197"/>
    <d v="2026-02-05T00:00:00"/>
    <s v="Sale"/>
    <n v="1.64"/>
  </r>
  <r>
    <x v="182"/>
    <n v="1830197"/>
    <d v="2026-02-05T00:00:00"/>
    <s v="Sale"/>
    <n v="0"/>
  </r>
  <r>
    <x v="183"/>
    <n v="1830197"/>
    <d v="2026-02-05T00:00:00"/>
    <s v="Sale"/>
    <n v="0"/>
  </r>
  <r>
    <x v="184"/>
    <n v="1830197"/>
    <d v="2026-02-05T00:00:00"/>
    <s v="Sale"/>
    <n v="0"/>
  </r>
  <r>
    <x v="185"/>
    <n v="1830197"/>
    <d v="2026-02-05T00:00:00"/>
    <s v="Sale"/>
    <n v="41"/>
  </r>
  <r>
    <x v="186"/>
    <n v="1830197"/>
    <d v="2026-02-05T00:00:00"/>
    <s v="Sale"/>
    <n v="83"/>
  </r>
  <r>
    <x v="187"/>
    <n v="1830197"/>
    <d v="2026-02-05T00:00:00"/>
    <s v="Sale"/>
    <n v="241"/>
  </r>
  <r>
    <x v="188"/>
    <n v="1830197"/>
    <d v="2026-02-05T00:00:00"/>
    <s v="Sale"/>
    <n v="0"/>
  </r>
  <r>
    <x v="189"/>
    <n v="1830197"/>
    <d v="2026-02-05T00:00:00"/>
    <s v="Sale"/>
    <n v="0"/>
  </r>
  <r>
    <x v="190"/>
    <n v="1830197"/>
    <d v="2026-02-05T00:00:00"/>
    <s v="Sale"/>
    <n v="16"/>
  </r>
  <r>
    <x v="191"/>
    <n v="1830197"/>
    <d v="2026-02-05T00:00:00"/>
    <s v="Sale"/>
    <n v="3.97"/>
  </r>
  <r>
    <x v="192"/>
    <n v="1830197"/>
    <d v="2026-02-05T00:00:00"/>
    <s v="Sale"/>
    <n v="0"/>
  </r>
  <r>
    <x v="193"/>
    <n v="1830197"/>
    <d v="2026-02-05T00:00:00"/>
    <s v="Sale"/>
    <n v="0"/>
  </r>
  <r>
    <x v="194"/>
    <n v="1830197"/>
    <d v="2026-02-05T00:00:00"/>
    <s v="Sale"/>
    <n v="0"/>
  </r>
  <r>
    <x v="195"/>
    <n v="1830197"/>
    <d v="2026-02-05T00:00:00"/>
    <s v="Sale"/>
    <n v="0"/>
  </r>
  <r>
    <x v="196"/>
    <n v="1830197"/>
    <d v="2026-02-05T00:00:00"/>
    <s v="Sale"/>
    <n v="0"/>
  </r>
  <r>
    <x v="197"/>
    <n v="1830197"/>
    <d v="2026-02-05T00:00:00"/>
    <s v="Sale"/>
    <n v="283"/>
  </r>
  <r>
    <x v="198"/>
    <n v="1830197"/>
    <d v="2026-02-05T00:00:00"/>
    <s v="Sale"/>
    <n v="0"/>
  </r>
  <r>
    <x v="199"/>
    <n v="1830197"/>
    <d v="2026-02-05T00:00:00"/>
    <s v="Sale"/>
    <n v="0"/>
  </r>
  <r>
    <x v="200"/>
    <n v="1830197"/>
    <d v="2026-02-05T00:00:00"/>
    <s v="Sale"/>
    <n v="0"/>
  </r>
  <r>
    <x v="201"/>
    <n v="1830197"/>
    <d v="2026-02-05T00:00:00"/>
    <s v="Sale"/>
    <n v="0"/>
  </r>
  <r>
    <x v="202"/>
    <n v="1830197"/>
    <d v="2026-02-05T00:00:00"/>
    <s v="Sale"/>
    <n v="0"/>
  </r>
  <r>
    <x v="203"/>
    <n v="1830197"/>
    <d v="2026-02-05T00:00:00"/>
    <s v="Sale"/>
    <n v="11"/>
  </r>
  <r>
    <x v="204"/>
    <n v="1830197"/>
    <d v="2026-02-05T00:00:00"/>
    <s v="Sale"/>
    <n v="0.11"/>
  </r>
  <r>
    <x v="205"/>
    <n v="1830197"/>
    <d v="2026-02-05T00:00:00"/>
    <s v="Sale"/>
    <n v="0"/>
  </r>
  <r>
    <x v="206"/>
    <n v="1830197"/>
    <d v="2026-02-05T00:00:00"/>
    <s v="Sale"/>
    <n v="0"/>
  </r>
  <r>
    <x v="207"/>
    <n v="1830197"/>
    <d v="2026-02-05T00:00:00"/>
    <s v="Sale"/>
    <n v="61"/>
  </r>
  <r>
    <x v="208"/>
    <n v="1830197"/>
    <d v="2026-02-05T00:00:00"/>
    <s v="Sale"/>
    <n v="0"/>
  </r>
  <r>
    <x v="209"/>
    <n v="1830197"/>
    <d v="2026-02-05T00:00:00"/>
    <s v="Sale"/>
    <n v="24"/>
  </r>
  <r>
    <x v="210"/>
    <n v="1830197"/>
    <d v="2026-02-05T00:00:00"/>
    <s v="Sale"/>
    <n v="0"/>
  </r>
  <r>
    <x v="211"/>
    <n v="1830197"/>
    <d v="2026-02-05T00:00:00"/>
    <s v="Sale"/>
    <n v="0"/>
  </r>
  <r>
    <x v="212"/>
    <n v="1830197"/>
    <d v="2026-02-05T00:00:00"/>
    <s v="Sale"/>
    <n v="147"/>
  </r>
  <r>
    <x v="213"/>
    <n v="1830197"/>
    <d v="2026-02-05T00:00:00"/>
    <s v="Sale"/>
    <n v="0"/>
  </r>
  <r>
    <x v="214"/>
    <n v="1830197"/>
    <d v="2026-02-05T00:00:00"/>
    <s v="Sale"/>
    <n v="0"/>
  </r>
  <r>
    <x v="215"/>
    <n v="1830197"/>
    <d v="2026-02-05T00:00:00"/>
    <s v="Sale"/>
    <n v="0"/>
  </r>
  <r>
    <x v="216"/>
    <n v="1830197"/>
    <d v="2026-02-05T00:00:00"/>
    <s v="Sale"/>
    <n v="0"/>
  </r>
  <r>
    <x v="217"/>
    <n v="1830197"/>
    <d v="2026-02-05T00:00:00"/>
    <s v="Sale"/>
    <n v="0"/>
  </r>
  <r>
    <x v="218"/>
    <n v="1830197"/>
    <d v="2026-02-05T00:00:00"/>
    <s v="Sale"/>
    <n v="0"/>
  </r>
  <r>
    <x v="219"/>
    <n v="1830197"/>
    <d v="2026-02-05T00:00:00"/>
    <s v="Sale"/>
    <n v="0"/>
  </r>
  <r>
    <x v="220"/>
    <n v="1830197"/>
    <d v="2026-02-05T00:00:00"/>
    <s v="Sale"/>
    <n v="20"/>
  </r>
  <r>
    <x v="221"/>
    <n v="1830197"/>
    <d v="2026-02-05T00:00:00"/>
    <s v="Sale"/>
    <n v="20"/>
  </r>
  <r>
    <x v="222"/>
    <n v="1830197"/>
    <d v="2026-02-05T00:00:00"/>
    <s v="Sale"/>
    <n v="491"/>
  </r>
  <r>
    <x v="223"/>
    <n v="1830197"/>
    <d v="2026-02-05T00:00:00"/>
    <s v="Sale"/>
    <n v="4.16"/>
  </r>
  <r>
    <x v="224"/>
    <n v="1830197"/>
    <d v="2026-02-05T00:00:00"/>
    <s v="Sale"/>
    <n v="16.39"/>
  </r>
  <r>
    <x v="225"/>
    <n v="1830197"/>
    <d v="2026-02-05T00:00:00"/>
    <s v="Sale"/>
    <n v="0"/>
  </r>
  <r>
    <x v="226"/>
    <n v="1830197"/>
    <d v="2026-02-05T00:00:00"/>
    <s v="Sale"/>
    <n v="2.1"/>
  </r>
  <r>
    <x v="227"/>
    <n v="1830197"/>
    <d v="2026-02-05T00:00:00"/>
    <s v="Sale"/>
    <n v="0"/>
  </r>
  <r>
    <x v="228"/>
    <n v="1830197"/>
    <d v="2026-02-05T00:00:00"/>
    <s v="Sale"/>
    <n v="0"/>
  </r>
  <r>
    <x v="229"/>
    <n v="1830197"/>
    <d v="2026-02-05T00:00:00"/>
    <s v="Sale"/>
    <n v="0"/>
  </r>
  <r>
    <x v="230"/>
    <n v="1830197"/>
    <d v="2026-02-05T00:00:00"/>
    <s v="Sale"/>
    <n v="0"/>
  </r>
  <r>
    <x v="231"/>
    <n v="1830197"/>
    <d v="2026-02-05T00:00:00"/>
    <s v="Sale"/>
    <n v="0"/>
  </r>
  <r>
    <x v="232"/>
    <n v="1830197"/>
    <d v="2026-02-05T00:00:00"/>
    <s v="Sale"/>
    <n v="9"/>
  </r>
  <r>
    <x v="233"/>
    <n v="1830197"/>
    <d v="2026-02-05T00:00:00"/>
    <s v="Sale"/>
    <n v="0"/>
  </r>
  <r>
    <x v="234"/>
    <n v="1830197"/>
    <d v="2026-02-05T00:00:00"/>
    <s v="Sale"/>
    <n v="0"/>
  </r>
  <r>
    <x v="235"/>
    <n v="1830197"/>
    <d v="2026-02-05T00:00:00"/>
    <s v="Sale"/>
    <n v="0"/>
  </r>
  <r>
    <x v="236"/>
    <n v="1830197"/>
    <d v="2026-02-05T00:00:00"/>
    <s v="Sale"/>
    <n v="0"/>
  </r>
  <r>
    <x v="237"/>
    <n v="1830197"/>
    <d v="2026-02-05T00:00:00"/>
    <s v="Sale"/>
    <n v="0"/>
  </r>
  <r>
    <x v="238"/>
    <n v="1830197"/>
    <d v="2026-02-05T00:00:00"/>
    <s v="Sale"/>
    <n v="0"/>
  </r>
  <r>
    <x v="239"/>
    <n v="1830197"/>
    <d v="2026-02-05T00:00:00"/>
    <s v="Sale"/>
    <n v="0"/>
  </r>
  <r>
    <x v="240"/>
    <n v="1830197"/>
    <d v="2026-02-05T00:00:00"/>
    <s v="Sale"/>
    <n v="26"/>
  </r>
  <r>
    <x v="241"/>
    <n v="1830197"/>
    <d v="2026-02-05T00:00:00"/>
    <s v="Sale"/>
    <n v="0"/>
  </r>
  <r>
    <x v="242"/>
    <n v="1830197"/>
    <d v="2026-02-05T00:00:00"/>
    <s v="Sale"/>
    <n v="3"/>
  </r>
  <r>
    <x v="243"/>
    <n v="1830197"/>
    <d v="2026-02-05T00:00:00"/>
    <s v="Sale"/>
    <n v="0"/>
  </r>
  <r>
    <x v="244"/>
    <n v="1830197"/>
    <d v="2026-02-05T00:00:00"/>
    <s v="Sale"/>
    <n v="0"/>
  </r>
  <r>
    <x v="245"/>
    <n v="1830197"/>
    <d v="2026-02-05T00:00:00"/>
    <s v="Sale"/>
    <n v="0"/>
  </r>
  <r>
    <x v="246"/>
    <n v="1830197"/>
    <d v="2026-02-05T00:00:00"/>
    <s v="Sale"/>
    <n v="12"/>
  </r>
  <r>
    <x v="247"/>
    <n v="1830197"/>
    <d v="2026-02-05T00:00:00"/>
    <s v="Sale"/>
    <n v="0"/>
  </r>
  <r>
    <x v="248"/>
    <n v="1830197"/>
    <d v="2026-02-05T00:00:00"/>
    <s v="Sale"/>
    <n v="17"/>
  </r>
  <r>
    <x v="249"/>
    <n v="1830197"/>
    <d v="2026-02-05T00:00:00"/>
    <s v="Sale"/>
    <n v="0"/>
  </r>
  <r>
    <x v="250"/>
    <n v="1830197"/>
    <d v="2026-02-05T00:00:00"/>
    <s v="Sale"/>
    <n v="0"/>
  </r>
  <r>
    <x v="251"/>
    <n v="1830197"/>
    <d v="2026-02-05T00:00:00"/>
    <s v="Sale"/>
    <n v="0"/>
  </r>
  <r>
    <x v="252"/>
    <n v="1830197"/>
    <d v="2026-02-05T00:00:00"/>
    <s v="Sale"/>
    <n v="0"/>
  </r>
  <r>
    <x v="253"/>
    <n v="1830197"/>
    <d v="2026-02-05T00:00:00"/>
    <s v="Sale"/>
    <n v="0"/>
  </r>
  <r>
    <x v="254"/>
    <n v="1830197"/>
    <d v="2026-02-05T00:00:00"/>
    <s v="Sale"/>
    <n v="0"/>
  </r>
  <r>
    <x v="255"/>
    <n v="1830197"/>
    <d v="2026-02-05T00:00:00"/>
    <s v="Sale"/>
    <n v="0"/>
  </r>
  <r>
    <x v="256"/>
    <n v="1830197"/>
    <d v="2026-02-05T00:00:00"/>
    <s v="Sale"/>
    <n v="0"/>
  </r>
  <r>
    <x v="257"/>
    <n v="1830197"/>
    <d v="2026-02-05T00:00:00"/>
    <s v="Sale"/>
    <n v="0"/>
  </r>
  <r>
    <x v="258"/>
    <n v="1830197"/>
    <d v="2026-02-05T00:00:00"/>
    <s v="Sale"/>
    <n v="0"/>
  </r>
  <r>
    <x v="259"/>
    <n v="1830197"/>
    <d v="2026-02-05T00:00:00"/>
    <s v="Sale"/>
    <n v="0"/>
  </r>
  <r>
    <x v="260"/>
    <n v="1830197"/>
    <d v="2026-02-05T00:00:00"/>
    <s v="Sale"/>
    <n v="346"/>
  </r>
  <r>
    <x v="261"/>
    <n v="1830197"/>
    <d v="2026-02-05T00:00:00"/>
    <s v="Sale"/>
    <n v="0"/>
  </r>
  <r>
    <x v="262"/>
    <n v="1830197"/>
    <d v="2026-02-05T00:00:00"/>
    <s v="Sale"/>
    <n v="1.07"/>
  </r>
  <r>
    <x v="263"/>
    <n v="1830197"/>
    <d v="2026-02-05T00:00:00"/>
    <s v="Sale"/>
    <n v="0"/>
  </r>
  <r>
    <x v="264"/>
    <n v="1830197"/>
    <d v="2026-02-05T00:00:00"/>
    <s v="Sale"/>
    <n v="0"/>
  </r>
  <r>
    <x v="265"/>
    <n v="1830197"/>
    <d v="2026-02-05T00:00:00"/>
    <s v="Sale"/>
    <n v="170"/>
  </r>
  <r>
    <x v="266"/>
    <n v="1830197"/>
    <d v="2026-02-05T00:00:00"/>
    <s v="Sale"/>
    <n v="95"/>
  </r>
  <r>
    <x v="267"/>
    <n v="1830197"/>
    <d v="2026-02-05T00:00:00"/>
    <s v="Sale"/>
    <n v="0"/>
  </r>
  <r>
    <x v="268"/>
    <n v="1830197"/>
    <d v="2026-02-05T00:00:00"/>
    <s v="Sale"/>
    <n v="131"/>
  </r>
  <r>
    <x v="269"/>
    <n v="1830197"/>
    <d v="2026-02-05T00:00:00"/>
    <s v="Sale"/>
    <n v="0"/>
  </r>
  <r>
    <x v="270"/>
    <n v="1830197"/>
    <d v="2026-02-05T00:00:00"/>
    <s v="Sale"/>
    <n v="0"/>
  </r>
  <r>
    <x v="271"/>
    <n v="1830197"/>
    <d v="2026-02-05T00:00:00"/>
    <s v="Sale"/>
    <n v="1"/>
  </r>
  <r>
    <x v="272"/>
    <n v="1830197"/>
    <d v="2026-02-05T00:00:00"/>
    <s v="Sale"/>
    <n v="0"/>
  </r>
  <r>
    <x v="273"/>
    <n v="1830197"/>
    <d v="2026-02-05T00:00:00"/>
    <s v="Sale"/>
    <n v="349"/>
  </r>
  <r>
    <x v="274"/>
    <n v="1830197"/>
    <d v="2026-02-05T00:00:00"/>
    <s v="Sale"/>
    <n v="0"/>
  </r>
  <r>
    <x v="275"/>
    <n v="1830197"/>
    <d v="2026-02-05T00:00:00"/>
    <s v="Sale"/>
    <n v="0.15"/>
  </r>
  <r>
    <x v="276"/>
    <n v="1830197"/>
    <d v="2026-02-05T00:00:00"/>
    <s v="Sale"/>
    <n v="8"/>
  </r>
  <r>
    <x v="277"/>
    <n v="1830197"/>
    <d v="2026-02-05T00:00:00"/>
    <s v="Sale"/>
    <n v="2.0299999999999998"/>
  </r>
  <r>
    <x v="278"/>
    <n v="1830197"/>
    <d v="2026-02-05T00:00:00"/>
    <s v="Sale"/>
    <n v="225"/>
  </r>
  <r>
    <x v="279"/>
    <n v="1830197"/>
    <d v="2026-02-05T00:00:00"/>
    <s v="Sale"/>
    <n v="0"/>
  </r>
  <r>
    <x v="280"/>
    <n v="1830197"/>
    <d v="2026-02-05T00:00:00"/>
    <s v="Sale"/>
    <n v="0"/>
  </r>
  <r>
    <x v="281"/>
    <n v="1830197"/>
    <d v="2026-02-05T00:00:00"/>
    <s v="Sale"/>
    <n v="97"/>
  </r>
  <r>
    <x v="282"/>
    <n v="1830197"/>
    <d v="2026-02-05T00:00:00"/>
    <s v="Sale"/>
    <n v="0"/>
  </r>
  <r>
    <x v="283"/>
    <n v="1830197"/>
    <d v="2026-02-05T00:00:00"/>
    <s v="Sale"/>
    <n v="0"/>
  </r>
  <r>
    <x v="284"/>
    <n v="1830197"/>
    <d v="2026-02-05T00:00:00"/>
    <s v="Sale"/>
    <n v="10"/>
  </r>
  <r>
    <x v="285"/>
    <n v="1830197"/>
    <d v="2026-02-05T00:00:00"/>
    <s v="Sale"/>
    <n v="0"/>
  </r>
  <r>
    <x v="286"/>
    <n v="1830197"/>
    <d v="2026-02-05T00:00:00"/>
    <s v="Sale"/>
    <n v="0"/>
  </r>
  <r>
    <x v="287"/>
    <n v="1830197"/>
    <d v="2026-02-05T00:00:00"/>
    <s v="Sale"/>
    <n v="0"/>
  </r>
  <r>
    <x v="288"/>
    <n v="1830197"/>
    <d v="2026-02-05T00:00:00"/>
    <s v="Sale"/>
    <n v="0"/>
  </r>
  <r>
    <x v="289"/>
    <n v="1830197"/>
    <d v="2026-02-05T00:00:00"/>
    <s v="Sale"/>
    <n v="0"/>
  </r>
  <r>
    <x v="290"/>
    <n v="1830197"/>
    <d v="2026-02-05T00:00:00"/>
    <s v="Sale"/>
    <n v="84"/>
  </r>
  <r>
    <x v="291"/>
    <n v="1830197"/>
    <d v="2026-02-05T00:00:00"/>
    <s v="Sale"/>
    <n v="0"/>
  </r>
  <r>
    <x v="292"/>
    <n v="1830197"/>
    <d v="2026-02-05T00:00:00"/>
    <s v="Sale"/>
    <n v="0"/>
  </r>
  <r>
    <x v="293"/>
    <n v="1830197"/>
    <d v="2026-02-05T00:00:00"/>
    <s v="Sale"/>
    <n v="0"/>
  </r>
  <r>
    <x v="294"/>
    <n v="1830197"/>
    <d v="2026-02-05T00:00:00"/>
    <s v="Sale"/>
    <n v="0"/>
  </r>
  <r>
    <x v="295"/>
    <n v="1830197"/>
    <d v="2026-02-05T00:00:00"/>
    <s v="Sale"/>
    <n v="0"/>
  </r>
  <r>
    <x v="296"/>
    <n v="1830197"/>
    <d v="2026-02-05T00:00:00"/>
    <s v="Sale"/>
    <n v="0.44"/>
  </r>
  <r>
    <x v="297"/>
    <n v="1830197"/>
    <d v="2026-02-05T00:00:00"/>
    <s v="Sale"/>
    <n v="0"/>
  </r>
  <r>
    <x v="298"/>
    <n v="1830197"/>
    <d v="2026-02-05T00:00:00"/>
    <s v="Sale"/>
    <n v="0.39"/>
  </r>
  <r>
    <x v="299"/>
    <n v="1830197"/>
    <d v="2026-02-05T00:00:00"/>
    <s v="Sale"/>
    <n v="0"/>
  </r>
  <r>
    <x v="300"/>
    <n v="1830197"/>
    <d v="2026-02-05T00:00:00"/>
    <s v="Sale"/>
    <n v="0"/>
  </r>
  <r>
    <x v="301"/>
    <n v="1830197"/>
    <d v="2026-02-05T00:00:00"/>
    <s v="Sale"/>
    <n v="0"/>
  </r>
  <r>
    <x v="302"/>
    <n v="1830197"/>
    <d v="2026-02-05T00:00:00"/>
    <s v="Sale"/>
    <n v="0"/>
  </r>
  <r>
    <x v="303"/>
    <n v="1830197"/>
    <d v="2026-02-05T00:00:00"/>
    <s v="Sale"/>
    <n v="0"/>
  </r>
  <r>
    <x v="304"/>
    <n v="1830197"/>
    <d v="2026-02-05T00:00:00"/>
    <s v="Sale"/>
    <n v="0"/>
  </r>
  <r>
    <x v="305"/>
    <n v="1830197"/>
    <d v="2026-02-05T00:00:00"/>
    <s v="Sale"/>
    <n v="0"/>
  </r>
  <r>
    <x v="306"/>
    <n v="1830197"/>
    <d v="2026-02-05T00:00:00"/>
    <s v="Sale"/>
    <n v="114"/>
  </r>
  <r>
    <x v="307"/>
    <n v="1830197"/>
    <d v="2026-02-05T00:00:00"/>
    <s v="Sale"/>
    <n v="0.28999999999999998"/>
  </r>
  <r>
    <x v="308"/>
    <n v="1830197"/>
    <d v="2026-02-05T00:00:00"/>
    <s v="Sale"/>
    <n v="0.47"/>
  </r>
  <r>
    <x v="309"/>
    <n v="1830197"/>
    <d v="2026-02-05T00:00:00"/>
    <s v="Sale"/>
    <n v="0.74"/>
  </r>
  <r>
    <x v="310"/>
    <n v="1830197"/>
    <d v="2026-02-05T00:00:00"/>
    <s v="Sale"/>
    <n v="0.54"/>
  </r>
  <r>
    <x v="311"/>
    <n v="1830197"/>
    <d v="2026-02-05T00:00:00"/>
    <s v="Sale"/>
    <n v="15.26"/>
  </r>
  <r>
    <x v="312"/>
    <n v="1830197"/>
    <d v="2026-02-05T00:00:00"/>
    <s v="Sale"/>
    <n v="0"/>
  </r>
  <r>
    <x v="313"/>
    <n v="1830197"/>
    <d v="2026-02-05T00:00:00"/>
    <s v="Sale"/>
    <n v="14"/>
  </r>
  <r>
    <x v="314"/>
    <n v="1830197"/>
    <d v="2026-02-05T00:00:00"/>
    <s v="Sale"/>
    <n v="0"/>
  </r>
  <r>
    <x v="315"/>
    <n v="1830197"/>
    <d v="2026-02-05T00:00:00"/>
    <s v="Sale"/>
    <n v="0"/>
  </r>
  <r>
    <x v="316"/>
    <n v="1830197"/>
    <d v="2026-02-05T00:00:00"/>
    <s v="Sale"/>
    <n v="0"/>
  </r>
  <r>
    <x v="317"/>
    <n v="1830197"/>
    <d v="2026-02-05T00:00:00"/>
    <s v="Sale"/>
    <n v="14"/>
  </r>
  <r>
    <x v="318"/>
    <n v="1830197"/>
    <d v="2026-02-05T00:00:00"/>
    <s v="Sale"/>
    <n v="0"/>
  </r>
  <r>
    <x v="319"/>
    <n v="1830197"/>
    <d v="2026-02-05T00:00:00"/>
    <s v="Sale"/>
    <n v="0"/>
  </r>
  <r>
    <x v="320"/>
    <n v="1830197"/>
    <d v="2026-02-05T00:00:00"/>
    <s v="Sale"/>
    <n v="0"/>
  </r>
  <r>
    <x v="321"/>
    <n v="1830197"/>
    <d v="2026-02-05T00:00:00"/>
    <s v="Sale"/>
    <n v="48"/>
  </r>
  <r>
    <x v="322"/>
    <n v="1830197"/>
    <d v="2026-02-05T00:00:00"/>
    <s v="Sale"/>
    <n v="0"/>
  </r>
  <r>
    <x v="323"/>
    <n v="1830197"/>
    <d v="2026-02-05T00:00:00"/>
    <s v="Sale"/>
    <n v="0"/>
  </r>
  <r>
    <x v="324"/>
    <n v="1830197"/>
    <d v="2026-02-05T00:00:00"/>
    <s v="Sale"/>
    <n v="0"/>
  </r>
  <r>
    <x v="325"/>
    <n v="1830197"/>
    <d v="2026-02-05T00:00:00"/>
    <s v="Sale"/>
    <n v="0"/>
  </r>
  <r>
    <x v="326"/>
    <n v="1830197"/>
    <d v="2026-02-05T00:00:00"/>
    <s v="Sale"/>
    <n v="0"/>
  </r>
  <r>
    <x v="327"/>
    <n v="1830197"/>
    <d v="2026-02-05T00:00:00"/>
    <s v="Sale"/>
    <n v="0"/>
  </r>
  <r>
    <x v="328"/>
    <n v="1830197"/>
    <d v="2026-02-05T00:00:00"/>
    <s v="Sale"/>
    <n v="0"/>
  </r>
  <r>
    <x v="329"/>
    <n v="1830197"/>
    <d v="2026-02-05T00:00:00"/>
    <s v="Sale"/>
    <n v="0"/>
  </r>
  <r>
    <x v="330"/>
    <n v="1830197"/>
    <d v="2026-02-05T00:00:00"/>
    <s v="Sale"/>
    <n v="0"/>
  </r>
  <r>
    <x v="331"/>
    <n v="1830197"/>
    <d v="2026-02-05T00:00:00"/>
    <s v="Sale"/>
    <n v="10"/>
  </r>
  <r>
    <x v="332"/>
    <n v="1830197"/>
    <d v="2026-02-05T00:00:00"/>
    <s v="Sale"/>
    <n v="0"/>
  </r>
  <r>
    <x v="333"/>
    <n v="1830197"/>
    <d v="2026-02-05T00:00:00"/>
    <s v="Sale"/>
    <n v="0"/>
  </r>
  <r>
    <x v="334"/>
    <n v="1830197"/>
    <d v="2026-02-05T00:00:00"/>
    <s v="Sale"/>
    <n v="15"/>
  </r>
  <r>
    <x v="335"/>
    <n v="1830197"/>
    <d v="2026-02-05T00:00:00"/>
    <s v="Sale"/>
    <n v="0"/>
  </r>
  <r>
    <x v="336"/>
    <n v="1830197"/>
    <d v="2026-02-05T00:00:00"/>
    <s v="Sale"/>
    <n v="0"/>
  </r>
  <r>
    <x v="337"/>
    <n v="1830197"/>
    <d v="2026-02-05T00:00:00"/>
    <s v="Sale"/>
    <n v="0"/>
  </r>
  <r>
    <x v="338"/>
    <n v="1830197"/>
    <d v="2026-02-05T00:00:00"/>
    <s v="Sale"/>
    <n v="38"/>
  </r>
  <r>
    <x v="339"/>
    <n v="1830197"/>
    <d v="2026-02-05T00:00:00"/>
    <s v="Sale"/>
    <n v="9"/>
  </r>
  <r>
    <x v="340"/>
    <n v="1830197"/>
    <d v="2026-02-05T00:00:00"/>
    <s v="Sale"/>
    <n v="0"/>
  </r>
  <r>
    <x v="341"/>
    <n v="1830197"/>
    <d v="2026-02-05T00:00:00"/>
    <s v="Sale"/>
    <n v="0"/>
  </r>
  <r>
    <x v="342"/>
    <n v="1830197"/>
    <d v="2026-02-05T00:00:00"/>
    <s v="Sale"/>
    <n v="0"/>
  </r>
  <r>
    <x v="343"/>
    <n v="1830197"/>
    <d v="2026-02-05T00:00:00"/>
    <s v="Sale"/>
    <n v="0"/>
  </r>
  <r>
    <x v="344"/>
    <n v="1830197"/>
    <d v="2026-02-05T00:00:00"/>
    <s v="Sale"/>
    <n v="0"/>
  </r>
  <r>
    <x v="345"/>
    <n v="1830197"/>
    <d v="2026-02-05T00:00:00"/>
    <s v="Sale"/>
    <n v="0"/>
  </r>
  <r>
    <x v="346"/>
    <n v="1830197"/>
    <d v="2026-02-05T00:00:00"/>
    <s v="Sale"/>
    <n v="0"/>
  </r>
  <r>
    <x v="347"/>
    <n v="1830197"/>
    <d v="2026-02-05T00:00:00"/>
    <s v="Sale"/>
    <n v="0"/>
  </r>
  <r>
    <x v="348"/>
    <n v="1830197"/>
    <d v="2026-02-05T00:00:00"/>
    <s v="Sale"/>
    <n v="0"/>
  </r>
  <r>
    <x v="349"/>
    <n v="1830197"/>
    <d v="2026-02-05T00:00:00"/>
    <s v="Sale"/>
    <n v="0"/>
  </r>
  <r>
    <x v="350"/>
    <n v="1830197"/>
    <d v="2026-02-05T00:00:00"/>
    <s v="Sale"/>
    <n v="0"/>
  </r>
  <r>
    <x v="351"/>
    <n v="1830197"/>
    <d v="2026-02-05T00:00:00"/>
    <s v="Sale"/>
    <n v="0"/>
  </r>
  <r>
    <x v="352"/>
    <n v="1830197"/>
    <d v="2026-02-05T00:00:00"/>
    <s v="Sale"/>
    <n v="68"/>
  </r>
  <r>
    <x v="353"/>
    <n v="1830197"/>
    <d v="2026-02-05T00:00:00"/>
    <s v="Sale"/>
    <n v="0"/>
  </r>
  <r>
    <x v="354"/>
    <n v="1830197"/>
    <d v="2026-02-05T00:00:00"/>
    <s v="Sale"/>
    <n v="10"/>
  </r>
  <r>
    <x v="355"/>
    <n v="1830197"/>
    <d v="2026-02-05T00:00:00"/>
    <s v="Sale"/>
    <n v="0"/>
  </r>
  <r>
    <x v="356"/>
    <n v="1830197"/>
    <d v="2026-02-05T00:00:00"/>
    <s v="Sale"/>
    <n v="0"/>
  </r>
  <r>
    <x v="357"/>
    <n v="1830197"/>
    <d v="2026-02-05T00:00:00"/>
    <s v="Sale"/>
    <n v="0.14000000000000001"/>
  </r>
  <r>
    <x v="358"/>
    <n v="1830197"/>
    <d v="2026-02-05T00:00:00"/>
    <s v="Sale"/>
    <n v="0"/>
  </r>
  <r>
    <x v="359"/>
    <n v="1830197"/>
    <d v="2026-02-05T00:00:00"/>
    <s v="Sale"/>
    <n v="0"/>
  </r>
  <r>
    <x v="360"/>
    <n v="1830197"/>
    <d v="2026-02-05T00:00:00"/>
    <s v="Sale"/>
    <n v="0"/>
  </r>
  <r>
    <x v="361"/>
    <n v="1830197"/>
    <d v="2026-02-05T00:00:00"/>
    <s v="Sale"/>
    <n v="0"/>
  </r>
  <r>
    <x v="362"/>
    <n v="1830197"/>
    <d v="2026-02-05T00:00:00"/>
    <s v="Sale"/>
    <n v="0"/>
  </r>
  <r>
    <x v="363"/>
    <n v="1830197"/>
    <d v="2026-02-05T00:00:00"/>
    <s v="Sale"/>
    <n v="0"/>
  </r>
  <r>
    <x v="364"/>
    <n v="1830197"/>
    <d v="2026-02-05T00:00:00"/>
    <s v="Sale"/>
    <n v="0"/>
  </r>
  <r>
    <x v="365"/>
    <n v="1830197"/>
    <d v="2026-02-05T00:00:00"/>
    <s v="Sale"/>
    <n v="0"/>
  </r>
  <r>
    <x v="366"/>
    <n v="1830197"/>
    <d v="2026-02-05T00:00:00"/>
    <s v="Sale"/>
    <n v="0"/>
  </r>
  <r>
    <x v="367"/>
    <n v="1830197"/>
    <d v="2026-02-05T00:00:00"/>
    <s v="Sale"/>
    <n v="0"/>
  </r>
  <r>
    <x v="368"/>
    <n v="1830197"/>
    <d v="2026-02-05T00:00:00"/>
    <s v="Sale"/>
    <n v="0"/>
  </r>
  <r>
    <x v="369"/>
    <n v="1830197"/>
    <d v="2026-02-05T00:00:00"/>
    <s v="Sale"/>
    <n v="0"/>
  </r>
  <r>
    <x v="370"/>
    <n v="1830197"/>
    <d v="2026-02-05T00:00:00"/>
    <s v="Sale"/>
    <n v="0"/>
  </r>
  <r>
    <x v="371"/>
    <n v="1830197"/>
    <d v="2026-02-05T00:00:00"/>
    <s v="Sale"/>
    <n v="0"/>
  </r>
  <r>
    <x v="372"/>
    <n v="1830197"/>
    <d v="2026-02-05T00:00:00"/>
    <s v="Sale"/>
    <n v="45"/>
  </r>
  <r>
    <x v="373"/>
    <n v="1830197"/>
    <d v="2026-02-05T00:00:00"/>
    <s v="Sale"/>
    <n v="3"/>
  </r>
  <r>
    <x v="374"/>
    <n v="1830197"/>
    <d v="2026-02-05T00:00:00"/>
    <s v="Sale"/>
    <n v="4.4400000000000004"/>
  </r>
  <r>
    <x v="375"/>
    <n v="1830197"/>
    <d v="2026-02-05T00:00:00"/>
    <s v="Sale"/>
    <n v="0"/>
  </r>
  <r>
    <x v="376"/>
    <n v="1830197"/>
    <d v="2026-02-05T00:00:00"/>
    <s v="Sale"/>
    <n v="0"/>
  </r>
  <r>
    <x v="377"/>
    <n v="1830197"/>
    <d v="2026-02-05T00:00:00"/>
    <s v="Sale"/>
    <n v="0"/>
  </r>
  <r>
    <x v="378"/>
    <n v="1830197"/>
    <d v="2026-02-05T00:00:00"/>
    <s v="Sale"/>
    <n v="2"/>
  </r>
  <r>
    <x v="379"/>
    <n v="1830197"/>
    <d v="2026-02-05T00:00:00"/>
    <s v="Sale"/>
    <n v="0"/>
  </r>
  <r>
    <x v="380"/>
    <n v="1830197"/>
    <d v="2026-02-05T00:00:00"/>
    <s v="Sale"/>
    <n v="0"/>
  </r>
  <r>
    <x v="381"/>
    <n v="1830197"/>
    <d v="2026-02-05T00:00:00"/>
    <s v="Sale"/>
    <n v="0"/>
  </r>
  <r>
    <x v="382"/>
    <n v="1830197"/>
    <d v="2026-02-05T00:00:00"/>
    <s v="Sale"/>
    <n v="0"/>
  </r>
  <r>
    <x v="383"/>
    <n v="1830197"/>
    <d v="2026-02-05T00:00:00"/>
    <s v="Sale"/>
    <n v="0"/>
  </r>
  <r>
    <x v="384"/>
    <n v="1830197"/>
    <d v="2026-02-05T00:00:00"/>
    <s v="Sale"/>
    <n v="0"/>
  </r>
  <r>
    <x v="385"/>
    <n v="1830197"/>
    <d v="2026-02-05T00:00:00"/>
    <s v="Sale"/>
    <n v="0"/>
  </r>
  <r>
    <x v="386"/>
    <n v="1830197"/>
    <d v="2026-02-05T00:00:00"/>
    <s v="Sale"/>
    <n v="0"/>
  </r>
  <r>
    <x v="387"/>
    <n v="1830197"/>
    <d v="2026-02-05T00:00:00"/>
    <s v="Sale"/>
    <n v="0"/>
  </r>
  <r>
    <x v="388"/>
    <n v="1830197"/>
    <d v="2026-02-05T00:00:00"/>
    <s v="Sale"/>
    <n v="0"/>
  </r>
  <r>
    <x v="389"/>
    <n v="1830197"/>
    <d v="2026-02-05T00:00:00"/>
    <s v="Sale"/>
    <n v="0"/>
  </r>
  <r>
    <x v="390"/>
    <n v="1830197"/>
    <d v="2026-02-05T00:00:00"/>
    <s v="Sale"/>
    <n v="1"/>
  </r>
  <r>
    <x v="391"/>
    <n v="1830197"/>
    <d v="2026-02-05T00:00:00"/>
    <s v="Sale"/>
    <n v="110"/>
  </r>
  <r>
    <x v="392"/>
    <n v="1830197"/>
    <d v="2026-02-05T00:00:00"/>
    <s v="Sale"/>
    <n v="0"/>
  </r>
  <r>
    <x v="393"/>
    <n v="1830197"/>
    <d v="2026-02-05T00:00:00"/>
    <s v="Sale"/>
    <n v="0"/>
  </r>
  <r>
    <x v="394"/>
    <n v="1830197"/>
    <d v="2026-02-05T00:00:00"/>
    <s v="Sale"/>
    <n v="0.1"/>
  </r>
  <r>
    <x v="395"/>
    <n v="1830197"/>
    <d v="2026-02-05T00:00:00"/>
    <s v="Sale"/>
    <n v="0"/>
  </r>
  <r>
    <x v="396"/>
    <n v="1830197"/>
    <d v="2026-02-05T00:00:00"/>
    <s v="Sale"/>
    <n v="0"/>
  </r>
  <r>
    <x v="397"/>
    <n v="1830197"/>
    <d v="2026-02-05T00:00:00"/>
    <s v="Sale"/>
    <n v="0"/>
  </r>
  <r>
    <x v="398"/>
    <n v="1830197"/>
    <d v="2026-02-05T00:00:00"/>
    <s v="Sale"/>
    <n v="0"/>
  </r>
  <r>
    <x v="399"/>
    <n v="1830197"/>
    <d v="2026-02-05T00:00:00"/>
    <s v="Sale"/>
    <n v="0"/>
  </r>
  <r>
    <x v="400"/>
    <n v="1830197"/>
    <d v="2026-02-05T00:00:00"/>
    <s v="Sale"/>
    <n v="0"/>
  </r>
  <r>
    <x v="401"/>
    <n v="1830197"/>
    <d v="2026-02-05T00:00:00"/>
    <s v="Sale"/>
    <n v="0"/>
  </r>
  <r>
    <x v="402"/>
    <n v="1830197"/>
    <d v="2026-02-05T00:00:00"/>
    <s v="Sale"/>
    <n v="0"/>
  </r>
  <r>
    <x v="403"/>
    <n v="1830197"/>
    <d v="2026-02-05T00:00:00"/>
    <s v="Sale"/>
    <n v="0"/>
  </r>
  <r>
    <x v="404"/>
    <n v="1830197"/>
    <d v="2026-02-05T00:00:00"/>
    <s v="Sale"/>
    <n v="0"/>
  </r>
  <r>
    <x v="405"/>
    <n v="1830197"/>
    <d v="2026-02-05T00:00:00"/>
    <s v="Sale"/>
    <n v="36"/>
  </r>
  <r>
    <x v="406"/>
    <n v="1830197"/>
    <d v="2026-02-05T00:00:00"/>
    <s v="Sale"/>
    <n v="0"/>
  </r>
  <r>
    <x v="407"/>
    <n v="1830197"/>
    <d v="2026-02-05T00:00:00"/>
    <s v="Sale"/>
    <n v="0"/>
  </r>
  <r>
    <x v="408"/>
    <n v="1830197"/>
    <d v="2026-02-05T00:00:00"/>
    <s v="Sale"/>
    <n v="0"/>
  </r>
  <r>
    <x v="409"/>
    <n v="1830197"/>
    <d v="2026-02-05T00:00:00"/>
    <s v="Sale"/>
    <n v="0"/>
  </r>
  <r>
    <x v="410"/>
    <n v="1830197"/>
    <d v="2026-02-05T00:00:00"/>
    <s v="Sale"/>
    <n v="47"/>
  </r>
  <r>
    <x v="411"/>
    <n v="1830197"/>
    <d v="2026-02-05T00:00:00"/>
    <s v="Sale"/>
    <n v="0"/>
  </r>
  <r>
    <x v="412"/>
    <n v="1830197"/>
    <d v="2026-02-05T00:00:00"/>
    <s v="Sale"/>
    <n v="0"/>
  </r>
  <r>
    <x v="413"/>
    <n v="1830197"/>
    <d v="2026-02-05T00:00:00"/>
    <s v="Sale"/>
    <n v="0"/>
  </r>
  <r>
    <x v="414"/>
    <n v="1830197"/>
    <d v="2026-02-05T00:00:00"/>
    <s v="Sale"/>
    <n v="0"/>
  </r>
  <r>
    <x v="415"/>
    <n v="1830197"/>
    <d v="2026-02-05T00:00:00"/>
    <s v="Sale"/>
    <n v="0"/>
  </r>
  <r>
    <x v="416"/>
    <n v="1830197"/>
    <d v="2026-02-05T00:00:00"/>
    <s v="Sale"/>
    <n v="0"/>
  </r>
  <r>
    <x v="417"/>
    <n v="1830197"/>
    <d v="2026-02-05T00:00:00"/>
    <s v="Sale"/>
    <n v="0"/>
  </r>
  <r>
    <x v="418"/>
    <n v="1830197"/>
    <d v="2026-02-05T00:00:00"/>
    <s v="Sale"/>
    <n v="0"/>
  </r>
  <r>
    <x v="419"/>
    <n v="1830197"/>
    <d v="2026-02-05T00:00:00"/>
    <s v="Sale"/>
    <n v="0"/>
  </r>
  <r>
    <x v="420"/>
    <n v="1830197"/>
    <d v="2026-02-05T00:00:00"/>
    <s v="Sale"/>
    <n v="0"/>
  </r>
  <r>
    <x v="421"/>
    <n v="1830197"/>
    <d v="2026-02-05T00:00:00"/>
    <s v="Sale"/>
    <n v="1.62"/>
  </r>
  <r>
    <x v="422"/>
    <n v="1830197"/>
    <d v="2026-02-05T00:00:00"/>
    <s v="Sale"/>
    <n v="-1.1299999999999999"/>
  </r>
  <r>
    <x v="423"/>
    <n v="1830197"/>
    <d v="2026-02-05T00:00:00"/>
    <s v="Sale"/>
    <n v="-1"/>
  </r>
  <r>
    <x v="424"/>
    <n v="1830197"/>
    <d v="2026-02-05T00:00:00"/>
    <s v="Sale"/>
    <n v="0"/>
  </r>
  <r>
    <x v="425"/>
    <n v="1830197"/>
    <d v="2026-02-05T00:00:00"/>
    <s v="Sale"/>
    <n v="0"/>
  </r>
  <r>
    <x v="426"/>
    <n v="1830197"/>
    <d v="2026-02-05T00:00:00"/>
    <s v="Sale"/>
    <n v="0"/>
  </r>
  <r>
    <x v="427"/>
    <n v="1830197"/>
    <d v="2026-02-05T00:00:00"/>
    <s v="Sale"/>
    <n v="25"/>
  </r>
  <r>
    <x v="428"/>
    <n v="1830197"/>
    <d v="2026-02-05T00:00:00"/>
    <s v="Sale"/>
    <n v="1"/>
  </r>
  <r>
    <x v="429"/>
    <n v="1830197"/>
    <d v="2026-02-05T00:00:00"/>
    <s v="Sale"/>
    <n v="0"/>
  </r>
  <r>
    <x v="430"/>
    <n v="1830197"/>
    <d v="2026-02-05T00:00:00"/>
    <s v="Sale"/>
    <n v="0"/>
  </r>
  <r>
    <x v="431"/>
    <n v="1830197"/>
    <d v="2026-02-05T00:00:00"/>
    <s v="Sale"/>
    <n v="0"/>
  </r>
  <r>
    <x v="432"/>
    <n v="1830197"/>
    <d v="2026-02-05T00:00:00"/>
    <s v="Sale"/>
    <n v="2"/>
  </r>
  <r>
    <x v="433"/>
    <n v="1830197"/>
    <d v="2026-02-05T00:00:00"/>
    <s v="Sale"/>
    <n v="2"/>
  </r>
  <r>
    <x v="434"/>
    <n v="1830197"/>
    <d v="2026-02-05T00:00:00"/>
    <s v="Sale"/>
    <n v="0.47"/>
  </r>
  <r>
    <x v="435"/>
    <n v="1830197"/>
    <d v="2026-02-05T00:00:00"/>
    <s v="Sale"/>
    <n v="0"/>
  </r>
  <r>
    <x v="436"/>
    <n v="1830197"/>
    <d v="2026-02-05T00:00:00"/>
    <s v="Sale"/>
    <n v="0"/>
  </r>
  <r>
    <x v="437"/>
    <n v="1830197"/>
    <d v="2026-02-05T00:00:00"/>
    <s v="Sale"/>
    <n v="0"/>
  </r>
  <r>
    <x v="438"/>
    <n v="1830197"/>
    <d v="2026-02-05T00:00:00"/>
    <s v="Sale"/>
    <n v="0"/>
  </r>
  <r>
    <x v="439"/>
    <n v="1830197"/>
    <d v="2026-02-05T00:00:00"/>
    <s v="Sale"/>
    <n v="0"/>
  </r>
  <r>
    <x v="440"/>
    <n v="1830197"/>
    <d v="2026-02-05T00:00:00"/>
    <s v="Sale"/>
    <n v="308"/>
  </r>
  <r>
    <x v="441"/>
    <n v="1830197"/>
    <d v="2026-02-05T00:00:00"/>
    <s v="Sale"/>
    <n v="18"/>
  </r>
  <r>
    <x v="442"/>
    <n v="1830197"/>
    <d v="2026-02-05T00:00:00"/>
    <s v="Sale"/>
    <n v="3"/>
  </r>
  <r>
    <x v="443"/>
    <n v="1830197"/>
    <d v="2026-02-05T00:00:00"/>
    <s v="Sale"/>
    <n v="0"/>
  </r>
  <r>
    <x v="444"/>
    <n v="1830197"/>
    <d v="2026-02-05T00:00:00"/>
    <s v="Sale"/>
    <n v="25"/>
  </r>
  <r>
    <x v="445"/>
    <n v="1830197"/>
    <d v="2026-02-05T00:00:00"/>
    <s v="Sale"/>
    <n v="0"/>
  </r>
  <r>
    <x v="446"/>
    <n v="1830197"/>
    <d v="2026-02-05T00:00:00"/>
    <s v="Sale"/>
    <n v="4"/>
  </r>
  <r>
    <x v="447"/>
    <n v="1830197"/>
    <d v="2026-02-05T00:00:00"/>
    <s v="Sale"/>
    <n v="2"/>
  </r>
  <r>
    <x v="448"/>
    <n v="1830197"/>
    <d v="2026-02-05T00:00:00"/>
    <s v="Sale"/>
    <n v="0"/>
  </r>
  <r>
    <x v="449"/>
    <n v="1830197"/>
    <d v="2026-02-05T00:00:00"/>
    <s v="Sale"/>
    <n v="0"/>
  </r>
  <r>
    <x v="450"/>
    <n v="1830197"/>
    <d v="2026-02-05T00:00:00"/>
    <s v="Sale"/>
    <n v="0"/>
  </r>
  <r>
    <x v="451"/>
    <n v="1830197"/>
    <d v="2026-02-05T00:00:00"/>
    <s v="Sale"/>
    <n v="0"/>
  </r>
  <r>
    <x v="452"/>
    <n v="1830197"/>
    <d v="2026-02-05T00:00:00"/>
    <s v="Sale"/>
    <n v="0"/>
  </r>
  <r>
    <x v="453"/>
    <n v="1830197"/>
    <d v="2026-02-05T00:00:00"/>
    <s v="Sale"/>
    <n v="0"/>
  </r>
  <r>
    <x v="454"/>
    <n v="1830197"/>
    <d v="2026-02-05T00:00:00"/>
    <s v="Sale"/>
    <n v="0"/>
  </r>
  <r>
    <x v="455"/>
    <n v="1830197"/>
    <d v="2026-02-05T00:00:00"/>
    <s v="Sale"/>
    <n v="0"/>
  </r>
  <r>
    <x v="456"/>
    <n v="1830197"/>
    <d v="2026-02-05T00:00:00"/>
    <s v="Sale"/>
    <n v="0"/>
  </r>
  <r>
    <x v="457"/>
    <n v="1830197"/>
    <d v="2026-02-05T00:00:00"/>
    <s v="Sale"/>
    <n v="0"/>
  </r>
  <r>
    <x v="458"/>
    <n v="1830197"/>
    <d v="2026-02-05T00:00:00"/>
    <s v="Sale"/>
    <n v="0"/>
  </r>
  <r>
    <x v="459"/>
    <n v="1830197"/>
    <d v="2026-02-05T00:00:00"/>
    <s v="Sale"/>
    <n v="0"/>
  </r>
  <r>
    <x v="460"/>
    <n v="1830197"/>
    <d v="2026-02-05T00:00:00"/>
    <s v="Sale"/>
    <n v="0"/>
  </r>
  <r>
    <x v="461"/>
    <n v="1830197"/>
    <d v="2026-02-05T00:00:00"/>
    <s v="Sale"/>
    <n v="0"/>
  </r>
  <r>
    <x v="462"/>
    <n v="1830197"/>
    <d v="2026-02-05T00:00:00"/>
    <s v="Sale"/>
    <n v="0"/>
  </r>
  <r>
    <x v="463"/>
    <n v="1830197"/>
    <d v="2026-02-05T00:00:00"/>
    <s v="Sale"/>
    <n v="0"/>
  </r>
  <r>
    <x v="464"/>
    <n v="1830197"/>
    <d v="2026-02-05T00:00:00"/>
    <s v="Sale"/>
    <n v="0"/>
  </r>
  <r>
    <x v="465"/>
    <n v="1830197"/>
    <d v="2026-02-05T00:00:00"/>
    <s v="Sale"/>
    <n v="0"/>
  </r>
  <r>
    <x v="466"/>
    <n v="1830197"/>
    <d v="2026-02-05T00:00:00"/>
    <s v="Sale"/>
    <n v="0"/>
  </r>
  <r>
    <x v="467"/>
    <n v="1830197"/>
    <d v="2026-02-05T00:00:00"/>
    <s v="Sale"/>
    <n v="0"/>
  </r>
  <r>
    <x v="468"/>
    <n v="1830197"/>
    <d v="2026-02-05T00:00:00"/>
    <s v="Sale"/>
    <n v="0"/>
  </r>
  <r>
    <x v="469"/>
    <n v="1830197"/>
    <d v="2026-02-05T00:00:00"/>
    <s v="Sale"/>
    <n v="0"/>
  </r>
  <r>
    <x v="470"/>
    <n v="1830197"/>
    <d v="2026-02-05T00:00:00"/>
    <s v="Sale"/>
    <n v="0"/>
  </r>
  <r>
    <x v="471"/>
    <n v="1830197"/>
    <d v="2026-02-05T00:00:00"/>
    <s v="Sale"/>
    <n v="0"/>
  </r>
  <r>
    <x v="472"/>
    <n v="1830197"/>
    <d v="2026-02-05T00:00:00"/>
    <s v="Sale"/>
    <n v="0"/>
  </r>
  <r>
    <x v="473"/>
    <n v="1830197"/>
    <d v="2026-02-05T00:00:00"/>
    <s v="Sale"/>
    <n v="0"/>
  </r>
  <r>
    <x v="474"/>
    <n v="1830197"/>
    <d v="2026-02-05T00:00:00"/>
    <s v="Sale"/>
    <n v="0"/>
  </r>
  <r>
    <x v="475"/>
    <n v="1830197"/>
    <d v="2026-02-05T00:00:00"/>
    <s v="Sale"/>
    <n v="0"/>
  </r>
  <r>
    <x v="476"/>
    <n v="1830197"/>
    <d v="2026-02-05T00:00:00"/>
    <s v="Sale"/>
    <n v="0"/>
  </r>
  <r>
    <x v="477"/>
    <n v="1830197"/>
    <d v="2026-02-05T00:00:00"/>
    <s v="Sale"/>
    <n v="0"/>
  </r>
  <r>
    <x v="478"/>
    <n v="1830197"/>
    <d v="2026-02-05T00:00:00"/>
    <s v="Sale"/>
    <n v="0"/>
  </r>
  <r>
    <x v="479"/>
    <n v="1830197"/>
    <d v="2026-02-05T00:00:00"/>
    <s v="Sale"/>
    <n v="0.06"/>
  </r>
  <r>
    <x v="480"/>
    <n v="1830197"/>
    <d v="2026-02-05T00:00:00"/>
    <s v="Sale"/>
    <n v="0"/>
  </r>
  <r>
    <x v="481"/>
    <n v="1830197"/>
    <d v="2026-02-05T00:00:00"/>
    <s v="Sale"/>
    <n v="0"/>
  </r>
  <r>
    <x v="482"/>
    <n v="1830197"/>
    <d v="2026-02-05T00:00:00"/>
    <s v="Sale"/>
    <n v="8"/>
  </r>
  <r>
    <x v="483"/>
    <n v="1830197"/>
    <d v="2026-02-05T00:00:00"/>
    <s v="Sale"/>
    <n v="4"/>
  </r>
  <r>
    <x v="484"/>
    <n v="1830197"/>
    <d v="2026-02-05T00:00:00"/>
    <s v="Sale"/>
    <n v="0"/>
  </r>
  <r>
    <x v="485"/>
    <n v="1830197"/>
    <d v="2026-02-05T00:00:00"/>
    <s v="Sale"/>
    <n v="0"/>
  </r>
  <r>
    <x v="486"/>
    <n v="1830197"/>
    <d v="2026-02-05T00:00:00"/>
    <s v="Sale"/>
    <n v="0"/>
  </r>
  <r>
    <x v="487"/>
    <n v="1830197"/>
    <d v="2026-02-05T00:00:00"/>
    <s v="Sale"/>
    <n v="4"/>
  </r>
  <r>
    <x v="488"/>
    <n v="1830197"/>
    <d v="2026-02-05T00:00:00"/>
    <s v="Sale"/>
    <n v="0"/>
  </r>
  <r>
    <x v="489"/>
    <n v="1830197"/>
    <d v="2026-02-05T00:00:00"/>
    <s v="Sale"/>
    <n v="2"/>
  </r>
  <r>
    <x v="490"/>
    <n v="1830197"/>
    <d v="2026-02-05T00:00:00"/>
    <s v="Sale"/>
    <n v="0"/>
  </r>
  <r>
    <x v="491"/>
    <n v="1830197"/>
    <d v="2026-02-05T00:00:00"/>
    <s v="Sale"/>
    <n v="0"/>
  </r>
  <r>
    <x v="492"/>
    <n v="1830197"/>
    <d v="2026-02-05T00:00:00"/>
    <s v="Sale"/>
    <n v="0"/>
  </r>
  <r>
    <x v="493"/>
    <n v="1830197"/>
    <d v="2026-02-05T00:00:00"/>
    <s v="Sale"/>
    <n v="0"/>
  </r>
  <r>
    <x v="494"/>
    <n v="1830197"/>
    <d v="2026-02-05T00:00:00"/>
    <s v="Sale"/>
    <n v="0"/>
  </r>
  <r>
    <x v="495"/>
    <n v="1830197"/>
    <d v="2026-02-05T00:00:00"/>
    <s v="Sale"/>
    <n v="0"/>
  </r>
  <r>
    <x v="496"/>
    <n v="1830197"/>
    <d v="2026-02-05T00:00:00"/>
    <s v="Sale"/>
    <n v="0"/>
  </r>
  <r>
    <x v="497"/>
    <n v="1830197"/>
    <d v="2026-02-05T00:00:00"/>
    <s v="Sale"/>
    <n v="0"/>
  </r>
  <r>
    <x v="498"/>
    <n v="1830197"/>
    <d v="2026-02-05T00:00:00"/>
    <s v="Sale"/>
    <n v="0"/>
  </r>
  <r>
    <x v="499"/>
    <n v="1830197"/>
    <d v="2026-02-05T00:00:00"/>
    <s v="Sale"/>
    <n v="1"/>
  </r>
  <r>
    <x v="500"/>
    <n v="1830197"/>
    <d v="2026-02-05T00:00:00"/>
    <s v="Sale"/>
    <n v="4"/>
  </r>
  <r>
    <x v="501"/>
    <n v="1830197"/>
    <d v="2026-02-05T00:00:00"/>
    <s v="Sale"/>
    <n v="0"/>
  </r>
  <r>
    <x v="502"/>
    <n v="1830197"/>
    <d v="2026-02-05T00:00:00"/>
    <s v="Sale"/>
    <n v="0"/>
  </r>
  <r>
    <x v="503"/>
    <n v="1830197"/>
    <d v="2026-02-05T00:00:00"/>
    <s v="Sale"/>
    <n v="0.1"/>
  </r>
  <r>
    <x v="504"/>
    <n v="1830197"/>
    <d v="2026-02-05T00:00:00"/>
    <s v="Sale"/>
    <n v="0"/>
  </r>
  <r>
    <x v="505"/>
    <n v="1830197"/>
    <d v="2026-02-05T00:00:00"/>
    <s v="Sale"/>
    <n v="0"/>
  </r>
  <r>
    <x v="506"/>
    <n v="1830197"/>
    <d v="2026-02-05T00:00:00"/>
    <s v="Sale"/>
    <n v="0"/>
  </r>
  <r>
    <x v="507"/>
    <n v="1830197"/>
    <d v="2026-02-05T00:00:00"/>
    <s v="Sale"/>
    <n v="0"/>
  </r>
  <r>
    <x v="508"/>
    <n v="1830197"/>
    <d v="2026-02-05T00:00:00"/>
    <s v="Sale"/>
    <n v="0"/>
  </r>
  <r>
    <x v="509"/>
    <n v="1830197"/>
    <d v="2026-02-05T00:00:00"/>
    <s v="Sale"/>
    <n v="0"/>
  </r>
  <r>
    <x v="510"/>
    <n v="1830197"/>
    <d v="2026-02-05T00:00:00"/>
    <s v="Sale"/>
    <n v="0"/>
  </r>
  <r>
    <x v="511"/>
    <n v="1830197"/>
    <d v="2026-02-05T00:00:00"/>
    <s v="Sale"/>
    <n v="0"/>
  </r>
  <r>
    <x v="512"/>
    <n v="1830197"/>
    <d v="2026-02-05T00:00:00"/>
    <s v="Sale"/>
    <n v="0"/>
  </r>
  <r>
    <x v="513"/>
    <n v="1830197"/>
    <d v="2026-02-05T00:00:00"/>
    <s v="Sale"/>
    <n v="0"/>
  </r>
  <r>
    <x v="514"/>
    <n v="1830197"/>
    <d v="2026-02-05T00:00:00"/>
    <s v="Sale"/>
    <n v="0"/>
  </r>
  <r>
    <x v="515"/>
    <n v="1830197"/>
    <d v="2026-02-05T00:00:00"/>
    <s v="Sale"/>
    <n v="0"/>
  </r>
  <r>
    <x v="516"/>
    <n v="1830197"/>
    <d v="2026-02-05T00:00:00"/>
    <s v="Sale"/>
    <n v="0"/>
  </r>
  <r>
    <x v="517"/>
    <n v="1830197"/>
    <d v="2026-02-05T00:00:00"/>
    <s v="Sale"/>
    <n v="0"/>
  </r>
  <r>
    <x v="518"/>
    <n v="1830197"/>
    <d v="2026-02-05T00:00:00"/>
    <s v="Sale"/>
    <n v="0"/>
  </r>
  <r>
    <x v="519"/>
    <n v="1830197"/>
    <d v="2026-02-05T00:00:00"/>
    <s v="Sale"/>
    <n v="0"/>
  </r>
  <r>
    <x v="520"/>
    <n v="1830197"/>
    <d v="2026-02-05T00:00:00"/>
    <s v="Sale"/>
    <n v="0"/>
  </r>
  <r>
    <x v="521"/>
    <n v="1830197"/>
    <d v="2026-02-05T00:00:00"/>
    <s v="Sale"/>
    <n v="0"/>
  </r>
  <r>
    <x v="522"/>
    <n v="1830197"/>
    <d v="2026-02-05T00:00:00"/>
    <s v="Sale"/>
    <n v="0"/>
  </r>
  <r>
    <x v="0"/>
    <n v="1830197"/>
    <d v="2026-02-06T00:00:00"/>
    <s v="Sale"/>
    <n v="580"/>
  </r>
  <r>
    <x v="1"/>
    <n v="1830197"/>
    <d v="2026-02-06T00:00:00"/>
    <s v="Sale"/>
    <n v="109"/>
  </r>
  <r>
    <x v="2"/>
    <n v="1830197"/>
    <d v="2026-02-06T00:00:00"/>
    <s v="Sale"/>
    <n v="168"/>
  </r>
  <r>
    <x v="3"/>
    <n v="1830197"/>
    <d v="2026-02-06T00:00:00"/>
    <s v="Sale"/>
    <n v="628"/>
  </r>
  <r>
    <x v="4"/>
    <n v="1830197"/>
    <d v="2026-02-06T00:00:00"/>
    <s v="Sale"/>
    <n v="248"/>
  </r>
  <r>
    <x v="5"/>
    <n v="1830197"/>
    <d v="2026-02-06T00:00:00"/>
    <s v="Sale"/>
    <n v="18"/>
  </r>
  <r>
    <x v="6"/>
    <n v="1830197"/>
    <d v="2026-02-06T00:00:00"/>
    <s v="Sale"/>
    <n v="233"/>
  </r>
  <r>
    <x v="7"/>
    <n v="1830197"/>
    <d v="2026-02-06T00:00:00"/>
    <s v="Sale"/>
    <n v="0"/>
  </r>
  <r>
    <x v="8"/>
    <n v="1830197"/>
    <d v="2026-02-06T00:00:00"/>
    <s v="Sale"/>
    <n v="0"/>
  </r>
  <r>
    <x v="9"/>
    <n v="1830197"/>
    <d v="2026-02-06T00:00:00"/>
    <s v="Sale"/>
    <n v="4.2699999999999996"/>
  </r>
  <r>
    <x v="10"/>
    <n v="1830197"/>
    <d v="2026-02-06T00:00:00"/>
    <s v="Sale"/>
    <n v="18"/>
  </r>
  <r>
    <x v="11"/>
    <n v="1830197"/>
    <d v="2026-02-06T00:00:00"/>
    <s v="Sale"/>
    <n v="704"/>
  </r>
  <r>
    <x v="12"/>
    <n v="1830197"/>
    <d v="2026-02-06T00:00:00"/>
    <s v="Sale"/>
    <n v="58.79"/>
  </r>
  <r>
    <x v="13"/>
    <n v="1830197"/>
    <d v="2026-02-06T00:00:00"/>
    <s v="Sale"/>
    <n v="378"/>
  </r>
  <r>
    <x v="14"/>
    <n v="1830197"/>
    <d v="2026-02-06T00:00:00"/>
    <s v="Sale"/>
    <n v="7.71"/>
  </r>
  <r>
    <x v="15"/>
    <n v="1830197"/>
    <d v="2026-02-06T00:00:00"/>
    <s v="Sale"/>
    <n v="138"/>
  </r>
  <r>
    <x v="16"/>
    <n v="1830197"/>
    <d v="2026-02-06T00:00:00"/>
    <s v="Sale"/>
    <n v="0.02"/>
  </r>
  <r>
    <x v="17"/>
    <n v="1830197"/>
    <d v="2026-02-06T00:00:00"/>
    <s v="Sale"/>
    <n v="0"/>
  </r>
  <r>
    <x v="18"/>
    <n v="1830197"/>
    <d v="2026-02-06T00:00:00"/>
    <s v="Sale"/>
    <n v="0"/>
  </r>
  <r>
    <x v="19"/>
    <n v="1830197"/>
    <d v="2026-02-06T00:00:00"/>
    <s v="Sale"/>
    <n v="0"/>
  </r>
  <r>
    <x v="20"/>
    <n v="1830197"/>
    <d v="2026-02-06T00:00:00"/>
    <s v="Sale"/>
    <n v="4799"/>
  </r>
  <r>
    <x v="21"/>
    <n v="1830197"/>
    <d v="2026-02-06T00:00:00"/>
    <s v="Sale"/>
    <n v="0"/>
  </r>
  <r>
    <x v="22"/>
    <n v="1830197"/>
    <d v="2026-02-06T00:00:00"/>
    <s v="Sale"/>
    <n v="221"/>
  </r>
  <r>
    <x v="23"/>
    <n v="1830197"/>
    <d v="2026-02-06T00:00:00"/>
    <s v="Sale"/>
    <n v="2.93"/>
  </r>
  <r>
    <x v="24"/>
    <n v="1830197"/>
    <d v="2026-02-06T00:00:00"/>
    <s v="Sale"/>
    <n v="1.06"/>
  </r>
  <r>
    <x v="25"/>
    <n v="1830197"/>
    <d v="2026-02-06T00:00:00"/>
    <s v="Sale"/>
    <n v="0"/>
  </r>
  <r>
    <x v="26"/>
    <n v="1830197"/>
    <d v="2026-02-06T00:00:00"/>
    <s v="Sale"/>
    <n v="0"/>
  </r>
  <r>
    <x v="27"/>
    <n v="1830197"/>
    <d v="2026-02-06T00:00:00"/>
    <s v="Sale"/>
    <n v="11"/>
  </r>
  <r>
    <x v="28"/>
    <n v="1830197"/>
    <d v="2026-02-06T00:00:00"/>
    <s v="Sale"/>
    <n v="0"/>
  </r>
  <r>
    <x v="29"/>
    <n v="1830197"/>
    <d v="2026-02-06T00:00:00"/>
    <s v="Sale"/>
    <n v="5"/>
  </r>
  <r>
    <x v="30"/>
    <n v="1830197"/>
    <d v="2026-02-06T00:00:00"/>
    <s v="Sale"/>
    <n v="5"/>
  </r>
  <r>
    <x v="31"/>
    <n v="1830197"/>
    <d v="2026-02-06T00:00:00"/>
    <s v="Sale"/>
    <n v="22"/>
  </r>
  <r>
    <x v="32"/>
    <n v="1830197"/>
    <d v="2026-02-06T00:00:00"/>
    <s v="Sale"/>
    <n v="111"/>
  </r>
  <r>
    <x v="33"/>
    <n v="1830197"/>
    <d v="2026-02-06T00:00:00"/>
    <s v="Sale"/>
    <n v="5"/>
  </r>
  <r>
    <x v="34"/>
    <n v="1830197"/>
    <d v="2026-02-06T00:00:00"/>
    <s v="Sale"/>
    <n v="0"/>
  </r>
  <r>
    <x v="35"/>
    <n v="1830197"/>
    <d v="2026-02-06T00:00:00"/>
    <s v="Sale"/>
    <n v="6"/>
  </r>
  <r>
    <x v="36"/>
    <n v="1830197"/>
    <d v="2026-02-06T00:00:00"/>
    <s v="Sale"/>
    <n v="0"/>
  </r>
  <r>
    <x v="37"/>
    <n v="1830197"/>
    <d v="2026-02-06T00:00:00"/>
    <s v="Sale"/>
    <n v="0"/>
  </r>
  <r>
    <x v="38"/>
    <n v="1830197"/>
    <d v="2026-02-06T00:00:00"/>
    <s v="Sale"/>
    <n v="75"/>
  </r>
  <r>
    <x v="39"/>
    <n v="1830197"/>
    <d v="2026-02-06T00:00:00"/>
    <s v="Sale"/>
    <n v="0"/>
  </r>
  <r>
    <x v="40"/>
    <n v="1830197"/>
    <d v="2026-02-06T00:00:00"/>
    <s v="Sale"/>
    <n v="8"/>
  </r>
  <r>
    <x v="41"/>
    <n v="1830197"/>
    <d v="2026-02-06T00:00:00"/>
    <s v="Sale"/>
    <n v="92"/>
  </r>
  <r>
    <x v="42"/>
    <n v="1830197"/>
    <d v="2026-02-06T00:00:00"/>
    <s v="Sale"/>
    <n v="29"/>
  </r>
  <r>
    <x v="43"/>
    <n v="1830197"/>
    <d v="2026-02-06T00:00:00"/>
    <s v="Sale"/>
    <n v="78"/>
  </r>
  <r>
    <x v="44"/>
    <n v="1830197"/>
    <d v="2026-02-06T00:00:00"/>
    <s v="Sale"/>
    <n v="194"/>
  </r>
  <r>
    <x v="45"/>
    <n v="1830197"/>
    <d v="2026-02-06T00:00:00"/>
    <s v="Sale"/>
    <n v="881"/>
  </r>
  <r>
    <x v="46"/>
    <n v="1830197"/>
    <d v="2026-02-06T00:00:00"/>
    <s v="Sale"/>
    <n v="0"/>
  </r>
  <r>
    <x v="47"/>
    <n v="1830197"/>
    <d v="2026-02-06T00:00:00"/>
    <s v="Sale"/>
    <n v="314"/>
  </r>
  <r>
    <x v="48"/>
    <n v="1830197"/>
    <d v="2026-02-06T00:00:00"/>
    <s v="Sale"/>
    <n v="0"/>
  </r>
  <r>
    <x v="49"/>
    <n v="1830197"/>
    <d v="2026-02-06T00:00:00"/>
    <s v="Sale"/>
    <n v="0"/>
  </r>
  <r>
    <x v="50"/>
    <n v="1830197"/>
    <d v="2026-02-06T00:00:00"/>
    <s v="Sale"/>
    <n v="0"/>
  </r>
  <r>
    <x v="51"/>
    <n v="1830197"/>
    <d v="2026-02-06T00:00:00"/>
    <s v="Sale"/>
    <n v="0"/>
  </r>
  <r>
    <x v="52"/>
    <n v="1830197"/>
    <d v="2026-02-06T00:00:00"/>
    <s v="Sale"/>
    <n v="0"/>
  </r>
  <r>
    <x v="53"/>
    <n v="1830197"/>
    <d v="2026-02-06T00:00:00"/>
    <s v="Sale"/>
    <n v="194"/>
  </r>
  <r>
    <x v="54"/>
    <n v="1830197"/>
    <d v="2026-02-06T00:00:00"/>
    <s v="Sale"/>
    <n v="366"/>
  </r>
  <r>
    <x v="55"/>
    <n v="1830197"/>
    <d v="2026-02-06T00:00:00"/>
    <s v="Sale"/>
    <n v="23"/>
  </r>
  <r>
    <x v="56"/>
    <n v="1830197"/>
    <d v="2026-02-06T00:00:00"/>
    <s v="Sale"/>
    <n v="13"/>
  </r>
  <r>
    <x v="57"/>
    <n v="1830197"/>
    <d v="2026-02-06T00:00:00"/>
    <s v="Sale"/>
    <n v="0"/>
  </r>
  <r>
    <x v="58"/>
    <n v="1830197"/>
    <d v="2026-02-06T00:00:00"/>
    <s v="Sale"/>
    <n v="14"/>
  </r>
  <r>
    <x v="59"/>
    <n v="1830197"/>
    <d v="2026-02-06T00:00:00"/>
    <s v="Sale"/>
    <n v="8313"/>
  </r>
  <r>
    <x v="60"/>
    <n v="1830197"/>
    <d v="2026-02-06T00:00:00"/>
    <s v="Sale"/>
    <n v="0"/>
  </r>
  <r>
    <x v="61"/>
    <n v="1830197"/>
    <d v="2026-02-06T00:00:00"/>
    <s v="Sale"/>
    <n v="24"/>
  </r>
  <r>
    <x v="62"/>
    <n v="1830197"/>
    <d v="2026-02-06T00:00:00"/>
    <s v="Sale"/>
    <n v="0"/>
  </r>
  <r>
    <x v="63"/>
    <n v="1830197"/>
    <d v="2026-02-06T00:00:00"/>
    <s v="Sale"/>
    <n v="3"/>
  </r>
  <r>
    <x v="64"/>
    <n v="1830197"/>
    <d v="2026-02-06T00:00:00"/>
    <s v="Sale"/>
    <n v="1442"/>
  </r>
  <r>
    <x v="65"/>
    <n v="1830197"/>
    <d v="2026-02-06T00:00:00"/>
    <s v="Sale"/>
    <n v="0"/>
  </r>
  <r>
    <x v="66"/>
    <n v="1830197"/>
    <d v="2026-02-06T00:00:00"/>
    <s v="Sale"/>
    <n v="8.59"/>
  </r>
  <r>
    <x v="67"/>
    <n v="1830197"/>
    <d v="2026-02-06T00:00:00"/>
    <s v="Sale"/>
    <n v="11"/>
  </r>
  <r>
    <x v="68"/>
    <n v="1830197"/>
    <d v="2026-02-06T00:00:00"/>
    <s v="Sale"/>
    <n v="17"/>
  </r>
  <r>
    <x v="69"/>
    <n v="1830197"/>
    <d v="2026-02-06T00:00:00"/>
    <s v="Sale"/>
    <n v="0"/>
  </r>
  <r>
    <x v="70"/>
    <n v="1830197"/>
    <d v="2026-02-06T00:00:00"/>
    <s v="Sale"/>
    <n v="54"/>
  </r>
  <r>
    <x v="71"/>
    <n v="1830197"/>
    <d v="2026-02-06T00:00:00"/>
    <s v="Sale"/>
    <n v="66"/>
  </r>
  <r>
    <x v="72"/>
    <n v="1830197"/>
    <d v="2026-02-06T00:00:00"/>
    <s v="Sale"/>
    <n v="12"/>
  </r>
  <r>
    <x v="73"/>
    <n v="1830197"/>
    <d v="2026-02-06T00:00:00"/>
    <s v="Sale"/>
    <n v="40"/>
  </r>
  <r>
    <x v="74"/>
    <n v="1830197"/>
    <d v="2026-02-06T00:00:00"/>
    <s v="Sale"/>
    <n v="46"/>
  </r>
  <r>
    <x v="75"/>
    <n v="1830197"/>
    <d v="2026-02-06T00:00:00"/>
    <s v="Sale"/>
    <n v="0"/>
  </r>
  <r>
    <x v="76"/>
    <n v="1830197"/>
    <d v="2026-02-06T00:00:00"/>
    <s v="Sale"/>
    <n v="33"/>
  </r>
  <r>
    <x v="77"/>
    <n v="1830197"/>
    <d v="2026-02-06T00:00:00"/>
    <s v="Sale"/>
    <n v="0"/>
  </r>
  <r>
    <x v="78"/>
    <n v="1830197"/>
    <d v="2026-02-06T00:00:00"/>
    <s v="Sale"/>
    <n v="0"/>
  </r>
  <r>
    <x v="79"/>
    <n v="1830197"/>
    <d v="2026-02-06T00:00:00"/>
    <s v="Sale"/>
    <n v="11"/>
  </r>
  <r>
    <x v="80"/>
    <n v="1830197"/>
    <d v="2026-02-06T00:00:00"/>
    <s v="Sale"/>
    <n v="17"/>
  </r>
  <r>
    <x v="81"/>
    <n v="1830197"/>
    <d v="2026-02-06T00:00:00"/>
    <s v="Sale"/>
    <n v="0"/>
  </r>
  <r>
    <x v="82"/>
    <n v="1830197"/>
    <d v="2026-02-06T00:00:00"/>
    <s v="Sale"/>
    <n v="0"/>
  </r>
  <r>
    <x v="83"/>
    <n v="1830197"/>
    <d v="2026-02-06T00:00:00"/>
    <s v="Sale"/>
    <n v="4"/>
  </r>
  <r>
    <x v="84"/>
    <n v="1830197"/>
    <d v="2026-02-06T00:00:00"/>
    <s v="Sale"/>
    <n v="138"/>
  </r>
  <r>
    <x v="85"/>
    <n v="1830197"/>
    <d v="2026-02-06T00:00:00"/>
    <s v="Sale"/>
    <n v="0"/>
  </r>
  <r>
    <x v="86"/>
    <n v="1830197"/>
    <d v="2026-02-06T00:00:00"/>
    <s v="Sale"/>
    <n v="0"/>
  </r>
  <r>
    <x v="87"/>
    <n v="1830197"/>
    <d v="2026-02-06T00:00:00"/>
    <s v="Sale"/>
    <n v="0"/>
  </r>
  <r>
    <x v="88"/>
    <n v="1830197"/>
    <d v="2026-02-06T00:00:00"/>
    <s v="Sale"/>
    <n v="0"/>
  </r>
  <r>
    <x v="89"/>
    <n v="1830197"/>
    <d v="2026-02-06T00:00:00"/>
    <s v="Sale"/>
    <n v="0.3"/>
  </r>
  <r>
    <x v="90"/>
    <n v="1830197"/>
    <d v="2026-02-06T00:00:00"/>
    <s v="Sale"/>
    <n v="1697"/>
  </r>
  <r>
    <x v="91"/>
    <n v="1830197"/>
    <d v="2026-02-06T00:00:00"/>
    <s v="Sale"/>
    <n v="181"/>
  </r>
  <r>
    <x v="92"/>
    <n v="1830197"/>
    <d v="2026-02-06T00:00:00"/>
    <s v="Sale"/>
    <n v="0"/>
  </r>
  <r>
    <x v="93"/>
    <n v="1830197"/>
    <d v="2026-02-06T00:00:00"/>
    <s v="Sale"/>
    <n v="0"/>
  </r>
  <r>
    <x v="94"/>
    <n v="1830197"/>
    <d v="2026-02-06T00:00:00"/>
    <s v="Sale"/>
    <n v="500"/>
  </r>
  <r>
    <x v="95"/>
    <n v="1830197"/>
    <d v="2026-02-06T00:00:00"/>
    <s v="Sale"/>
    <n v="0"/>
  </r>
  <r>
    <x v="96"/>
    <n v="1830197"/>
    <d v="2026-02-06T00:00:00"/>
    <s v="Sale"/>
    <n v="212"/>
  </r>
  <r>
    <x v="97"/>
    <n v="1830197"/>
    <d v="2026-02-06T00:00:00"/>
    <s v="Sale"/>
    <n v="45"/>
  </r>
  <r>
    <x v="98"/>
    <n v="1830197"/>
    <d v="2026-02-06T00:00:00"/>
    <s v="Sale"/>
    <n v="115"/>
  </r>
  <r>
    <x v="99"/>
    <n v="1830197"/>
    <d v="2026-02-06T00:00:00"/>
    <s v="Sale"/>
    <n v="262"/>
  </r>
  <r>
    <x v="100"/>
    <n v="1830197"/>
    <d v="2026-02-06T00:00:00"/>
    <s v="Sale"/>
    <n v="6"/>
  </r>
  <r>
    <x v="101"/>
    <n v="1830197"/>
    <d v="2026-02-06T00:00:00"/>
    <s v="Sale"/>
    <n v="0"/>
  </r>
  <r>
    <x v="102"/>
    <n v="1830197"/>
    <d v="2026-02-06T00:00:00"/>
    <s v="Sale"/>
    <n v="91"/>
  </r>
  <r>
    <x v="103"/>
    <n v="1830197"/>
    <d v="2026-02-06T00:00:00"/>
    <s v="Sale"/>
    <n v="0"/>
  </r>
  <r>
    <x v="104"/>
    <n v="1830197"/>
    <d v="2026-02-06T00:00:00"/>
    <s v="Sale"/>
    <n v="0"/>
  </r>
  <r>
    <x v="105"/>
    <n v="1830197"/>
    <d v="2026-02-06T00:00:00"/>
    <s v="Sale"/>
    <n v="24"/>
  </r>
  <r>
    <x v="106"/>
    <n v="1830197"/>
    <d v="2026-02-06T00:00:00"/>
    <s v="Sale"/>
    <n v="524"/>
  </r>
  <r>
    <x v="107"/>
    <n v="1830197"/>
    <d v="2026-02-06T00:00:00"/>
    <s v="Sale"/>
    <n v="0"/>
  </r>
  <r>
    <x v="108"/>
    <n v="1830197"/>
    <d v="2026-02-06T00:00:00"/>
    <s v="Sale"/>
    <n v="0"/>
  </r>
  <r>
    <x v="109"/>
    <n v="1830197"/>
    <d v="2026-02-06T00:00:00"/>
    <s v="Sale"/>
    <n v="0"/>
  </r>
  <r>
    <x v="110"/>
    <n v="1830197"/>
    <d v="2026-02-06T00:00:00"/>
    <s v="Sale"/>
    <n v="0"/>
  </r>
  <r>
    <x v="111"/>
    <n v="1830197"/>
    <d v="2026-02-06T00:00:00"/>
    <s v="Sale"/>
    <n v="0"/>
  </r>
  <r>
    <x v="112"/>
    <n v="1830197"/>
    <d v="2026-02-06T00:00:00"/>
    <s v="Sale"/>
    <n v="0"/>
  </r>
  <r>
    <x v="113"/>
    <n v="1830197"/>
    <d v="2026-02-06T00:00:00"/>
    <s v="Sale"/>
    <n v="1.97"/>
  </r>
  <r>
    <x v="114"/>
    <n v="1830197"/>
    <d v="2026-02-06T00:00:00"/>
    <s v="Sale"/>
    <n v="35"/>
  </r>
  <r>
    <x v="115"/>
    <n v="1830197"/>
    <d v="2026-02-06T00:00:00"/>
    <s v="Sale"/>
    <n v="77"/>
  </r>
  <r>
    <x v="116"/>
    <n v="1830197"/>
    <d v="2026-02-06T00:00:00"/>
    <s v="Sale"/>
    <n v="0"/>
  </r>
  <r>
    <x v="117"/>
    <n v="1830197"/>
    <d v="2026-02-06T00:00:00"/>
    <s v="Sale"/>
    <n v="0"/>
  </r>
  <r>
    <x v="118"/>
    <n v="1830197"/>
    <d v="2026-02-06T00:00:00"/>
    <s v="Sale"/>
    <n v="565"/>
  </r>
  <r>
    <x v="119"/>
    <n v="1830197"/>
    <d v="2026-02-06T00:00:00"/>
    <s v="Sale"/>
    <n v="73"/>
  </r>
  <r>
    <x v="120"/>
    <n v="1830197"/>
    <d v="2026-02-06T00:00:00"/>
    <s v="Sale"/>
    <n v="35"/>
  </r>
  <r>
    <x v="121"/>
    <n v="1830197"/>
    <d v="2026-02-06T00:00:00"/>
    <s v="Sale"/>
    <n v="0"/>
  </r>
  <r>
    <x v="122"/>
    <n v="1830197"/>
    <d v="2026-02-06T00:00:00"/>
    <s v="Sale"/>
    <n v="237"/>
  </r>
  <r>
    <x v="123"/>
    <n v="1830197"/>
    <d v="2026-02-06T00:00:00"/>
    <s v="Sale"/>
    <n v="0"/>
  </r>
  <r>
    <x v="124"/>
    <n v="1830197"/>
    <d v="2026-02-06T00:00:00"/>
    <s v="Sale"/>
    <n v="0"/>
  </r>
  <r>
    <x v="125"/>
    <n v="1830197"/>
    <d v="2026-02-06T00:00:00"/>
    <s v="Sale"/>
    <n v="0"/>
  </r>
  <r>
    <x v="126"/>
    <n v="1830197"/>
    <d v="2026-02-06T00:00:00"/>
    <s v="Sale"/>
    <n v="0"/>
  </r>
  <r>
    <x v="127"/>
    <n v="1830197"/>
    <d v="2026-02-06T00:00:00"/>
    <s v="Sale"/>
    <n v="125"/>
  </r>
  <r>
    <x v="128"/>
    <n v="1830197"/>
    <d v="2026-02-06T00:00:00"/>
    <s v="Sale"/>
    <n v="0"/>
  </r>
  <r>
    <x v="129"/>
    <n v="1830197"/>
    <d v="2026-02-06T00:00:00"/>
    <s v="Sale"/>
    <n v="0.14000000000000001"/>
  </r>
  <r>
    <x v="130"/>
    <n v="1830197"/>
    <d v="2026-02-06T00:00:00"/>
    <s v="Sale"/>
    <n v="1"/>
  </r>
  <r>
    <x v="131"/>
    <n v="1830197"/>
    <d v="2026-02-06T00:00:00"/>
    <s v="Sale"/>
    <n v="875"/>
  </r>
  <r>
    <x v="132"/>
    <n v="1830197"/>
    <d v="2026-02-06T00:00:00"/>
    <s v="Sale"/>
    <n v="0"/>
  </r>
  <r>
    <x v="133"/>
    <n v="1830197"/>
    <d v="2026-02-06T00:00:00"/>
    <s v="Sale"/>
    <n v="0"/>
  </r>
  <r>
    <x v="134"/>
    <n v="1830197"/>
    <d v="2026-02-06T00:00:00"/>
    <s v="Sale"/>
    <n v="0"/>
  </r>
  <r>
    <x v="135"/>
    <n v="1830197"/>
    <d v="2026-02-06T00:00:00"/>
    <s v="Sale"/>
    <n v="0"/>
  </r>
  <r>
    <x v="136"/>
    <n v="1830197"/>
    <d v="2026-02-06T00:00:00"/>
    <s v="Sale"/>
    <n v="0"/>
  </r>
  <r>
    <x v="137"/>
    <n v="1830197"/>
    <d v="2026-02-06T00:00:00"/>
    <s v="Sale"/>
    <n v="0"/>
  </r>
  <r>
    <x v="138"/>
    <n v="1830197"/>
    <d v="2026-02-06T00:00:00"/>
    <s v="Sale"/>
    <n v="0"/>
  </r>
  <r>
    <x v="139"/>
    <n v="1830197"/>
    <d v="2026-02-06T00:00:00"/>
    <s v="Sale"/>
    <n v="0"/>
  </r>
  <r>
    <x v="140"/>
    <n v="1830197"/>
    <d v="2026-02-06T00:00:00"/>
    <s v="Sale"/>
    <n v="0"/>
  </r>
  <r>
    <x v="141"/>
    <n v="1830197"/>
    <d v="2026-02-06T00:00:00"/>
    <s v="Sale"/>
    <n v="0"/>
  </r>
  <r>
    <x v="142"/>
    <n v="1830197"/>
    <d v="2026-02-06T00:00:00"/>
    <s v="Sale"/>
    <n v="8"/>
  </r>
  <r>
    <x v="143"/>
    <n v="1830197"/>
    <d v="2026-02-06T00:00:00"/>
    <s v="Sale"/>
    <n v="10"/>
  </r>
  <r>
    <x v="144"/>
    <n v="1830197"/>
    <d v="2026-02-06T00:00:00"/>
    <s v="Sale"/>
    <n v="8.58"/>
  </r>
  <r>
    <x v="145"/>
    <n v="1830197"/>
    <d v="2026-02-06T00:00:00"/>
    <s v="Sale"/>
    <n v="0"/>
  </r>
  <r>
    <x v="146"/>
    <n v="1830197"/>
    <d v="2026-02-06T00:00:00"/>
    <s v="Sale"/>
    <n v="0"/>
  </r>
  <r>
    <x v="147"/>
    <n v="1830197"/>
    <d v="2026-02-06T00:00:00"/>
    <s v="Sale"/>
    <n v="0"/>
  </r>
  <r>
    <x v="148"/>
    <n v="1830197"/>
    <d v="2026-02-06T00:00:00"/>
    <s v="Sale"/>
    <n v="14"/>
  </r>
  <r>
    <x v="149"/>
    <n v="1830197"/>
    <d v="2026-02-06T00:00:00"/>
    <s v="Sale"/>
    <n v="308"/>
  </r>
  <r>
    <x v="150"/>
    <n v="1830197"/>
    <d v="2026-02-06T00:00:00"/>
    <s v="Sale"/>
    <n v="12"/>
  </r>
  <r>
    <x v="151"/>
    <n v="1830197"/>
    <d v="2026-02-06T00:00:00"/>
    <s v="Sale"/>
    <n v="0"/>
  </r>
  <r>
    <x v="152"/>
    <n v="1830197"/>
    <d v="2026-02-06T00:00:00"/>
    <s v="Sale"/>
    <n v="0"/>
  </r>
  <r>
    <x v="153"/>
    <n v="1830197"/>
    <d v="2026-02-06T00:00:00"/>
    <s v="Sale"/>
    <n v="10"/>
  </r>
  <r>
    <x v="154"/>
    <n v="1830197"/>
    <d v="2026-02-06T00:00:00"/>
    <s v="Sale"/>
    <n v="0.1"/>
  </r>
  <r>
    <x v="155"/>
    <n v="1830197"/>
    <d v="2026-02-06T00:00:00"/>
    <s v="Sale"/>
    <n v="-2.19"/>
  </r>
  <r>
    <x v="156"/>
    <n v="1830197"/>
    <d v="2026-02-06T00:00:00"/>
    <s v="Sale"/>
    <n v="0"/>
  </r>
  <r>
    <x v="157"/>
    <n v="1830197"/>
    <d v="2026-02-06T00:00:00"/>
    <s v="Sale"/>
    <n v="0"/>
  </r>
  <r>
    <x v="158"/>
    <n v="1830197"/>
    <d v="2026-02-06T00:00:00"/>
    <s v="Sale"/>
    <n v="0"/>
  </r>
  <r>
    <x v="159"/>
    <n v="1830197"/>
    <d v="2026-02-06T00:00:00"/>
    <s v="Sale"/>
    <n v="11.33"/>
  </r>
  <r>
    <x v="160"/>
    <n v="1830197"/>
    <d v="2026-02-06T00:00:00"/>
    <s v="Sale"/>
    <n v="0"/>
  </r>
  <r>
    <x v="161"/>
    <n v="1830197"/>
    <d v="2026-02-06T00:00:00"/>
    <s v="Sale"/>
    <n v="0"/>
  </r>
  <r>
    <x v="162"/>
    <n v="1830197"/>
    <d v="2026-02-06T00:00:00"/>
    <s v="Sale"/>
    <n v="6"/>
  </r>
  <r>
    <x v="163"/>
    <n v="1830197"/>
    <d v="2026-02-06T00:00:00"/>
    <s v="Sale"/>
    <n v="0"/>
  </r>
  <r>
    <x v="164"/>
    <n v="1830197"/>
    <d v="2026-02-06T00:00:00"/>
    <s v="Sale"/>
    <n v="0"/>
  </r>
  <r>
    <x v="165"/>
    <n v="1830197"/>
    <d v="2026-02-06T00:00:00"/>
    <s v="Sale"/>
    <n v="0"/>
  </r>
  <r>
    <x v="166"/>
    <n v="1830197"/>
    <d v="2026-02-06T00:00:00"/>
    <s v="Sale"/>
    <n v="0"/>
  </r>
  <r>
    <x v="167"/>
    <n v="1830197"/>
    <d v="2026-02-06T00:00:00"/>
    <s v="Sale"/>
    <n v="0"/>
  </r>
  <r>
    <x v="168"/>
    <n v="1830197"/>
    <d v="2026-02-06T00:00:00"/>
    <s v="Sale"/>
    <n v="0"/>
  </r>
  <r>
    <x v="169"/>
    <n v="1830197"/>
    <d v="2026-02-06T00:00:00"/>
    <s v="Sale"/>
    <n v="0.14000000000000001"/>
  </r>
  <r>
    <x v="170"/>
    <n v="1830197"/>
    <d v="2026-02-06T00:00:00"/>
    <s v="Sale"/>
    <n v="0"/>
  </r>
  <r>
    <x v="171"/>
    <n v="1830197"/>
    <d v="2026-02-06T00:00:00"/>
    <s v="Sale"/>
    <n v="43"/>
  </r>
  <r>
    <x v="172"/>
    <n v="1830197"/>
    <d v="2026-02-06T00:00:00"/>
    <s v="Sale"/>
    <n v="311"/>
  </r>
  <r>
    <x v="173"/>
    <n v="1830197"/>
    <d v="2026-02-06T00:00:00"/>
    <s v="Sale"/>
    <n v="0"/>
  </r>
  <r>
    <x v="174"/>
    <n v="1830197"/>
    <d v="2026-02-06T00:00:00"/>
    <s v="Sale"/>
    <n v="0"/>
  </r>
  <r>
    <x v="175"/>
    <n v="1830197"/>
    <d v="2026-02-06T00:00:00"/>
    <s v="Sale"/>
    <n v="155"/>
  </r>
  <r>
    <x v="176"/>
    <n v="1830197"/>
    <d v="2026-02-06T00:00:00"/>
    <s v="Sale"/>
    <n v="262"/>
  </r>
  <r>
    <x v="177"/>
    <n v="1830197"/>
    <d v="2026-02-06T00:00:00"/>
    <s v="Sale"/>
    <n v="0"/>
  </r>
  <r>
    <x v="178"/>
    <n v="1830197"/>
    <d v="2026-02-06T00:00:00"/>
    <s v="Sale"/>
    <n v="87"/>
  </r>
  <r>
    <x v="179"/>
    <n v="1830197"/>
    <d v="2026-02-06T00:00:00"/>
    <s v="Sale"/>
    <n v="0.2"/>
  </r>
  <r>
    <x v="180"/>
    <n v="1830197"/>
    <d v="2026-02-06T00:00:00"/>
    <s v="Sale"/>
    <n v="0"/>
  </r>
  <r>
    <x v="181"/>
    <n v="1830197"/>
    <d v="2026-02-06T00:00:00"/>
    <s v="Sale"/>
    <n v="1.8"/>
  </r>
  <r>
    <x v="182"/>
    <n v="1830197"/>
    <d v="2026-02-06T00:00:00"/>
    <s v="Sale"/>
    <n v="0"/>
  </r>
  <r>
    <x v="183"/>
    <n v="1830197"/>
    <d v="2026-02-06T00:00:00"/>
    <s v="Sale"/>
    <n v="0"/>
  </r>
  <r>
    <x v="184"/>
    <n v="1830197"/>
    <d v="2026-02-06T00:00:00"/>
    <s v="Sale"/>
    <n v="0"/>
  </r>
  <r>
    <x v="185"/>
    <n v="1830197"/>
    <d v="2026-02-06T00:00:00"/>
    <s v="Sale"/>
    <n v="17"/>
  </r>
  <r>
    <x v="186"/>
    <n v="1830197"/>
    <d v="2026-02-06T00:00:00"/>
    <s v="Sale"/>
    <n v="93"/>
  </r>
  <r>
    <x v="187"/>
    <n v="1830197"/>
    <d v="2026-02-06T00:00:00"/>
    <s v="Sale"/>
    <n v="225"/>
  </r>
  <r>
    <x v="188"/>
    <n v="1830197"/>
    <d v="2026-02-06T00:00:00"/>
    <s v="Sale"/>
    <n v="0"/>
  </r>
  <r>
    <x v="189"/>
    <n v="1830197"/>
    <d v="2026-02-06T00:00:00"/>
    <s v="Sale"/>
    <n v="0"/>
  </r>
  <r>
    <x v="190"/>
    <n v="1830197"/>
    <d v="2026-02-06T00:00:00"/>
    <s v="Sale"/>
    <n v="19"/>
  </r>
  <r>
    <x v="191"/>
    <n v="1830197"/>
    <d v="2026-02-06T00:00:00"/>
    <s v="Sale"/>
    <n v="1.38"/>
  </r>
  <r>
    <x v="192"/>
    <n v="1830197"/>
    <d v="2026-02-06T00:00:00"/>
    <s v="Sale"/>
    <n v="0"/>
  </r>
  <r>
    <x v="193"/>
    <n v="1830197"/>
    <d v="2026-02-06T00:00:00"/>
    <s v="Sale"/>
    <n v="0"/>
  </r>
  <r>
    <x v="194"/>
    <n v="1830197"/>
    <d v="2026-02-06T00:00:00"/>
    <s v="Sale"/>
    <n v="0"/>
  </r>
  <r>
    <x v="195"/>
    <n v="1830197"/>
    <d v="2026-02-06T00:00:00"/>
    <s v="Sale"/>
    <n v="0"/>
  </r>
  <r>
    <x v="196"/>
    <n v="1830197"/>
    <d v="2026-02-06T00:00:00"/>
    <s v="Sale"/>
    <n v="0"/>
  </r>
  <r>
    <x v="197"/>
    <n v="1830197"/>
    <d v="2026-02-06T00:00:00"/>
    <s v="Sale"/>
    <n v="319"/>
  </r>
  <r>
    <x v="198"/>
    <n v="1830197"/>
    <d v="2026-02-06T00:00:00"/>
    <s v="Sale"/>
    <n v="0"/>
  </r>
  <r>
    <x v="199"/>
    <n v="1830197"/>
    <d v="2026-02-06T00:00:00"/>
    <s v="Sale"/>
    <n v="0"/>
  </r>
  <r>
    <x v="200"/>
    <n v="1830197"/>
    <d v="2026-02-06T00:00:00"/>
    <s v="Sale"/>
    <n v="0"/>
  </r>
  <r>
    <x v="201"/>
    <n v="1830197"/>
    <d v="2026-02-06T00:00:00"/>
    <s v="Sale"/>
    <n v="0"/>
  </r>
  <r>
    <x v="202"/>
    <n v="1830197"/>
    <d v="2026-02-06T00:00:00"/>
    <s v="Sale"/>
    <n v="0"/>
  </r>
  <r>
    <x v="203"/>
    <n v="1830197"/>
    <d v="2026-02-06T00:00:00"/>
    <s v="Sale"/>
    <n v="7"/>
  </r>
  <r>
    <x v="204"/>
    <n v="1830197"/>
    <d v="2026-02-06T00:00:00"/>
    <s v="Sale"/>
    <n v="0.94"/>
  </r>
  <r>
    <x v="205"/>
    <n v="1830197"/>
    <d v="2026-02-06T00:00:00"/>
    <s v="Sale"/>
    <n v="0"/>
  </r>
  <r>
    <x v="206"/>
    <n v="1830197"/>
    <d v="2026-02-06T00:00:00"/>
    <s v="Sale"/>
    <n v="0"/>
  </r>
  <r>
    <x v="207"/>
    <n v="1830197"/>
    <d v="2026-02-06T00:00:00"/>
    <s v="Sale"/>
    <n v="78"/>
  </r>
  <r>
    <x v="208"/>
    <n v="1830197"/>
    <d v="2026-02-06T00:00:00"/>
    <s v="Sale"/>
    <n v="0"/>
  </r>
  <r>
    <x v="209"/>
    <n v="1830197"/>
    <d v="2026-02-06T00:00:00"/>
    <s v="Sale"/>
    <n v="32"/>
  </r>
  <r>
    <x v="210"/>
    <n v="1830197"/>
    <d v="2026-02-06T00:00:00"/>
    <s v="Sale"/>
    <n v="0"/>
  </r>
  <r>
    <x v="211"/>
    <n v="1830197"/>
    <d v="2026-02-06T00:00:00"/>
    <s v="Sale"/>
    <n v="0"/>
  </r>
  <r>
    <x v="212"/>
    <n v="1830197"/>
    <d v="2026-02-06T00:00:00"/>
    <s v="Sale"/>
    <n v="142"/>
  </r>
  <r>
    <x v="213"/>
    <n v="1830197"/>
    <d v="2026-02-06T00:00:00"/>
    <s v="Sale"/>
    <n v="0"/>
  </r>
  <r>
    <x v="214"/>
    <n v="1830197"/>
    <d v="2026-02-06T00:00:00"/>
    <s v="Sale"/>
    <n v="0"/>
  </r>
  <r>
    <x v="215"/>
    <n v="1830197"/>
    <d v="2026-02-06T00:00:00"/>
    <s v="Sale"/>
    <n v="0"/>
  </r>
  <r>
    <x v="216"/>
    <n v="1830197"/>
    <d v="2026-02-06T00:00:00"/>
    <s v="Sale"/>
    <n v="0"/>
  </r>
  <r>
    <x v="217"/>
    <n v="1830197"/>
    <d v="2026-02-06T00:00:00"/>
    <s v="Sale"/>
    <n v="0"/>
  </r>
  <r>
    <x v="218"/>
    <n v="1830197"/>
    <d v="2026-02-06T00:00:00"/>
    <s v="Sale"/>
    <n v="0"/>
  </r>
  <r>
    <x v="219"/>
    <n v="1830197"/>
    <d v="2026-02-06T00:00:00"/>
    <s v="Sale"/>
    <n v="0"/>
  </r>
  <r>
    <x v="220"/>
    <n v="1830197"/>
    <d v="2026-02-06T00:00:00"/>
    <s v="Sale"/>
    <n v="14"/>
  </r>
  <r>
    <x v="221"/>
    <n v="1830197"/>
    <d v="2026-02-06T00:00:00"/>
    <s v="Sale"/>
    <n v="19"/>
  </r>
  <r>
    <x v="222"/>
    <n v="1830197"/>
    <d v="2026-02-06T00:00:00"/>
    <s v="Sale"/>
    <n v="468"/>
  </r>
  <r>
    <x v="223"/>
    <n v="1830197"/>
    <d v="2026-02-06T00:00:00"/>
    <s v="Sale"/>
    <n v="3.95"/>
  </r>
  <r>
    <x v="224"/>
    <n v="1830197"/>
    <d v="2026-02-06T00:00:00"/>
    <s v="Sale"/>
    <n v="15.38"/>
  </r>
  <r>
    <x v="225"/>
    <n v="1830197"/>
    <d v="2026-02-06T00:00:00"/>
    <s v="Sale"/>
    <n v="0"/>
  </r>
  <r>
    <x v="226"/>
    <n v="1830197"/>
    <d v="2026-02-06T00:00:00"/>
    <s v="Sale"/>
    <n v="5"/>
  </r>
  <r>
    <x v="227"/>
    <n v="1830197"/>
    <d v="2026-02-06T00:00:00"/>
    <s v="Sale"/>
    <n v="0"/>
  </r>
  <r>
    <x v="228"/>
    <n v="1830197"/>
    <d v="2026-02-06T00:00:00"/>
    <s v="Sale"/>
    <n v="0"/>
  </r>
  <r>
    <x v="229"/>
    <n v="1830197"/>
    <d v="2026-02-06T00:00:00"/>
    <s v="Sale"/>
    <n v="0"/>
  </r>
  <r>
    <x v="230"/>
    <n v="1830197"/>
    <d v="2026-02-06T00:00:00"/>
    <s v="Sale"/>
    <n v="0"/>
  </r>
  <r>
    <x v="231"/>
    <n v="1830197"/>
    <d v="2026-02-06T00:00:00"/>
    <s v="Sale"/>
    <n v="0"/>
  </r>
  <r>
    <x v="232"/>
    <n v="1830197"/>
    <d v="2026-02-06T00:00:00"/>
    <s v="Sale"/>
    <n v="7"/>
  </r>
  <r>
    <x v="233"/>
    <n v="1830197"/>
    <d v="2026-02-06T00:00:00"/>
    <s v="Sale"/>
    <n v="0"/>
  </r>
  <r>
    <x v="234"/>
    <n v="1830197"/>
    <d v="2026-02-06T00:00:00"/>
    <s v="Sale"/>
    <n v="0"/>
  </r>
  <r>
    <x v="235"/>
    <n v="1830197"/>
    <d v="2026-02-06T00:00:00"/>
    <s v="Sale"/>
    <n v="0"/>
  </r>
  <r>
    <x v="236"/>
    <n v="1830197"/>
    <d v="2026-02-06T00:00:00"/>
    <s v="Sale"/>
    <n v="0"/>
  </r>
  <r>
    <x v="237"/>
    <n v="1830197"/>
    <d v="2026-02-06T00:00:00"/>
    <s v="Sale"/>
    <n v="0"/>
  </r>
  <r>
    <x v="238"/>
    <n v="1830197"/>
    <d v="2026-02-06T00:00:00"/>
    <s v="Sale"/>
    <n v="0"/>
  </r>
  <r>
    <x v="239"/>
    <n v="1830197"/>
    <d v="2026-02-06T00:00:00"/>
    <s v="Sale"/>
    <n v="0"/>
  </r>
  <r>
    <x v="240"/>
    <n v="1830197"/>
    <d v="2026-02-06T00:00:00"/>
    <s v="Sale"/>
    <n v="34"/>
  </r>
  <r>
    <x v="241"/>
    <n v="1830197"/>
    <d v="2026-02-06T00:00:00"/>
    <s v="Sale"/>
    <n v="0"/>
  </r>
  <r>
    <x v="242"/>
    <n v="1830197"/>
    <d v="2026-02-06T00:00:00"/>
    <s v="Sale"/>
    <n v="1"/>
  </r>
  <r>
    <x v="243"/>
    <n v="1830197"/>
    <d v="2026-02-06T00:00:00"/>
    <s v="Sale"/>
    <n v="0"/>
  </r>
  <r>
    <x v="244"/>
    <n v="1830197"/>
    <d v="2026-02-06T00:00:00"/>
    <s v="Sale"/>
    <n v="0"/>
  </r>
  <r>
    <x v="245"/>
    <n v="1830197"/>
    <d v="2026-02-06T00:00:00"/>
    <s v="Sale"/>
    <n v="0"/>
  </r>
  <r>
    <x v="246"/>
    <n v="1830197"/>
    <d v="2026-02-06T00:00:00"/>
    <s v="Sale"/>
    <n v="6.68"/>
  </r>
  <r>
    <x v="247"/>
    <n v="1830197"/>
    <d v="2026-02-06T00:00:00"/>
    <s v="Sale"/>
    <n v="0"/>
  </r>
  <r>
    <x v="248"/>
    <n v="1830197"/>
    <d v="2026-02-06T00:00:00"/>
    <s v="Sale"/>
    <n v="24"/>
  </r>
  <r>
    <x v="249"/>
    <n v="1830197"/>
    <d v="2026-02-06T00:00:00"/>
    <s v="Sale"/>
    <n v="0"/>
  </r>
  <r>
    <x v="250"/>
    <n v="1830197"/>
    <d v="2026-02-06T00:00:00"/>
    <s v="Sale"/>
    <n v="0"/>
  </r>
  <r>
    <x v="251"/>
    <n v="1830197"/>
    <d v="2026-02-06T00:00:00"/>
    <s v="Sale"/>
    <n v="0"/>
  </r>
  <r>
    <x v="252"/>
    <n v="1830197"/>
    <d v="2026-02-06T00:00:00"/>
    <s v="Sale"/>
    <n v="0"/>
  </r>
  <r>
    <x v="253"/>
    <n v="1830197"/>
    <d v="2026-02-06T00:00:00"/>
    <s v="Sale"/>
    <n v="0"/>
  </r>
  <r>
    <x v="254"/>
    <n v="1830197"/>
    <d v="2026-02-06T00:00:00"/>
    <s v="Sale"/>
    <n v="0"/>
  </r>
  <r>
    <x v="255"/>
    <n v="1830197"/>
    <d v="2026-02-06T00:00:00"/>
    <s v="Sale"/>
    <n v="0"/>
  </r>
  <r>
    <x v="256"/>
    <n v="1830197"/>
    <d v="2026-02-06T00:00:00"/>
    <s v="Sale"/>
    <n v="0"/>
  </r>
  <r>
    <x v="257"/>
    <n v="1830197"/>
    <d v="2026-02-06T00:00:00"/>
    <s v="Sale"/>
    <n v="0"/>
  </r>
  <r>
    <x v="258"/>
    <n v="1830197"/>
    <d v="2026-02-06T00:00:00"/>
    <s v="Sale"/>
    <n v="0"/>
  </r>
  <r>
    <x v="259"/>
    <n v="1830197"/>
    <d v="2026-02-06T00:00:00"/>
    <s v="Sale"/>
    <n v="0"/>
  </r>
  <r>
    <x v="260"/>
    <n v="1830197"/>
    <d v="2026-02-06T00:00:00"/>
    <s v="Sale"/>
    <n v="310"/>
  </r>
  <r>
    <x v="261"/>
    <n v="1830197"/>
    <d v="2026-02-06T00:00:00"/>
    <s v="Sale"/>
    <n v="0"/>
  </r>
  <r>
    <x v="262"/>
    <n v="1830197"/>
    <d v="2026-02-06T00:00:00"/>
    <s v="Sale"/>
    <n v="1"/>
  </r>
  <r>
    <x v="263"/>
    <n v="1830197"/>
    <d v="2026-02-06T00:00:00"/>
    <s v="Sale"/>
    <n v="0"/>
  </r>
  <r>
    <x v="264"/>
    <n v="1830197"/>
    <d v="2026-02-06T00:00:00"/>
    <s v="Sale"/>
    <n v="4"/>
  </r>
  <r>
    <x v="265"/>
    <n v="1830197"/>
    <d v="2026-02-06T00:00:00"/>
    <s v="Sale"/>
    <n v="178"/>
  </r>
  <r>
    <x v="266"/>
    <n v="1830197"/>
    <d v="2026-02-06T00:00:00"/>
    <s v="Sale"/>
    <n v="85"/>
  </r>
  <r>
    <x v="267"/>
    <n v="1830197"/>
    <d v="2026-02-06T00:00:00"/>
    <s v="Sale"/>
    <n v="0"/>
  </r>
  <r>
    <x v="268"/>
    <n v="1830197"/>
    <d v="2026-02-06T00:00:00"/>
    <s v="Sale"/>
    <n v="122"/>
  </r>
  <r>
    <x v="269"/>
    <n v="1830197"/>
    <d v="2026-02-06T00:00:00"/>
    <s v="Sale"/>
    <n v="0"/>
  </r>
  <r>
    <x v="270"/>
    <n v="1830197"/>
    <d v="2026-02-06T00:00:00"/>
    <s v="Sale"/>
    <n v="0"/>
  </r>
  <r>
    <x v="271"/>
    <n v="1830197"/>
    <d v="2026-02-06T00:00:00"/>
    <s v="Sale"/>
    <n v="2"/>
  </r>
  <r>
    <x v="272"/>
    <n v="1830197"/>
    <d v="2026-02-06T00:00:00"/>
    <s v="Sale"/>
    <n v="0"/>
  </r>
  <r>
    <x v="273"/>
    <n v="1830197"/>
    <d v="2026-02-06T00:00:00"/>
    <s v="Sale"/>
    <n v="357"/>
  </r>
  <r>
    <x v="274"/>
    <n v="1830197"/>
    <d v="2026-02-06T00:00:00"/>
    <s v="Sale"/>
    <n v="0"/>
  </r>
  <r>
    <x v="275"/>
    <n v="1830197"/>
    <d v="2026-02-06T00:00:00"/>
    <s v="Sale"/>
    <n v="0.15"/>
  </r>
  <r>
    <x v="276"/>
    <n v="1830197"/>
    <d v="2026-02-06T00:00:00"/>
    <s v="Sale"/>
    <n v="5"/>
  </r>
  <r>
    <x v="277"/>
    <n v="1830197"/>
    <d v="2026-02-06T00:00:00"/>
    <s v="Sale"/>
    <n v="4.9000000000000004"/>
  </r>
  <r>
    <x v="278"/>
    <n v="1830197"/>
    <d v="2026-02-06T00:00:00"/>
    <s v="Sale"/>
    <n v="225"/>
  </r>
  <r>
    <x v="279"/>
    <n v="1830197"/>
    <d v="2026-02-06T00:00:00"/>
    <s v="Sale"/>
    <n v="0"/>
  </r>
  <r>
    <x v="280"/>
    <n v="1830197"/>
    <d v="2026-02-06T00:00:00"/>
    <s v="Sale"/>
    <n v="0"/>
  </r>
  <r>
    <x v="281"/>
    <n v="1830197"/>
    <d v="2026-02-06T00:00:00"/>
    <s v="Sale"/>
    <n v="95"/>
  </r>
  <r>
    <x v="282"/>
    <n v="1830197"/>
    <d v="2026-02-06T00:00:00"/>
    <s v="Sale"/>
    <n v="0"/>
  </r>
  <r>
    <x v="283"/>
    <n v="1830197"/>
    <d v="2026-02-06T00:00:00"/>
    <s v="Sale"/>
    <n v="0"/>
  </r>
  <r>
    <x v="284"/>
    <n v="1830197"/>
    <d v="2026-02-06T00:00:00"/>
    <s v="Sale"/>
    <n v="4"/>
  </r>
  <r>
    <x v="285"/>
    <n v="1830197"/>
    <d v="2026-02-06T00:00:00"/>
    <s v="Sale"/>
    <n v="0"/>
  </r>
  <r>
    <x v="286"/>
    <n v="1830197"/>
    <d v="2026-02-06T00:00:00"/>
    <s v="Sale"/>
    <n v="0"/>
  </r>
  <r>
    <x v="287"/>
    <n v="1830197"/>
    <d v="2026-02-06T00:00:00"/>
    <s v="Sale"/>
    <n v="0"/>
  </r>
  <r>
    <x v="288"/>
    <n v="1830197"/>
    <d v="2026-02-06T00:00:00"/>
    <s v="Sale"/>
    <n v="0"/>
  </r>
  <r>
    <x v="289"/>
    <n v="1830197"/>
    <d v="2026-02-06T00:00:00"/>
    <s v="Sale"/>
    <n v="0"/>
  </r>
  <r>
    <x v="290"/>
    <n v="1830197"/>
    <d v="2026-02-06T00:00:00"/>
    <s v="Sale"/>
    <n v="92"/>
  </r>
  <r>
    <x v="291"/>
    <n v="1830197"/>
    <d v="2026-02-06T00:00:00"/>
    <s v="Sale"/>
    <n v="0"/>
  </r>
  <r>
    <x v="292"/>
    <n v="1830197"/>
    <d v="2026-02-06T00:00:00"/>
    <s v="Sale"/>
    <n v="0"/>
  </r>
  <r>
    <x v="293"/>
    <n v="1830197"/>
    <d v="2026-02-06T00:00:00"/>
    <s v="Sale"/>
    <n v="0"/>
  </r>
  <r>
    <x v="294"/>
    <n v="1830197"/>
    <d v="2026-02-06T00:00:00"/>
    <s v="Sale"/>
    <n v="-1"/>
  </r>
  <r>
    <x v="295"/>
    <n v="1830197"/>
    <d v="2026-02-06T00:00:00"/>
    <s v="Sale"/>
    <n v="0"/>
  </r>
  <r>
    <x v="296"/>
    <n v="1830197"/>
    <d v="2026-02-06T00:00:00"/>
    <s v="Sale"/>
    <n v="0"/>
  </r>
  <r>
    <x v="297"/>
    <n v="1830197"/>
    <d v="2026-02-06T00:00:00"/>
    <s v="Sale"/>
    <n v="0"/>
  </r>
  <r>
    <x v="298"/>
    <n v="1830197"/>
    <d v="2026-02-06T00:00:00"/>
    <s v="Sale"/>
    <n v="0.31"/>
  </r>
  <r>
    <x v="299"/>
    <n v="1830197"/>
    <d v="2026-02-06T00:00:00"/>
    <s v="Sale"/>
    <n v="0"/>
  </r>
  <r>
    <x v="300"/>
    <n v="1830197"/>
    <d v="2026-02-06T00:00:00"/>
    <s v="Sale"/>
    <n v="0"/>
  </r>
  <r>
    <x v="301"/>
    <n v="1830197"/>
    <d v="2026-02-06T00:00:00"/>
    <s v="Sale"/>
    <n v="0"/>
  </r>
  <r>
    <x v="302"/>
    <n v="1830197"/>
    <d v="2026-02-06T00:00:00"/>
    <s v="Sale"/>
    <n v="0"/>
  </r>
  <r>
    <x v="303"/>
    <n v="1830197"/>
    <d v="2026-02-06T00:00:00"/>
    <s v="Sale"/>
    <n v="0"/>
  </r>
  <r>
    <x v="304"/>
    <n v="1830197"/>
    <d v="2026-02-06T00:00:00"/>
    <s v="Sale"/>
    <n v="0"/>
  </r>
  <r>
    <x v="305"/>
    <n v="1830197"/>
    <d v="2026-02-06T00:00:00"/>
    <s v="Sale"/>
    <n v="0"/>
  </r>
  <r>
    <x v="306"/>
    <n v="1830197"/>
    <d v="2026-02-06T00:00:00"/>
    <s v="Sale"/>
    <n v="108"/>
  </r>
  <r>
    <x v="307"/>
    <n v="1830197"/>
    <d v="2026-02-06T00:00:00"/>
    <s v="Sale"/>
    <n v="0.4"/>
  </r>
  <r>
    <x v="308"/>
    <n v="1830197"/>
    <d v="2026-02-06T00:00:00"/>
    <s v="Sale"/>
    <n v="0.7"/>
  </r>
  <r>
    <x v="309"/>
    <n v="1830197"/>
    <d v="2026-02-06T00:00:00"/>
    <s v="Sale"/>
    <n v="0"/>
  </r>
  <r>
    <x v="310"/>
    <n v="1830197"/>
    <d v="2026-02-06T00:00:00"/>
    <s v="Sale"/>
    <n v="1.6"/>
  </r>
  <r>
    <x v="311"/>
    <n v="1830197"/>
    <d v="2026-02-06T00:00:00"/>
    <s v="Sale"/>
    <n v="15.76"/>
  </r>
  <r>
    <x v="312"/>
    <n v="1830197"/>
    <d v="2026-02-06T00:00:00"/>
    <s v="Sale"/>
    <n v="0"/>
  </r>
  <r>
    <x v="313"/>
    <n v="1830197"/>
    <d v="2026-02-06T00:00:00"/>
    <s v="Sale"/>
    <n v="19"/>
  </r>
  <r>
    <x v="314"/>
    <n v="1830197"/>
    <d v="2026-02-06T00:00:00"/>
    <s v="Sale"/>
    <n v="0"/>
  </r>
  <r>
    <x v="315"/>
    <n v="1830197"/>
    <d v="2026-02-06T00:00:00"/>
    <s v="Sale"/>
    <n v="0"/>
  </r>
  <r>
    <x v="316"/>
    <n v="1830197"/>
    <d v="2026-02-06T00:00:00"/>
    <s v="Sale"/>
    <n v="0"/>
  </r>
  <r>
    <x v="317"/>
    <n v="1830197"/>
    <d v="2026-02-06T00:00:00"/>
    <s v="Sale"/>
    <n v="28"/>
  </r>
  <r>
    <x v="318"/>
    <n v="1830197"/>
    <d v="2026-02-06T00:00:00"/>
    <s v="Sale"/>
    <n v="0"/>
  </r>
  <r>
    <x v="319"/>
    <n v="1830197"/>
    <d v="2026-02-06T00:00:00"/>
    <s v="Sale"/>
    <n v="0"/>
  </r>
  <r>
    <x v="320"/>
    <n v="1830197"/>
    <d v="2026-02-06T00:00:00"/>
    <s v="Sale"/>
    <n v="0"/>
  </r>
  <r>
    <x v="321"/>
    <n v="1830197"/>
    <d v="2026-02-06T00:00:00"/>
    <s v="Sale"/>
    <n v="39"/>
  </r>
  <r>
    <x v="322"/>
    <n v="1830197"/>
    <d v="2026-02-06T00:00:00"/>
    <s v="Sale"/>
    <n v="0"/>
  </r>
  <r>
    <x v="323"/>
    <n v="1830197"/>
    <d v="2026-02-06T00:00:00"/>
    <s v="Sale"/>
    <n v="0"/>
  </r>
  <r>
    <x v="324"/>
    <n v="1830197"/>
    <d v="2026-02-06T00:00:00"/>
    <s v="Sale"/>
    <n v="0"/>
  </r>
  <r>
    <x v="325"/>
    <n v="1830197"/>
    <d v="2026-02-06T00:00:00"/>
    <s v="Sale"/>
    <n v="0"/>
  </r>
  <r>
    <x v="326"/>
    <n v="1830197"/>
    <d v="2026-02-06T00:00:00"/>
    <s v="Sale"/>
    <n v="0"/>
  </r>
  <r>
    <x v="327"/>
    <n v="1830197"/>
    <d v="2026-02-06T00:00:00"/>
    <s v="Sale"/>
    <n v="0"/>
  </r>
  <r>
    <x v="328"/>
    <n v="1830197"/>
    <d v="2026-02-06T00:00:00"/>
    <s v="Sale"/>
    <n v="0"/>
  </r>
  <r>
    <x v="329"/>
    <n v="1830197"/>
    <d v="2026-02-06T00:00:00"/>
    <s v="Sale"/>
    <n v="0"/>
  </r>
  <r>
    <x v="330"/>
    <n v="1830197"/>
    <d v="2026-02-06T00:00:00"/>
    <s v="Sale"/>
    <n v="0"/>
  </r>
  <r>
    <x v="331"/>
    <n v="1830197"/>
    <d v="2026-02-06T00:00:00"/>
    <s v="Sale"/>
    <n v="4"/>
  </r>
  <r>
    <x v="332"/>
    <n v="1830197"/>
    <d v="2026-02-06T00:00:00"/>
    <s v="Sale"/>
    <n v="0"/>
  </r>
  <r>
    <x v="333"/>
    <n v="1830197"/>
    <d v="2026-02-06T00:00:00"/>
    <s v="Sale"/>
    <n v="0"/>
  </r>
  <r>
    <x v="334"/>
    <n v="1830197"/>
    <d v="2026-02-06T00:00:00"/>
    <s v="Sale"/>
    <n v="25"/>
  </r>
  <r>
    <x v="335"/>
    <n v="1830197"/>
    <d v="2026-02-06T00:00:00"/>
    <s v="Sale"/>
    <n v="0"/>
  </r>
  <r>
    <x v="336"/>
    <n v="1830197"/>
    <d v="2026-02-06T00:00:00"/>
    <s v="Sale"/>
    <n v="0"/>
  </r>
  <r>
    <x v="337"/>
    <n v="1830197"/>
    <d v="2026-02-06T00:00:00"/>
    <s v="Sale"/>
    <n v="0"/>
  </r>
  <r>
    <x v="338"/>
    <n v="1830197"/>
    <d v="2026-02-06T00:00:00"/>
    <s v="Sale"/>
    <n v="49"/>
  </r>
  <r>
    <x v="339"/>
    <n v="1830197"/>
    <d v="2026-02-06T00:00:00"/>
    <s v="Sale"/>
    <n v="16"/>
  </r>
  <r>
    <x v="340"/>
    <n v="1830197"/>
    <d v="2026-02-06T00:00:00"/>
    <s v="Sale"/>
    <n v="0"/>
  </r>
  <r>
    <x v="341"/>
    <n v="1830197"/>
    <d v="2026-02-06T00:00:00"/>
    <s v="Sale"/>
    <n v="0"/>
  </r>
  <r>
    <x v="342"/>
    <n v="1830197"/>
    <d v="2026-02-06T00:00:00"/>
    <s v="Sale"/>
    <n v="0"/>
  </r>
  <r>
    <x v="343"/>
    <n v="1830197"/>
    <d v="2026-02-06T00:00:00"/>
    <s v="Sale"/>
    <n v="0"/>
  </r>
  <r>
    <x v="344"/>
    <n v="1830197"/>
    <d v="2026-02-06T00:00:00"/>
    <s v="Sale"/>
    <n v="0"/>
  </r>
  <r>
    <x v="345"/>
    <n v="1830197"/>
    <d v="2026-02-06T00:00:00"/>
    <s v="Sale"/>
    <n v="0"/>
  </r>
  <r>
    <x v="346"/>
    <n v="1830197"/>
    <d v="2026-02-06T00:00:00"/>
    <s v="Sale"/>
    <n v="0"/>
  </r>
  <r>
    <x v="347"/>
    <n v="1830197"/>
    <d v="2026-02-06T00:00:00"/>
    <s v="Sale"/>
    <n v="0"/>
  </r>
  <r>
    <x v="348"/>
    <n v="1830197"/>
    <d v="2026-02-06T00:00:00"/>
    <s v="Sale"/>
    <n v="0"/>
  </r>
  <r>
    <x v="349"/>
    <n v="1830197"/>
    <d v="2026-02-06T00:00:00"/>
    <s v="Sale"/>
    <n v="0"/>
  </r>
  <r>
    <x v="350"/>
    <n v="1830197"/>
    <d v="2026-02-06T00:00:00"/>
    <s v="Sale"/>
    <n v="0"/>
  </r>
  <r>
    <x v="351"/>
    <n v="1830197"/>
    <d v="2026-02-06T00:00:00"/>
    <s v="Sale"/>
    <n v="0"/>
  </r>
  <r>
    <x v="352"/>
    <n v="1830197"/>
    <d v="2026-02-06T00:00:00"/>
    <s v="Sale"/>
    <n v="80"/>
  </r>
  <r>
    <x v="353"/>
    <n v="1830197"/>
    <d v="2026-02-06T00:00:00"/>
    <s v="Sale"/>
    <n v="0"/>
  </r>
  <r>
    <x v="354"/>
    <n v="1830197"/>
    <d v="2026-02-06T00:00:00"/>
    <s v="Sale"/>
    <n v="4"/>
  </r>
  <r>
    <x v="355"/>
    <n v="1830197"/>
    <d v="2026-02-06T00:00:00"/>
    <s v="Sale"/>
    <n v="0"/>
  </r>
  <r>
    <x v="356"/>
    <n v="1830197"/>
    <d v="2026-02-06T00:00:00"/>
    <s v="Sale"/>
    <n v="0"/>
  </r>
  <r>
    <x v="357"/>
    <n v="1830197"/>
    <d v="2026-02-06T00:00:00"/>
    <s v="Sale"/>
    <n v="0.1"/>
  </r>
  <r>
    <x v="358"/>
    <n v="1830197"/>
    <d v="2026-02-06T00:00:00"/>
    <s v="Sale"/>
    <n v="0"/>
  </r>
  <r>
    <x v="359"/>
    <n v="1830197"/>
    <d v="2026-02-06T00:00:00"/>
    <s v="Sale"/>
    <n v="0"/>
  </r>
  <r>
    <x v="360"/>
    <n v="1830197"/>
    <d v="2026-02-06T00:00:00"/>
    <s v="Sale"/>
    <n v="0"/>
  </r>
  <r>
    <x v="361"/>
    <n v="1830197"/>
    <d v="2026-02-06T00:00:00"/>
    <s v="Sale"/>
    <n v="0"/>
  </r>
  <r>
    <x v="362"/>
    <n v="1830197"/>
    <d v="2026-02-06T00:00:00"/>
    <s v="Sale"/>
    <n v="0"/>
  </r>
  <r>
    <x v="363"/>
    <n v="1830197"/>
    <d v="2026-02-06T00:00:00"/>
    <s v="Sale"/>
    <n v="0"/>
  </r>
  <r>
    <x v="364"/>
    <n v="1830197"/>
    <d v="2026-02-06T00:00:00"/>
    <s v="Sale"/>
    <n v="0"/>
  </r>
  <r>
    <x v="365"/>
    <n v="1830197"/>
    <d v="2026-02-06T00:00:00"/>
    <s v="Sale"/>
    <n v="0"/>
  </r>
  <r>
    <x v="366"/>
    <n v="1830197"/>
    <d v="2026-02-06T00:00:00"/>
    <s v="Sale"/>
    <n v="0"/>
  </r>
  <r>
    <x v="367"/>
    <n v="1830197"/>
    <d v="2026-02-06T00:00:00"/>
    <s v="Sale"/>
    <n v="0"/>
  </r>
  <r>
    <x v="368"/>
    <n v="1830197"/>
    <d v="2026-02-06T00:00:00"/>
    <s v="Sale"/>
    <n v="0"/>
  </r>
  <r>
    <x v="369"/>
    <n v="1830197"/>
    <d v="2026-02-06T00:00:00"/>
    <s v="Sale"/>
    <n v="0"/>
  </r>
  <r>
    <x v="370"/>
    <n v="1830197"/>
    <d v="2026-02-06T00:00:00"/>
    <s v="Sale"/>
    <n v="0"/>
  </r>
  <r>
    <x v="371"/>
    <n v="1830197"/>
    <d v="2026-02-06T00:00:00"/>
    <s v="Sale"/>
    <n v="0"/>
  </r>
  <r>
    <x v="372"/>
    <n v="1830197"/>
    <d v="2026-02-06T00:00:00"/>
    <s v="Sale"/>
    <n v="39"/>
  </r>
  <r>
    <x v="373"/>
    <n v="1830197"/>
    <d v="2026-02-06T00:00:00"/>
    <s v="Sale"/>
    <n v="7"/>
  </r>
  <r>
    <x v="374"/>
    <n v="1830197"/>
    <d v="2026-02-06T00:00:00"/>
    <s v="Sale"/>
    <n v="0.92"/>
  </r>
  <r>
    <x v="375"/>
    <n v="1830197"/>
    <d v="2026-02-06T00:00:00"/>
    <s v="Sale"/>
    <n v="0"/>
  </r>
  <r>
    <x v="376"/>
    <n v="1830197"/>
    <d v="2026-02-06T00:00:00"/>
    <s v="Sale"/>
    <n v="0"/>
  </r>
  <r>
    <x v="377"/>
    <n v="1830197"/>
    <d v="2026-02-06T00:00:00"/>
    <s v="Sale"/>
    <n v="0"/>
  </r>
  <r>
    <x v="378"/>
    <n v="1830197"/>
    <d v="2026-02-06T00:00:00"/>
    <s v="Sale"/>
    <n v="4"/>
  </r>
  <r>
    <x v="379"/>
    <n v="1830197"/>
    <d v="2026-02-06T00:00:00"/>
    <s v="Sale"/>
    <n v="0"/>
  </r>
  <r>
    <x v="380"/>
    <n v="1830197"/>
    <d v="2026-02-06T00:00:00"/>
    <s v="Sale"/>
    <n v="0"/>
  </r>
  <r>
    <x v="381"/>
    <n v="1830197"/>
    <d v="2026-02-06T00:00:00"/>
    <s v="Sale"/>
    <n v="0"/>
  </r>
  <r>
    <x v="382"/>
    <n v="1830197"/>
    <d v="2026-02-06T00:00:00"/>
    <s v="Sale"/>
    <n v="0"/>
  </r>
  <r>
    <x v="383"/>
    <n v="1830197"/>
    <d v="2026-02-06T00:00:00"/>
    <s v="Sale"/>
    <n v="0"/>
  </r>
  <r>
    <x v="384"/>
    <n v="1830197"/>
    <d v="2026-02-06T00:00:00"/>
    <s v="Sale"/>
    <n v="0"/>
  </r>
  <r>
    <x v="385"/>
    <n v="1830197"/>
    <d v="2026-02-06T00:00:00"/>
    <s v="Sale"/>
    <n v="-2"/>
  </r>
  <r>
    <x v="386"/>
    <n v="1830197"/>
    <d v="2026-02-06T00:00:00"/>
    <s v="Sale"/>
    <n v="0"/>
  </r>
  <r>
    <x v="387"/>
    <n v="1830197"/>
    <d v="2026-02-06T00:00:00"/>
    <s v="Sale"/>
    <n v="0"/>
  </r>
  <r>
    <x v="388"/>
    <n v="1830197"/>
    <d v="2026-02-06T00:00:00"/>
    <s v="Sale"/>
    <n v="1"/>
  </r>
  <r>
    <x v="389"/>
    <n v="1830197"/>
    <d v="2026-02-06T00:00:00"/>
    <s v="Sale"/>
    <n v="0"/>
  </r>
  <r>
    <x v="390"/>
    <n v="1830197"/>
    <d v="2026-02-06T00:00:00"/>
    <s v="Sale"/>
    <n v="4"/>
  </r>
  <r>
    <x v="391"/>
    <n v="1830197"/>
    <d v="2026-02-06T00:00:00"/>
    <s v="Sale"/>
    <n v="100"/>
  </r>
  <r>
    <x v="392"/>
    <n v="1830197"/>
    <d v="2026-02-06T00:00:00"/>
    <s v="Sale"/>
    <n v="0"/>
  </r>
  <r>
    <x v="393"/>
    <n v="1830197"/>
    <d v="2026-02-06T00:00:00"/>
    <s v="Sale"/>
    <n v="0"/>
  </r>
  <r>
    <x v="394"/>
    <n v="1830197"/>
    <d v="2026-02-06T00:00:00"/>
    <s v="Sale"/>
    <n v="0"/>
  </r>
  <r>
    <x v="395"/>
    <n v="1830197"/>
    <d v="2026-02-06T00:00:00"/>
    <s v="Sale"/>
    <n v="0"/>
  </r>
  <r>
    <x v="396"/>
    <n v="1830197"/>
    <d v="2026-02-06T00:00:00"/>
    <s v="Sale"/>
    <n v="0"/>
  </r>
  <r>
    <x v="397"/>
    <n v="1830197"/>
    <d v="2026-02-06T00:00:00"/>
    <s v="Sale"/>
    <n v="0"/>
  </r>
  <r>
    <x v="398"/>
    <n v="1830197"/>
    <d v="2026-02-06T00:00:00"/>
    <s v="Sale"/>
    <n v="0"/>
  </r>
  <r>
    <x v="399"/>
    <n v="1830197"/>
    <d v="2026-02-06T00:00:00"/>
    <s v="Sale"/>
    <n v="0"/>
  </r>
  <r>
    <x v="400"/>
    <n v="1830197"/>
    <d v="2026-02-06T00:00:00"/>
    <s v="Sale"/>
    <n v="0"/>
  </r>
  <r>
    <x v="401"/>
    <n v="1830197"/>
    <d v="2026-02-06T00:00:00"/>
    <s v="Sale"/>
    <n v="0"/>
  </r>
  <r>
    <x v="402"/>
    <n v="1830197"/>
    <d v="2026-02-06T00:00:00"/>
    <s v="Sale"/>
    <n v="0"/>
  </r>
  <r>
    <x v="403"/>
    <n v="1830197"/>
    <d v="2026-02-06T00:00:00"/>
    <s v="Sale"/>
    <n v="0"/>
  </r>
  <r>
    <x v="404"/>
    <n v="1830197"/>
    <d v="2026-02-06T00:00:00"/>
    <s v="Sale"/>
    <n v="0"/>
  </r>
  <r>
    <x v="405"/>
    <n v="1830197"/>
    <d v="2026-02-06T00:00:00"/>
    <s v="Sale"/>
    <n v="80"/>
  </r>
  <r>
    <x v="406"/>
    <n v="1830197"/>
    <d v="2026-02-06T00:00:00"/>
    <s v="Sale"/>
    <n v="0"/>
  </r>
  <r>
    <x v="407"/>
    <n v="1830197"/>
    <d v="2026-02-06T00:00:00"/>
    <s v="Sale"/>
    <n v="0"/>
  </r>
  <r>
    <x v="408"/>
    <n v="1830197"/>
    <d v="2026-02-06T00:00:00"/>
    <s v="Sale"/>
    <n v="0"/>
  </r>
  <r>
    <x v="409"/>
    <n v="1830197"/>
    <d v="2026-02-06T00:00:00"/>
    <s v="Sale"/>
    <n v="0"/>
  </r>
  <r>
    <x v="410"/>
    <n v="1830197"/>
    <d v="2026-02-06T00:00:00"/>
    <s v="Sale"/>
    <n v="41"/>
  </r>
  <r>
    <x v="411"/>
    <n v="1830197"/>
    <d v="2026-02-06T00:00:00"/>
    <s v="Sale"/>
    <n v="0"/>
  </r>
  <r>
    <x v="412"/>
    <n v="1830197"/>
    <d v="2026-02-06T00:00:00"/>
    <s v="Sale"/>
    <n v="0"/>
  </r>
  <r>
    <x v="413"/>
    <n v="1830197"/>
    <d v="2026-02-06T00:00:00"/>
    <s v="Sale"/>
    <n v="0"/>
  </r>
  <r>
    <x v="414"/>
    <n v="1830197"/>
    <d v="2026-02-06T00:00:00"/>
    <s v="Sale"/>
    <n v="0"/>
  </r>
  <r>
    <x v="415"/>
    <n v="1830197"/>
    <d v="2026-02-06T00:00:00"/>
    <s v="Sale"/>
    <n v="0"/>
  </r>
  <r>
    <x v="416"/>
    <n v="1830197"/>
    <d v="2026-02-06T00:00:00"/>
    <s v="Sale"/>
    <n v="0"/>
  </r>
  <r>
    <x v="417"/>
    <n v="1830197"/>
    <d v="2026-02-06T00:00:00"/>
    <s v="Sale"/>
    <n v="0"/>
  </r>
  <r>
    <x v="418"/>
    <n v="1830197"/>
    <d v="2026-02-06T00:00:00"/>
    <s v="Sale"/>
    <n v="0"/>
  </r>
  <r>
    <x v="419"/>
    <n v="1830197"/>
    <d v="2026-02-06T00:00:00"/>
    <s v="Sale"/>
    <n v="0"/>
  </r>
  <r>
    <x v="420"/>
    <n v="1830197"/>
    <d v="2026-02-06T00:00:00"/>
    <s v="Sale"/>
    <n v="0"/>
  </r>
  <r>
    <x v="421"/>
    <n v="1830197"/>
    <d v="2026-02-06T00:00:00"/>
    <s v="Sale"/>
    <n v="0.5"/>
  </r>
  <r>
    <x v="422"/>
    <n v="1830197"/>
    <d v="2026-02-06T00:00:00"/>
    <s v="Sale"/>
    <n v="-2"/>
  </r>
  <r>
    <x v="423"/>
    <n v="1830197"/>
    <d v="2026-02-06T00:00:00"/>
    <s v="Sale"/>
    <n v="25"/>
  </r>
  <r>
    <x v="424"/>
    <n v="1830197"/>
    <d v="2026-02-06T00:00:00"/>
    <s v="Sale"/>
    <n v="0"/>
  </r>
  <r>
    <x v="425"/>
    <n v="1830197"/>
    <d v="2026-02-06T00:00:00"/>
    <s v="Sale"/>
    <n v="0"/>
  </r>
  <r>
    <x v="426"/>
    <n v="1830197"/>
    <d v="2026-02-06T00:00:00"/>
    <s v="Sale"/>
    <n v="0"/>
  </r>
  <r>
    <x v="427"/>
    <n v="1830197"/>
    <d v="2026-02-06T00:00:00"/>
    <s v="Sale"/>
    <n v="21"/>
  </r>
  <r>
    <x v="428"/>
    <n v="1830197"/>
    <d v="2026-02-06T00:00:00"/>
    <s v="Sale"/>
    <n v="0.97"/>
  </r>
  <r>
    <x v="429"/>
    <n v="1830197"/>
    <d v="2026-02-06T00:00:00"/>
    <s v="Sale"/>
    <n v="0"/>
  </r>
  <r>
    <x v="430"/>
    <n v="1830197"/>
    <d v="2026-02-06T00:00:00"/>
    <s v="Sale"/>
    <n v="0"/>
  </r>
  <r>
    <x v="431"/>
    <n v="1830197"/>
    <d v="2026-02-06T00:00:00"/>
    <s v="Sale"/>
    <n v="0"/>
  </r>
  <r>
    <x v="432"/>
    <n v="1830197"/>
    <d v="2026-02-06T00:00:00"/>
    <s v="Sale"/>
    <n v="2"/>
  </r>
  <r>
    <x v="433"/>
    <n v="1830197"/>
    <d v="2026-02-06T00:00:00"/>
    <s v="Sale"/>
    <n v="2"/>
  </r>
  <r>
    <x v="434"/>
    <n v="1830197"/>
    <d v="2026-02-06T00:00:00"/>
    <s v="Sale"/>
    <n v="0.5"/>
  </r>
  <r>
    <x v="435"/>
    <n v="1830197"/>
    <d v="2026-02-06T00:00:00"/>
    <s v="Sale"/>
    <n v="0"/>
  </r>
  <r>
    <x v="436"/>
    <n v="1830197"/>
    <d v="2026-02-06T00:00:00"/>
    <s v="Sale"/>
    <n v="0"/>
  </r>
  <r>
    <x v="437"/>
    <n v="1830197"/>
    <d v="2026-02-06T00:00:00"/>
    <s v="Sale"/>
    <n v="0"/>
  </r>
  <r>
    <x v="438"/>
    <n v="1830197"/>
    <d v="2026-02-06T00:00:00"/>
    <s v="Sale"/>
    <n v="0"/>
  </r>
  <r>
    <x v="439"/>
    <n v="1830197"/>
    <d v="2026-02-06T00:00:00"/>
    <s v="Sale"/>
    <n v="0"/>
  </r>
  <r>
    <x v="440"/>
    <n v="1830197"/>
    <d v="2026-02-06T00:00:00"/>
    <s v="Sale"/>
    <n v="0"/>
  </r>
  <r>
    <x v="441"/>
    <n v="1830197"/>
    <d v="2026-02-06T00:00:00"/>
    <s v="Sale"/>
    <n v="10"/>
  </r>
  <r>
    <x v="442"/>
    <n v="1830197"/>
    <d v="2026-02-06T00:00:00"/>
    <s v="Sale"/>
    <n v="3"/>
  </r>
  <r>
    <x v="443"/>
    <n v="1830197"/>
    <d v="2026-02-06T00:00:00"/>
    <s v="Sale"/>
    <n v="0"/>
  </r>
  <r>
    <x v="444"/>
    <n v="1830197"/>
    <d v="2026-02-06T00:00:00"/>
    <s v="Sale"/>
    <n v="21"/>
  </r>
  <r>
    <x v="445"/>
    <n v="1830197"/>
    <d v="2026-02-06T00:00:00"/>
    <s v="Sale"/>
    <n v="0"/>
  </r>
  <r>
    <x v="446"/>
    <n v="1830197"/>
    <d v="2026-02-06T00:00:00"/>
    <s v="Sale"/>
    <n v="2"/>
  </r>
  <r>
    <x v="447"/>
    <n v="1830197"/>
    <d v="2026-02-06T00:00:00"/>
    <s v="Sale"/>
    <n v="4"/>
  </r>
  <r>
    <x v="448"/>
    <n v="1830197"/>
    <d v="2026-02-06T00:00:00"/>
    <s v="Sale"/>
    <n v="0"/>
  </r>
  <r>
    <x v="449"/>
    <n v="1830197"/>
    <d v="2026-02-06T00:00:00"/>
    <s v="Sale"/>
    <n v="4"/>
  </r>
  <r>
    <x v="450"/>
    <n v="1830197"/>
    <d v="2026-02-06T00:00:00"/>
    <s v="Sale"/>
    <n v="0"/>
  </r>
  <r>
    <x v="451"/>
    <n v="1830197"/>
    <d v="2026-02-06T00:00:00"/>
    <s v="Sale"/>
    <n v="0"/>
  </r>
  <r>
    <x v="452"/>
    <n v="1830197"/>
    <d v="2026-02-06T00:00:00"/>
    <s v="Sale"/>
    <n v="0"/>
  </r>
  <r>
    <x v="453"/>
    <n v="1830197"/>
    <d v="2026-02-06T00:00:00"/>
    <s v="Sale"/>
    <n v="0"/>
  </r>
  <r>
    <x v="454"/>
    <n v="1830197"/>
    <d v="2026-02-06T00:00:00"/>
    <s v="Sale"/>
    <n v="0"/>
  </r>
  <r>
    <x v="455"/>
    <n v="1830197"/>
    <d v="2026-02-06T00:00:00"/>
    <s v="Sale"/>
    <n v="0"/>
  </r>
  <r>
    <x v="456"/>
    <n v="1830197"/>
    <d v="2026-02-06T00:00:00"/>
    <s v="Sale"/>
    <n v="0"/>
  </r>
  <r>
    <x v="457"/>
    <n v="1830197"/>
    <d v="2026-02-06T00:00:00"/>
    <s v="Sale"/>
    <n v="0"/>
  </r>
  <r>
    <x v="458"/>
    <n v="1830197"/>
    <d v="2026-02-06T00:00:00"/>
    <s v="Sale"/>
    <n v="0"/>
  </r>
  <r>
    <x v="459"/>
    <n v="1830197"/>
    <d v="2026-02-06T00:00:00"/>
    <s v="Sale"/>
    <n v="0"/>
  </r>
  <r>
    <x v="460"/>
    <n v="1830197"/>
    <d v="2026-02-06T00:00:00"/>
    <s v="Sale"/>
    <n v="0"/>
  </r>
  <r>
    <x v="461"/>
    <n v="1830197"/>
    <d v="2026-02-06T00:00:00"/>
    <s v="Sale"/>
    <n v="0"/>
  </r>
  <r>
    <x v="462"/>
    <n v="1830197"/>
    <d v="2026-02-06T00:00:00"/>
    <s v="Sale"/>
    <n v="0"/>
  </r>
  <r>
    <x v="463"/>
    <n v="1830197"/>
    <d v="2026-02-06T00:00:00"/>
    <s v="Sale"/>
    <n v="0"/>
  </r>
  <r>
    <x v="464"/>
    <n v="1830197"/>
    <d v="2026-02-06T00:00:00"/>
    <s v="Sale"/>
    <n v="0"/>
  </r>
  <r>
    <x v="465"/>
    <n v="1830197"/>
    <d v="2026-02-06T00:00:00"/>
    <s v="Sale"/>
    <n v="0"/>
  </r>
  <r>
    <x v="466"/>
    <n v="1830197"/>
    <d v="2026-02-06T00:00:00"/>
    <s v="Sale"/>
    <n v="0"/>
  </r>
  <r>
    <x v="467"/>
    <n v="1830197"/>
    <d v="2026-02-06T00:00:00"/>
    <s v="Sale"/>
    <n v="0"/>
  </r>
  <r>
    <x v="468"/>
    <n v="1830197"/>
    <d v="2026-02-06T00:00:00"/>
    <s v="Sale"/>
    <n v="0"/>
  </r>
  <r>
    <x v="469"/>
    <n v="1830197"/>
    <d v="2026-02-06T00:00:00"/>
    <s v="Sale"/>
    <n v="0"/>
  </r>
  <r>
    <x v="470"/>
    <n v="1830197"/>
    <d v="2026-02-06T00:00:00"/>
    <s v="Sale"/>
    <n v="0"/>
  </r>
  <r>
    <x v="471"/>
    <n v="1830197"/>
    <d v="2026-02-06T00:00:00"/>
    <s v="Sale"/>
    <n v="0"/>
  </r>
  <r>
    <x v="472"/>
    <n v="1830197"/>
    <d v="2026-02-06T00:00:00"/>
    <s v="Sale"/>
    <n v="0"/>
  </r>
  <r>
    <x v="473"/>
    <n v="1830197"/>
    <d v="2026-02-06T00:00:00"/>
    <s v="Sale"/>
    <n v="0"/>
  </r>
  <r>
    <x v="474"/>
    <n v="1830197"/>
    <d v="2026-02-06T00:00:00"/>
    <s v="Sale"/>
    <n v="0"/>
  </r>
  <r>
    <x v="475"/>
    <n v="1830197"/>
    <d v="2026-02-06T00:00:00"/>
    <s v="Sale"/>
    <n v="0"/>
  </r>
  <r>
    <x v="476"/>
    <n v="1830197"/>
    <d v="2026-02-06T00:00:00"/>
    <s v="Sale"/>
    <n v="0"/>
  </r>
  <r>
    <x v="477"/>
    <n v="1830197"/>
    <d v="2026-02-06T00:00:00"/>
    <s v="Sale"/>
    <n v="0"/>
  </r>
  <r>
    <x v="478"/>
    <n v="1830197"/>
    <d v="2026-02-06T00:00:00"/>
    <s v="Sale"/>
    <n v="0"/>
  </r>
  <r>
    <x v="479"/>
    <n v="1830197"/>
    <d v="2026-02-06T00:00:00"/>
    <s v="Sale"/>
    <n v="0.1"/>
  </r>
  <r>
    <x v="480"/>
    <n v="1830197"/>
    <d v="2026-02-06T00:00:00"/>
    <s v="Sale"/>
    <n v="0"/>
  </r>
  <r>
    <x v="481"/>
    <n v="1830197"/>
    <d v="2026-02-06T00:00:00"/>
    <s v="Sale"/>
    <n v="0"/>
  </r>
  <r>
    <x v="482"/>
    <n v="1830197"/>
    <d v="2026-02-06T00:00:00"/>
    <s v="Sale"/>
    <n v="6"/>
  </r>
  <r>
    <x v="483"/>
    <n v="1830197"/>
    <d v="2026-02-06T00:00:00"/>
    <s v="Sale"/>
    <n v="16"/>
  </r>
  <r>
    <x v="484"/>
    <n v="1830197"/>
    <d v="2026-02-06T00:00:00"/>
    <s v="Sale"/>
    <n v="0"/>
  </r>
  <r>
    <x v="485"/>
    <n v="1830197"/>
    <d v="2026-02-06T00:00:00"/>
    <s v="Sale"/>
    <n v="0"/>
  </r>
  <r>
    <x v="486"/>
    <n v="1830197"/>
    <d v="2026-02-06T00:00:00"/>
    <s v="Sale"/>
    <n v="0"/>
  </r>
  <r>
    <x v="487"/>
    <n v="1830197"/>
    <d v="2026-02-06T00:00:00"/>
    <s v="Sale"/>
    <n v="8"/>
  </r>
  <r>
    <x v="488"/>
    <n v="1830197"/>
    <d v="2026-02-06T00:00:00"/>
    <s v="Sale"/>
    <n v="0"/>
  </r>
  <r>
    <x v="489"/>
    <n v="1830197"/>
    <d v="2026-02-06T00:00:00"/>
    <s v="Sale"/>
    <n v="2"/>
  </r>
  <r>
    <x v="490"/>
    <n v="1830197"/>
    <d v="2026-02-06T00:00:00"/>
    <s v="Sale"/>
    <n v="0"/>
  </r>
  <r>
    <x v="491"/>
    <n v="1830197"/>
    <d v="2026-02-06T00:00:00"/>
    <s v="Sale"/>
    <n v="0"/>
  </r>
  <r>
    <x v="492"/>
    <n v="1830197"/>
    <d v="2026-02-06T00:00:00"/>
    <s v="Sale"/>
    <n v="0"/>
  </r>
  <r>
    <x v="493"/>
    <n v="1830197"/>
    <d v="2026-02-06T00:00:00"/>
    <s v="Sale"/>
    <n v="0"/>
  </r>
  <r>
    <x v="494"/>
    <n v="1830197"/>
    <d v="2026-02-06T00:00:00"/>
    <s v="Sale"/>
    <n v="0"/>
  </r>
  <r>
    <x v="495"/>
    <n v="1830197"/>
    <d v="2026-02-06T00:00:00"/>
    <s v="Sale"/>
    <n v="0"/>
  </r>
  <r>
    <x v="496"/>
    <n v="1830197"/>
    <d v="2026-02-06T00:00:00"/>
    <s v="Sale"/>
    <n v="0"/>
  </r>
  <r>
    <x v="497"/>
    <n v="1830197"/>
    <d v="2026-02-06T00:00:00"/>
    <s v="Sale"/>
    <n v="0"/>
  </r>
  <r>
    <x v="498"/>
    <n v="1830197"/>
    <d v="2026-02-06T00:00:00"/>
    <s v="Sale"/>
    <n v="0"/>
  </r>
  <r>
    <x v="499"/>
    <n v="1830197"/>
    <d v="2026-02-06T00:00:00"/>
    <s v="Sale"/>
    <n v="-1"/>
  </r>
  <r>
    <x v="500"/>
    <n v="1830197"/>
    <d v="2026-02-06T00:00:00"/>
    <s v="Sale"/>
    <n v="3"/>
  </r>
  <r>
    <x v="501"/>
    <n v="1830197"/>
    <d v="2026-02-06T00:00:00"/>
    <s v="Sale"/>
    <n v="0"/>
  </r>
  <r>
    <x v="502"/>
    <n v="1830197"/>
    <d v="2026-02-06T00:00:00"/>
    <s v="Sale"/>
    <n v="0"/>
  </r>
  <r>
    <x v="503"/>
    <n v="1830197"/>
    <d v="2026-02-06T00:00:00"/>
    <s v="Sale"/>
    <n v="0.3"/>
  </r>
  <r>
    <x v="504"/>
    <n v="1830197"/>
    <d v="2026-02-06T00:00:00"/>
    <s v="Sale"/>
    <n v="0"/>
  </r>
  <r>
    <x v="505"/>
    <n v="1830197"/>
    <d v="2026-02-06T00:00:00"/>
    <s v="Sale"/>
    <n v="0"/>
  </r>
  <r>
    <x v="506"/>
    <n v="1830197"/>
    <d v="2026-02-06T00:00:00"/>
    <s v="Sale"/>
    <n v="0"/>
  </r>
  <r>
    <x v="507"/>
    <n v="1830197"/>
    <d v="2026-02-06T00:00:00"/>
    <s v="Sale"/>
    <n v="0"/>
  </r>
  <r>
    <x v="508"/>
    <n v="1830197"/>
    <d v="2026-02-06T00:00:00"/>
    <s v="Sale"/>
    <n v="0"/>
  </r>
  <r>
    <x v="509"/>
    <n v="1830197"/>
    <d v="2026-02-06T00:00:00"/>
    <s v="Sale"/>
    <n v="0"/>
  </r>
  <r>
    <x v="510"/>
    <n v="1830197"/>
    <d v="2026-02-06T00:00:00"/>
    <s v="Sale"/>
    <n v="0"/>
  </r>
  <r>
    <x v="511"/>
    <n v="1830197"/>
    <d v="2026-02-06T00:00:00"/>
    <s v="Sale"/>
    <n v="0"/>
  </r>
  <r>
    <x v="512"/>
    <n v="1830197"/>
    <d v="2026-02-06T00:00:00"/>
    <s v="Sale"/>
    <n v="0"/>
  </r>
  <r>
    <x v="513"/>
    <n v="1830197"/>
    <d v="2026-02-06T00:00:00"/>
    <s v="Sale"/>
    <n v="0"/>
  </r>
  <r>
    <x v="514"/>
    <n v="1830197"/>
    <d v="2026-02-06T00:00:00"/>
    <s v="Sale"/>
    <n v="0"/>
  </r>
  <r>
    <x v="515"/>
    <n v="1830197"/>
    <d v="2026-02-06T00:00:00"/>
    <s v="Sale"/>
    <n v="0"/>
  </r>
  <r>
    <x v="516"/>
    <n v="1830197"/>
    <d v="2026-02-06T00:00:00"/>
    <s v="Sale"/>
    <n v="0"/>
  </r>
  <r>
    <x v="517"/>
    <n v="1830197"/>
    <d v="2026-02-06T00:00:00"/>
    <s v="Sale"/>
    <n v="0"/>
  </r>
  <r>
    <x v="518"/>
    <n v="1830197"/>
    <d v="2026-02-06T00:00:00"/>
    <s v="Sale"/>
    <n v="0"/>
  </r>
  <r>
    <x v="519"/>
    <n v="1830197"/>
    <d v="2026-02-06T00:00:00"/>
    <s v="Sale"/>
    <n v="0"/>
  </r>
  <r>
    <x v="520"/>
    <n v="1830197"/>
    <d v="2026-02-06T00:00:00"/>
    <s v="Sale"/>
    <n v="0"/>
  </r>
  <r>
    <x v="521"/>
    <n v="1830197"/>
    <d v="2026-02-06T00:00:00"/>
    <s v="Sale"/>
    <n v="0"/>
  </r>
  <r>
    <x v="522"/>
    <n v="1830197"/>
    <d v="2026-02-06T00:00:00"/>
    <s v="Sale"/>
    <n v="0"/>
  </r>
  <r>
    <x v="0"/>
    <n v="1830197"/>
    <d v="2026-02-07T00:00:00"/>
    <s v="Sale"/>
    <n v="416"/>
  </r>
  <r>
    <x v="1"/>
    <n v="1830197"/>
    <d v="2026-02-07T00:00:00"/>
    <s v="Sale"/>
    <n v="83"/>
  </r>
  <r>
    <x v="2"/>
    <n v="1830197"/>
    <d v="2026-02-07T00:00:00"/>
    <s v="Sale"/>
    <n v="144"/>
  </r>
  <r>
    <x v="3"/>
    <n v="1830197"/>
    <d v="2026-02-07T00:00:00"/>
    <s v="Sale"/>
    <n v="447.75"/>
  </r>
  <r>
    <x v="4"/>
    <n v="1830197"/>
    <d v="2026-02-07T00:00:00"/>
    <s v="Sale"/>
    <n v="226"/>
  </r>
  <r>
    <x v="5"/>
    <n v="1830197"/>
    <d v="2026-02-07T00:00:00"/>
    <s v="Sale"/>
    <n v="10"/>
  </r>
  <r>
    <x v="6"/>
    <n v="1830197"/>
    <d v="2026-02-07T00:00:00"/>
    <s v="Sale"/>
    <n v="157"/>
  </r>
  <r>
    <x v="7"/>
    <n v="1830197"/>
    <d v="2026-02-07T00:00:00"/>
    <s v="Sale"/>
    <n v="0"/>
  </r>
  <r>
    <x v="8"/>
    <n v="1830197"/>
    <d v="2026-02-07T00:00:00"/>
    <s v="Sale"/>
    <n v="0"/>
  </r>
  <r>
    <x v="9"/>
    <n v="1830197"/>
    <d v="2026-02-07T00:00:00"/>
    <s v="Sale"/>
    <n v="3.21"/>
  </r>
  <r>
    <x v="10"/>
    <n v="1830197"/>
    <d v="2026-02-07T00:00:00"/>
    <s v="Sale"/>
    <n v="13"/>
  </r>
  <r>
    <x v="11"/>
    <n v="1830197"/>
    <d v="2026-02-07T00:00:00"/>
    <s v="Sale"/>
    <n v="617"/>
  </r>
  <r>
    <x v="12"/>
    <n v="1830197"/>
    <d v="2026-02-07T00:00:00"/>
    <s v="Sale"/>
    <n v="39.72"/>
  </r>
  <r>
    <x v="13"/>
    <n v="1830197"/>
    <d v="2026-02-07T00:00:00"/>
    <s v="Sale"/>
    <n v="232"/>
  </r>
  <r>
    <x v="14"/>
    <n v="1830197"/>
    <d v="2026-02-07T00:00:00"/>
    <s v="Sale"/>
    <n v="7.49"/>
  </r>
  <r>
    <x v="15"/>
    <n v="1830197"/>
    <d v="2026-02-07T00:00:00"/>
    <s v="Sale"/>
    <n v="85"/>
  </r>
  <r>
    <x v="16"/>
    <n v="1830197"/>
    <d v="2026-02-07T00:00:00"/>
    <s v="Sale"/>
    <n v="0.02"/>
  </r>
  <r>
    <x v="17"/>
    <n v="1830197"/>
    <d v="2026-02-07T00:00:00"/>
    <s v="Sale"/>
    <n v="0"/>
  </r>
  <r>
    <x v="18"/>
    <n v="1830197"/>
    <d v="2026-02-07T00:00:00"/>
    <s v="Sale"/>
    <n v="0"/>
  </r>
  <r>
    <x v="19"/>
    <n v="1830197"/>
    <d v="2026-02-07T00:00:00"/>
    <s v="Sale"/>
    <n v="0"/>
  </r>
  <r>
    <x v="20"/>
    <n v="1830197"/>
    <d v="2026-02-07T00:00:00"/>
    <s v="Sale"/>
    <n v="2066"/>
  </r>
  <r>
    <x v="21"/>
    <n v="1830197"/>
    <d v="2026-02-07T00:00:00"/>
    <s v="Sale"/>
    <n v="0"/>
  </r>
  <r>
    <x v="22"/>
    <n v="1830197"/>
    <d v="2026-02-07T00:00:00"/>
    <s v="Sale"/>
    <n v="173"/>
  </r>
  <r>
    <x v="23"/>
    <n v="1830197"/>
    <d v="2026-02-07T00:00:00"/>
    <s v="Sale"/>
    <n v="3.26"/>
  </r>
  <r>
    <x v="24"/>
    <n v="1830197"/>
    <d v="2026-02-07T00:00:00"/>
    <s v="Sale"/>
    <n v="0.88"/>
  </r>
  <r>
    <x v="25"/>
    <n v="1830197"/>
    <d v="2026-02-07T00:00:00"/>
    <s v="Sale"/>
    <n v="0"/>
  </r>
  <r>
    <x v="26"/>
    <n v="1830197"/>
    <d v="2026-02-07T00:00:00"/>
    <s v="Sale"/>
    <n v="0"/>
  </r>
  <r>
    <x v="27"/>
    <n v="1830197"/>
    <d v="2026-02-07T00:00:00"/>
    <s v="Sale"/>
    <n v="5"/>
  </r>
  <r>
    <x v="28"/>
    <n v="1830197"/>
    <d v="2026-02-07T00:00:00"/>
    <s v="Sale"/>
    <n v="0"/>
  </r>
  <r>
    <x v="29"/>
    <n v="1830197"/>
    <d v="2026-02-07T00:00:00"/>
    <s v="Sale"/>
    <n v="3"/>
  </r>
  <r>
    <x v="30"/>
    <n v="1830197"/>
    <d v="2026-02-07T00:00:00"/>
    <s v="Sale"/>
    <n v="-1"/>
  </r>
  <r>
    <x v="31"/>
    <n v="1830197"/>
    <d v="2026-02-07T00:00:00"/>
    <s v="Sale"/>
    <n v="23"/>
  </r>
  <r>
    <x v="32"/>
    <n v="1830197"/>
    <d v="2026-02-07T00:00:00"/>
    <s v="Sale"/>
    <n v="61"/>
  </r>
  <r>
    <x v="33"/>
    <n v="1830197"/>
    <d v="2026-02-07T00:00:00"/>
    <s v="Sale"/>
    <n v="9"/>
  </r>
  <r>
    <x v="34"/>
    <n v="1830197"/>
    <d v="2026-02-07T00:00:00"/>
    <s v="Sale"/>
    <n v="0"/>
  </r>
  <r>
    <x v="35"/>
    <n v="1830197"/>
    <d v="2026-02-07T00:00:00"/>
    <s v="Sale"/>
    <n v="14"/>
  </r>
  <r>
    <x v="36"/>
    <n v="1830197"/>
    <d v="2026-02-07T00:00:00"/>
    <s v="Sale"/>
    <n v="0"/>
  </r>
  <r>
    <x v="37"/>
    <n v="1830197"/>
    <d v="2026-02-07T00:00:00"/>
    <s v="Sale"/>
    <n v="0"/>
  </r>
  <r>
    <x v="38"/>
    <n v="1830197"/>
    <d v="2026-02-07T00:00:00"/>
    <s v="Sale"/>
    <n v="35"/>
  </r>
  <r>
    <x v="39"/>
    <n v="1830197"/>
    <d v="2026-02-07T00:00:00"/>
    <s v="Sale"/>
    <n v="0"/>
  </r>
  <r>
    <x v="40"/>
    <n v="1830197"/>
    <d v="2026-02-07T00:00:00"/>
    <s v="Sale"/>
    <n v="7"/>
  </r>
  <r>
    <x v="41"/>
    <n v="1830197"/>
    <d v="2026-02-07T00:00:00"/>
    <s v="Sale"/>
    <n v="102"/>
  </r>
  <r>
    <x v="42"/>
    <n v="1830197"/>
    <d v="2026-02-07T00:00:00"/>
    <s v="Sale"/>
    <n v="26"/>
  </r>
  <r>
    <x v="43"/>
    <n v="1830197"/>
    <d v="2026-02-07T00:00:00"/>
    <s v="Sale"/>
    <n v="90"/>
  </r>
  <r>
    <x v="44"/>
    <n v="1830197"/>
    <d v="2026-02-07T00:00:00"/>
    <s v="Sale"/>
    <n v="130"/>
  </r>
  <r>
    <x v="45"/>
    <n v="1830197"/>
    <d v="2026-02-07T00:00:00"/>
    <s v="Sale"/>
    <n v="618"/>
  </r>
  <r>
    <x v="46"/>
    <n v="1830197"/>
    <d v="2026-02-07T00:00:00"/>
    <s v="Sale"/>
    <n v="0"/>
  </r>
  <r>
    <x v="47"/>
    <n v="1830197"/>
    <d v="2026-02-07T00:00:00"/>
    <s v="Sale"/>
    <n v="208"/>
  </r>
  <r>
    <x v="48"/>
    <n v="1830197"/>
    <d v="2026-02-07T00:00:00"/>
    <s v="Sale"/>
    <n v="0"/>
  </r>
  <r>
    <x v="49"/>
    <n v="1830197"/>
    <d v="2026-02-07T00:00:00"/>
    <s v="Sale"/>
    <n v="0"/>
  </r>
  <r>
    <x v="50"/>
    <n v="1830197"/>
    <d v="2026-02-07T00:00:00"/>
    <s v="Sale"/>
    <n v="0"/>
  </r>
  <r>
    <x v="51"/>
    <n v="1830197"/>
    <d v="2026-02-07T00:00:00"/>
    <s v="Sale"/>
    <n v="0"/>
  </r>
  <r>
    <x v="52"/>
    <n v="1830197"/>
    <d v="2026-02-07T00:00:00"/>
    <s v="Sale"/>
    <n v="0"/>
  </r>
  <r>
    <x v="53"/>
    <n v="1830197"/>
    <d v="2026-02-07T00:00:00"/>
    <s v="Sale"/>
    <n v="130"/>
  </r>
  <r>
    <x v="54"/>
    <n v="1830197"/>
    <d v="2026-02-07T00:00:00"/>
    <s v="Sale"/>
    <n v="260"/>
  </r>
  <r>
    <x v="55"/>
    <n v="1830197"/>
    <d v="2026-02-07T00:00:00"/>
    <s v="Sale"/>
    <n v="25"/>
  </r>
  <r>
    <x v="56"/>
    <n v="1830197"/>
    <d v="2026-02-07T00:00:00"/>
    <s v="Sale"/>
    <n v="9.32"/>
  </r>
  <r>
    <x v="57"/>
    <n v="1830197"/>
    <d v="2026-02-07T00:00:00"/>
    <s v="Sale"/>
    <n v="0"/>
  </r>
  <r>
    <x v="58"/>
    <n v="1830197"/>
    <d v="2026-02-07T00:00:00"/>
    <s v="Sale"/>
    <n v="12"/>
  </r>
  <r>
    <x v="59"/>
    <n v="1830197"/>
    <d v="2026-02-07T00:00:00"/>
    <s v="Sale"/>
    <n v="5903"/>
  </r>
  <r>
    <x v="60"/>
    <n v="1830197"/>
    <d v="2026-02-07T00:00:00"/>
    <s v="Sale"/>
    <n v="0"/>
  </r>
  <r>
    <x v="61"/>
    <n v="1830197"/>
    <d v="2026-02-07T00:00:00"/>
    <s v="Sale"/>
    <n v="4"/>
  </r>
  <r>
    <x v="62"/>
    <n v="1830197"/>
    <d v="2026-02-07T00:00:00"/>
    <s v="Sale"/>
    <n v="0"/>
  </r>
  <r>
    <x v="63"/>
    <n v="1830197"/>
    <d v="2026-02-07T00:00:00"/>
    <s v="Sale"/>
    <n v="2"/>
  </r>
  <r>
    <x v="64"/>
    <n v="1830197"/>
    <d v="2026-02-07T00:00:00"/>
    <s v="Sale"/>
    <n v="1009"/>
  </r>
  <r>
    <x v="65"/>
    <n v="1830197"/>
    <d v="2026-02-07T00:00:00"/>
    <s v="Sale"/>
    <n v="0"/>
  </r>
  <r>
    <x v="66"/>
    <n v="1830197"/>
    <d v="2026-02-07T00:00:00"/>
    <s v="Sale"/>
    <n v="-2.2599999999999998"/>
  </r>
  <r>
    <x v="67"/>
    <n v="1830197"/>
    <d v="2026-02-07T00:00:00"/>
    <s v="Sale"/>
    <n v="5"/>
  </r>
  <r>
    <x v="68"/>
    <n v="1830197"/>
    <d v="2026-02-07T00:00:00"/>
    <s v="Sale"/>
    <n v="9"/>
  </r>
  <r>
    <x v="69"/>
    <n v="1830197"/>
    <d v="2026-02-07T00:00:00"/>
    <s v="Sale"/>
    <n v="0"/>
  </r>
  <r>
    <x v="70"/>
    <n v="1830197"/>
    <d v="2026-02-07T00:00:00"/>
    <s v="Sale"/>
    <n v="23"/>
  </r>
  <r>
    <x v="71"/>
    <n v="1830197"/>
    <d v="2026-02-07T00:00:00"/>
    <s v="Sale"/>
    <n v="46"/>
  </r>
  <r>
    <x v="72"/>
    <n v="1830197"/>
    <d v="2026-02-07T00:00:00"/>
    <s v="Sale"/>
    <n v="6"/>
  </r>
  <r>
    <x v="73"/>
    <n v="1830197"/>
    <d v="2026-02-07T00:00:00"/>
    <s v="Sale"/>
    <n v="22"/>
  </r>
  <r>
    <x v="74"/>
    <n v="1830197"/>
    <d v="2026-02-07T00:00:00"/>
    <s v="Sale"/>
    <n v="35"/>
  </r>
  <r>
    <x v="75"/>
    <n v="1830197"/>
    <d v="2026-02-07T00:00:00"/>
    <s v="Sale"/>
    <n v="0"/>
  </r>
  <r>
    <x v="76"/>
    <n v="1830197"/>
    <d v="2026-02-07T00:00:00"/>
    <s v="Sale"/>
    <n v="22"/>
  </r>
  <r>
    <x v="77"/>
    <n v="1830197"/>
    <d v="2026-02-07T00:00:00"/>
    <s v="Sale"/>
    <n v="0"/>
  </r>
  <r>
    <x v="78"/>
    <n v="1830197"/>
    <d v="2026-02-07T00:00:00"/>
    <s v="Sale"/>
    <n v="0"/>
  </r>
  <r>
    <x v="79"/>
    <n v="1830197"/>
    <d v="2026-02-07T00:00:00"/>
    <s v="Sale"/>
    <n v="5"/>
  </r>
  <r>
    <x v="80"/>
    <n v="1830197"/>
    <d v="2026-02-07T00:00:00"/>
    <s v="Sale"/>
    <n v="9"/>
  </r>
  <r>
    <x v="81"/>
    <n v="1830197"/>
    <d v="2026-02-07T00:00:00"/>
    <s v="Sale"/>
    <n v="0"/>
  </r>
  <r>
    <x v="82"/>
    <n v="1830197"/>
    <d v="2026-02-07T00:00:00"/>
    <s v="Sale"/>
    <n v="0"/>
  </r>
  <r>
    <x v="83"/>
    <n v="1830197"/>
    <d v="2026-02-07T00:00:00"/>
    <s v="Sale"/>
    <n v="3"/>
  </r>
  <r>
    <x v="84"/>
    <n v="1830197"/>
    <d v="2026-02-07T00:00:00"/>
    <s v="Sale"/>
    <n v="85"/>
  </r>
  <r>
    <x v="85"/>
    <n v="1830197"/>
    <d v="2026-02-07T00:00:00"/>
    <s v="Sale"/>
    <n v="0"/>
  </r>
  <r>
    <x v="86"/>
    <n v="1830197"/>
    <d v="2026-02-07T00:00:00"/>
    <s v="Sale"/>
    <n v="0"/>
  </r>
  <r>
    <x v="87"/>
    <n v="1830197"/>
    <d v="2026-02-07T00:00:00"/>
    <s v="Sale"/>
    <n v="0"/>
  </r>
  <r>
    <x v="88"/>
    <n v="1830197"/>
    <d v="2026-02-07T00:00:00"/>
    <s v="Sale"/>
    <n v="0"/>
  </r>
  <r>
    <x v="89"/>
    <n v="1830197"/>
    <d v="2026-02-07T00:00:00"/>
    <s v="Sale"/>
    <n v="0.1"/>
  </r>
  <r>
    <x v="90"/>
    <n v="1830197"/>
    <d v="2026-02-07T00:00:00"/>
    <s v="Sale"/>
    <n v="1111"/>
  </r>
  <r>
    <x v="91"/>
    <n v="1830197"/>
    <d v="2026-02-07T00:00:00"/>
    <s v="Sale"/>
    <n v="129"/>
  </r>
  <r>
    <x v="92"/>
    <n v="1830197"/>
    <d v="2026-02-07T00:00:00"/>
    <s v="Sale"/>
    <n v="0"/>
  </r>
  <r>
    <x v="93"/>
    <n v="1830197"/>
    <d v="2026-02-07T00:00:00"/>
    <s v="Sale"/>
    <n v="0"/>
  </r>
  <r>
    <x v="94"/>
    <n v="1830197"/>
    <d v="2026-02-07T00:00:00"/>
    <s v="Sale"/>
    <n v="388"/>
  </r>
  <r>
    <x v="95"/>
    <n v="1830197"/>
    <d v="2026-02-07T00:00:00"/>
    <s v="Sale"/>
    <n v="0"/>
  </r>
  <r>
    <x v="96"/>
    <n v="1830197"/>
    <d v="2026-02-07T00:00:00"/>
    <s v="Sale"/>
    <n v="168"/>
  </r>
  <r>
    <x v="97"/>
    <n v="1830197"/>
    <d v="2026-02-07T00:00:00"/>
    <s v="Sale"/>
    <n v="15"/>
  </r>
  <r>
    <x v="98"/>
    <n v="1830197"/>
    <d v="2026-02-07T00:00:00"/>
    <s v="Sale"/>
    <n v="84"/>
  </r>
  <r>
    <x v="99"/>
    <n v="1830197"/>
    <d v="2026-02-07T00:00:00"/>
    <s v="Sale"/>
    <n v="188"/>
  </r>
  <r>
    <x v="100"/>
    <n v="1830197"/>
    <d v="2026-02-07T00:00:00"/>
    <s v="Sale"/>
    <n v="5"/>
  </r>
  <r>
    <x v="101"/>
    <n v="1830197"/>
    <d v="2026-02-07T00:00:00"/>
    <s v="Sale"/>
    <n v="0"/>
  </r>
  <r>
    <x v="102"/>
    <n v="1830197"/>
    <d v="2026-02-07T00:00:00"/>
    <s v="Sale"/>
    <n v="62"/>
  </r>
  <r>
    <x v="103"/>
    <n v="1830197"/>
    <d v="2026-02-07T00:00:00"/>
    <s v="Sale"/>
    <n v="0"/>
  </r>
  <r>
    <x v="104"/>
    <n v="1830197"/>
    <d v="2026-02-07T00:00:00"/>
    <s v="Sale"/>
    <n v="0"/>
  </r>
  <r>
    <x v="105"/>
    <n v="1830197"/>
    <d v="2026-02-07T00:00:00"/>
    <s v="Sale"/>
    <n v="45"/>
  </r>
  <r>
    <x v="106"/>
    <n v="1830197"/>
    <d v="2026-02-07T00:00:00"/>
    <s v="Sale"/>
    <n v="369"/>
  </r>
  <r>
    <x v="107"/>
    <n v="1830197"/>
    <d v="2026-02-07T00:00:00"/>
    <s v="Sale"/>
    <n v="0"/>
  </r>
  <r>
    <x v="108"/>
    <n v="1830197"/>
    <d v="2026-02-07T00:00:00"/>
    <s v="Sale"/>
    <n v="0"/>
  </r>
  <r>
    <x v="109"/>
    <n v="1830197"/>
    <d v="2026-02-07T00:00:00"/>
    <s v="Sale"/>
    <n v="0"/>
  </r>
  <r>
    <x v="110"/>
    <n v="1830197"/>
    <d v="2026-02-07T00:00:00"/>
    <s v="Sale"/>
    <n v="0"/>
  </r>
  <r>
    <x v="111"/>
    <n v="1830197"/>
    <d v="2026-02-07T00:00:00"/>
    <s v="Sale"/>
    <n v="0"/>
  </r>
  <r>
    <x v="112"/>
    <n v="1830197"/>
    <d v="2026-02-07T00:00:00"/>
    <s v="Sale"/>
    <n v="0"/>
  </r>
  <r>
    <x v="113"/>
    <n v="1830197"/>
    <d v="2026-02-07T00:00:00"/>
    <s v="Sale"/>
    <n v="2.2200000000000002"/>
  </r>
  <r>
    <x v="114"/>
    <n v="1830197"/>
    <d v="2026-02-07T00:00:00"/>
    <s v="Sale"/>
    <n v="21.34"/>
  </r>
  <r>
    <x v="115"/>
    <n v="1830197"/>
    <d v="2026-02-07T00:00:00"/>
    <s v="Sale"/>
    <n v="50"/>
  </r>
  <r>
    <x v="116"/>
    <n v="1830197"/>
    <d v="2026-02-07T00:00:00"/>
    <s v="Sale"/>
    <n v="0"/>
  </r>
  <r>
    <x v="117"/>
    <n v="1830197"/>
    <d v="2026-02-07T00:00:00"/>
    <s v="Sale"/>
    <n v="0"/>
  </r>
  <r>
    <x v="118"/>
    <n v="1830197"/>
    <d v="2026-02-07T00:00:00"/>
    <s v="Sale"/>
    <n v="398"/>
  </r>
  <r>
    <x v="119"/>
    <n v="1830197"/>
    <d v="2026-02-07T00:00:00"/>
    <s v="Sale"/>
    <n v="70"/>
  </r>
  <r>
    <x v="120"/>
    <n v="1830197"/>
    <d v="2026-02-07T00:00:00"/>
    <s v="Sale"/>
    <n v="41"/>
  </r>
  <r>
    <x v="121"/>
    <n v="1830197"/>
    <d v="2026-02-07T00:00:00"/>
    <s v="Sale"/>
    <n v="0"/>
  </r>
  <r>
    <x v="122"/>
    <n v="1830197"/>
    <d v="2026-02-07T00:00:00"/>
    <s v="Sale"/>
    <n v="205"/>
  </r>
  <r>
    <x v="123"/>
    <n v="1830197"/>
    <d v="2026-02-07T00:00:00"/>
    <s v="Sale"/>
    <n v="0"/>
  </r>
  <r>
    <x v="124"/>
    <n v="1830197"/>
    <d v="2026-02-07T00:00:00"/>
    <s v="Sale"/>
    <n v="0"/>
  </r>
  <r>
    <x v="125"/>
    <n v="1830197"/>
    <d v="2026-02-07T00:00:00"/>
    <s v="Sale"/>
    <n v="0"/>
  </r>
  <r>
    <x v="126"/>
    <n v="1830197"/>
    <d v="2026-02-07T00:00:00"/>
    <s v="Sale"/>
    <n v="0"/>
  </r>
  <r>
    <x v="127"/>
    <n v="1830197"/>
    <d v="2026-02-07T00:00:00"/>
    <s v="Sale"/>
    <n v="116"/>
  </r>
  <r>
    <x v="128"/>
    <n v="1830197"/>
    <d v="2026-02-07T00:00:00"/>
    <s v="Sale"/>
    <n v="0"/>
  </r>
  <r>
    <x v="129"/>
    <n v="1830197"/>
    <d v="2026-02-07T00:00:00"/>
    <s v="Sale"/>
    <n v="0.1"/>
  </r>
  <r>
    <x v="130"/>
    <n v="1830197"/>
    <d v="2026-02-07T00:00:00"/>
    <s v="Sale"/>
    <n v="2"/>
  </r>
  <r>
    <x v="131"/>
    <n v="1830197"/>
    <d v="2026-02-07T00:00:00"/>
    <s v="Sale"/>
    <n v="657"/>
  </r>
  <r>
    <x v="132"/>
    <n v="1830197"/>
    <d v="2026-02-07T00:00:00"/>
    <s v="Sale"/>
    <n v="0"/>
  </r>
  <r>
    <x v="133"/>
    <n v="1830197"/>
    <d v="2026-02-07T00:00:00"/>
    <s v="Sale"/>
    <n v="0"/>
  </r>
  <r>
    <x v="134"/>
    <n v="1830197"/>
    <d v="2026-02-07T00:00:00"/>
    <s v="Sale"/>
    <n v="0"/>
  </r>
  <r>
    <x v="135"/>
    <n v="1830197"/>
    <d v="2026-02-07T00:00:00"/>
    <s v="Sale"/>
    <n v="0"/>
  </r>
  <r>
    <x v="136"/>
    <n v="1830197"/>
    <d v="2026-02-07T00:00:00"/>
    <s v="Sale"/>
    <n v="0"/>
  </r>
  <r>
    <x v="137"/>
    <n v="1830197"/>
    <d v="2026-02-07T00:00:00"/>
    <s v="Sale"/>
    <n v="0"/>
  </r>
  <r>
    <x v="138"/>
    <n v="1830197"/>
    <d v="2026-02-07T00:00:00"/>
    <s v="Sale"/>
    <n v="0"/>
  </r>
  <r>
    <x v="139"/>
    <n v="1830197"/>
    <d v="2026-02-07T00:00:00"/>
    <s v="Sale"/>
    <n v="0"/>
  </r>
  <r>
    <x v="140"/>
    <n v="1830197"/>
    <d v="2026-02-07T00:00:00"/>
    <s v="Sale"/>
    <n v="0"/>
  </r>
  <r>
    <x v="141"/>
    <n v="1830197"/>
    <d v="2026-02-07T00:00:00"/>
    <s v="Sale"/>
    <n v="0"/>
  </r>
  <r>
    <x v="142"/>
    <n v="1830197"/>
    <d v="2026-02-07T00:00:00"/>
    <s v="Sale"/>
    <n v="12"/>
  </r>
  <r>
    <x v="143"/>
    <n v="1830197"/>
    <d v="2026-02-07T00:00:00"/>
    <s v="Sale"/>
    <n v="16"/>
  </r>
  <r>
    <x v="144"/>
    <n v="1830197"/>
    <d v="2026-02-07T00:00:00"/>
    <s v="Sale"/>
    <n v="-3.74"/>
  </r>
  <r>
    <x v="145"/>
    <n v="1830197"/>
    <d v="2026-02-07T00:00:00"/>
    <s v="Sale"/>
    <n v="0"/>
  </r>
  <r>
    <x v="146"/>
    <n v="1830197"/>
    <d v="2026-02-07T00:00:00"/>
    <s v="Sale"/>
    <n v="0"/>
  </r>
  <r>
    <x v="147"/>
    <n v="1830197"/>
    <d v="2026-02-07T00:00:00"/>
    <s v="Sale"/>
    <n v="0"/>
  </r>
  <r>
    <x v="148"/>
    <n v="1830197"/>
    <d v="2026-02-07T00:00:00"/>
    <s v="Sale"/>
    <n v="11"/>
  </r>
  <r>
    <x v="149"/>
    <n v="1830197"/>
    <d v="2026-02-07T00:00:00"/>
    <s v="Sale"/>
    <n v="206"/>
  </r>
  <r>
    <x v="150"/>
    <n v="1830197"/>
    <d v="2026-02-07T00:00:00"/>
    <s v="Sale"/>
    <n v="10"/>
  </r>
  <r>
    <x v="151"/>
    <n v="1830197"/>
    <d v="2026-02-07T00:00:00"/>
    <s v="Sale"/>
    <n v="0"/>
  </r>
  <r>
    <x v="152"/>
    <n v="1830197"/>
    <d v="2026-02-07T00:00:00"/>
    <s v="Sale"/>
    <n v="0"/>
  </r>
  <r>
    <x v="153"/>
    <n v="1830197"/>
    <d v="2026-02-07T00:00:00"/>
    <s v="Sale"/>
    <n v="12"/>
  </r>
  <r>
    <x v="154"/>
    <n v="1830197"/>
    <d v="2026-02-07T00:00:00"/>
    <s v="Sale"/>
    <n v="0.1"/>
  </r>
  <r>
    <x v="155"/>
    <n v="1830197"/>
    <d v="2026-02-07T00:00:00"/>
    <s v="Sale"/>
    <n v="0.27"/>
  </r>
  <r>
    <x v="156"/>
    <n v="1830197"/>
    <d v="2026-02-07T00:00:00"/>
    <s v="Sale"/>
    <n v="0"/>
  </r>
  <r>
    <x v="157"/>
    <n v="1830197"/>
    <d v="2026-02-07T00:00:00"/>
    <s v="Sale"/>
    <n v="0"/>
  </r>
  <r>
    <x v="158"/>
    <n v="1830197"/>
    <d v="2026-02-07T00:00:00"/>
    <s v="Sale"/>
    <n v="0"/>
  </r>
  <r>
    <x v="159"/>
    <n v="1830197"/>
    <d v="2026-02-07T00:00:00"/>
    <s v="Sale"/>
    <n v="9.8699999999999992"/>
  </r>
  <r>
    <x v="160"/>
    <n v="1830197"/>
    <d v="2026-02-07T00:00:00"/>
    <s v="Sale"/>
    <n v="1"/>
  </r>
  <r>
    <x v="161"/>
    <n v="1830197"/>
    <d v="2026-02-07T00:00:00"/>
    <s v="Sale"/>
    <n v="0"/>
  </r>
  <r>
    <x v="162"/>
    <n v="1830197"/>
    <d v="2026-02-07T00:00:00"/>
    <s v="Sale"/>
    <n v="5"/>
  </r>
  <r>
    <x v="163"/>
    <n v="1830197"/>
    <d v="2026-02-07T00:00:00"/>
    <s v="Sale"/>
    <n v="0"/>
  </r>
  <r>
    <x v="164"/>
    <n v="1830197"/>
    <d v="2026-02-07T00:00:00"/>
    <s v="Sale"/>
    <n v="0"/>
  </r>
  <r>
    <x v="165"/>
    <n v="1830197"/>
    <d v="2026-02-07T00:00:00"/>
    <s v="Sale"/>
    <n v="0"/>
  </r>
  <r>
    <x v="166"/>
    <n v="1830197"/>
    <d v="2026-02-07T00:00:00"/>
    <s v="Sale"/>
    <n v="0"/>
  </r>
  <r>
    <x v="167"/>
    <n v="1830197"/>
    <d v="2026-02-07T00:00:00"/>
    <s v="Sale"/>
    <n v="0"/>
  </r>
  <r>
    <x v="168"/>
    <n v="1830197"/>
    <d v="2026-02-07T00:00:00"/>
    <s v="Sale"/>
    <n v="0"/>
  </r>
  <r>
    <x v="169"/>
    <n v="1830197"/>
    <d v="2026-02-07T00:00:00"/>
    <s v="Sale"/>
    <n v="0.1"/>
  </r>
  <r>
    <x v="170"/>
    <n v="1830197"/>
    <d v="2026-02-07T00:00:00"/>
    <s v="Sale"/>
    <n v="0"/>
  </r>
  <r>
    <x v="171"/>
    <n v="1830197"/>
    <d v="2026-02-07T00:00:00"/>
    <s v="Sale"/>
    <n v="11"/>
  </r>
  <r>
    <x v="172"/>
    <n v="1830197"/>
    <d v="2026-02-07T00:00:00"/>
    <s v="Sale"/>
    <n v="202"/>
  </r>
  <r>
    <x v="173"/>
    <n v="1830197"/>
    <d v="2026-02-07T00:00:00"/>
    <s v="Sale"/>
    <n v="0"/>
  </r>
  <r>
    <x v="174"/>
    <n v="1830197"/>
    <d v="2026-02-07T00:00:00"/>
    <s v="Sale"/>
    <n v="0"/>
  </r>
  <r>
    <x v="175"/>
    <n v="1830197"/>
    <d v="2026-02-07T00:00:00"/>
    <s v="Sale"/>
    <n v="646"/>
  </r>
  <r>
    <x v="176"/>
    <n v="1830197"/>
    <d v="2026-02-07T00:00:00"/>
    <s v="Sale"/>
    <n v="188"/>
  </r>
  <r>
    <x v="177"/>
    <n v="1830197"/>
    <d v="2026-02-07T00:00:00"/>
    <s v="Sale"/>
    <n v="0"/>
  </r>
  <r>
    <x v="178"/>
    <n v="1830197"/>
    <d v="2026-02-07T00:00:00"/>
    <s v="Sale"/>
    <n v="72"/>
  </r>
  <r>
    <x v="179"/>
    <n v="1830197"/>
    <d v="2026-02-07T00:00:00"/>
    <s v="Sale"/>
    <n v="0.1"/>
  </r>
  <r>
    <x v="180"/>
    <n v="1830197"/>
    <d v="2026-02-07T00:00:00"/>
    <s v="Sale"/>
    <n v="0"/>
  </r>
  <r>
    <x v="181"/>
    <n v="1830197"/>
    <d v="2026-02-07T00:00:00"/>
    <s v="Sale"/>
    <n v="1.35"/>
  </r>
  <r>
    <x v="182"/>
    <n v="1830197"/>
    <d v="2026-02-07T00:00:00"/>
    <s v="Sale"/>
    <n v="0"/>
  </r>
  <r>
    <x v="183"/>
    <n v="1830197"/>
    <d v="2026-02-07T00:00:00"/>
    <s v="Sale"/>
    <n v="0"/>
  </r>
  <r>
    <x v="184"/>
    <n v="1830197"/>
    <d v="2026-02-07T00:00:00"/>
    <s v="Sale"/>
    <n v="0"/>
  </r>
  <r>
    <x v="185"/>
    <n v="1830197"/>
    <d v="2026-02-07T00:00:00"/>
    <s v="Sale"/>
    <n v="17"/>
  </r>
  <r>
    <x v="186"/>
    <n v="1830197"/>
    <d v="2026-02-07T00:00:00"/>
    <s v="Sale"/>
    <n v="66"/>
  </r>
  <r>
    <x v="187"/>
    <n v="1830197"/>
    <d v="2026-02-07T00:00:00"/>
    <s v="Sale"/>
    <n v="150"/>
  </r>
  <r>
    <x v="188"/>
    <n v="1830197"/>
    <d v="2026-02-07T00:00:00"/>
    <s v="Sale"/>
    <n v="0"/>
  </r>
  <r>
    <x v="189"/>
    <n v="1830197"/>
    <d v="2026-02-07T00:00:00"/>
    <s v="Sale"/>
    <n v="0"/>
  </r>
  <r>
    <x v="190"/>
    <n v="1830197"/>
    <d v="2026-02-07T00:00:00"/>
    <s v="Sale"/>
    <n v="22"/>
  </r>
  <r>
    <x v="191"/>
    <n v="1830197"/>
    <d v="2026-02-07T00:00:00"/>
    <s v="Sale"/>
    <n v="0.89"/>
  </r>
  <r>
    <x v="192"/>
    <n v="1830197"/>
    <d v="2026-02-07T00:00:00"/>
    <s v="Sale"/>
    <n v="0"/>
  </r>
  <r>
    <x v="193"/>
    <n v="1830197"/>
    <d v="2026-02-07T00:00:00"/>
    <s v="Sale"/>
    <n v="0"/>
  </r>
  <r>
    <x v="194"/>
    <n v="1830197"/>
    <d v="2026-02-07T00:00:00"/>
    <s v="Sale"/>
    <n v="0"/>
  </r>
  <r>
    <x v="195"/>
    <n v="1830197"/>
    <d v="2026-02-07T00:00:00"/>
    <s v="Sale"/>
    <n v="0"/>
  </r>
  <r>
    <x v="196"/>
    <n v="1830197"/>
    <d v="2026-02-07T00:00:00"/>
    <s v="Sale"/>
    <n v="0"/>
  </r>
  <r>
    <x v="197"/>
    <n v="1830197"/>
    <d v="2026-02-07T00:00:00"/>
    <s v="Sale"/>
    <n v="219"/>
  </r>
  <r>
    <x v="198"/>
    <n v="1830197"/>
    <d v="2026-02-07T00:00:00"/>
    <s v="Sale"/>
    <n v="0"/>
  </r>
  <r>
    <x v="199"/>
    <n v="1830197"/>
    <d v="2026-02-07T00:00:00"/>
    <s v="Sale"/>
    <n v="0"/>
  </r>
  <r>
    <x v="200"/>
    <n v="1830197"/>
    <d v="2026-02-07T00:00:00"/>
    <s v="Sale"/>
    <n v="0"/>
  </r>
  <r>
    <x v="201"/>
    <n v="1830197"/>
    <d v="2026-02-07T00:00:00"/>
    <s v="Sale"/>
    <n v="0"/>
  </r>
  <r>
    <x v="202"/>
    <n v="1830197"/>
    <d v="2026-02-07T00:00:00"/>
    <s v="Sale"/>
    <n v="0"/>
  </r>
  <r>
    <x v="203"/>
    <n v="1830197"/>
    <d v="2026-02-07T00:00:00"/>
    <s v="Sale"/>
    <n v="6"/>
  </r>
  <r>
    <x v="204"/>
    <n v="1830197"/>
    <d v="2026-02-07T00:00:00"/>
    <s v="Sale"/>
    <n v="0"/>
  </r>
  <r>
    <x v="205"/>
    <n v="1830197"/>
    <d v="2026-02-07T00:00:00"/>
    <s v="Sale"/>
    <n v="0"/>
  </r>
  <r>
    <x v="206"/>
    <n v="1830197"/>
    <d v="2026-02-07T00:00:00"/>
    <s v="Sale"/>
    <n v="0"/>
  </r>
  <r>
    <x v="207"/>
    <n v="1830197"/>
    <d v="2026-02-07T00:00:00"/>
    <s v="Sale"/>
    <n v="50"/>
  </r>
  <r>
    <x v="208"/>
    <n v="1830197"/>
    <d v="2026-02-07T00:00:00"/>
    <s v="Sale"/>
    <n v="0"/>
  </r>
  <r>
    <x v="209"/>
    <n v="1830197"/>
    <d v="2026-02-07T00:00:00"/>
    <s v="Sale"/>
    <n v="29"/>
  </r>
  <r>
    <x v="210"/>
    <n v="1830197"/>
    <d v="2026-02-07T00:00:00"/>
    <s v="Sale"/>
    <n v="0"/>
  </r>
  <r>
    <x v="211"/>
    <n v="1830197"/>
    <d v="2026-02-07T00:00:00"/>
    <s v="Sale"/>
    <n v="0"/>
  </r>
  <r>
    <x v="212"/>
    <n v="1830197"/>
    <d v="2026-02-07T00:00:00"/>
    <s v="Sale"/>
    <n v="78"/>
  </r>
  <r>
    <x v="213"/>
    <n v="1830197"/>
    <d v="2026-02-07T00:00:00"/>
    <s v="Sale"/>
    <n v="0"/>
  </r>
  <r>
    <x v="214"/>
    <n v="1830197"/>
    <d v="2026-02-07T00:00:00"/>
    <s v="Sale"/>
    <n v="0"/>
  </r>
  <r>
    <x v="215"/>
    <n v="1830197"/>
    <d v="2026-02-07T00:00:00"/>
    <s v="Sale"/>
    <n v="0"/>
  </r>
  <r>
    <x v="216"/>
    <n v="1830197"/>
    <d v="2026-02-07T00:00:00"/>
    <s v="Sale"/>
    <n v="0"/>
  </r>
  <r>
    <x v="217"/>
    <n v="1830197"/>
    <d v="2026-02-07T00:00:00"/>
    <s v="Sale"/>
    <n v="0"/>
  </r>
  <r>
    <x v="218"/>
    <n v="1830197"/>
    <d v="2026-02-07T00:00:00"/>
    <s v="Sale"/>
    <n v="0"/>
  </r>
  <r>
    <x v="219"/>
    <n v="1830197"/>
    <d v="2026-02-07T00:00:00"/>
    <s v="Sale"/>
    <n v="0"/>
  </r>
  <r>
    <x v="220"/>
    <n v="1830197"/>
    <d v="2026-02-07T00:00:00"/>
    <s v="Sale"/>
    <n v="13"/>
  </r>
  <r>
    <x v="221"/>
    <n v="1830197"/>
    <d v="2026-02-07T00:00:00"/>
    <s v="Sale"/>
    <n v="23"/>
  </r>
  <r>
    <x v="222"/>
    <n v="1830197"/>
    <d v="2026-02-07T00:00:00"/>
    <s v="Sale"/>
    <n v="316"/>
  </r>
  <r>
    <x v="223"/>
    <n v="1830197"/>
    <d v="2026-02-07T00:00:00"/>
    <s v="Sale"/>
    <n v="3.12"/>
  </r>
  <r>
    <x v="224"/>
    <n v="1830197"/>
    <d v="2026-02-07T00:00:00"/>
    <s v="Sale"/>
    <n v="8.5"/>
  </r>
  <r>
    <x v="225"/>
    <n v="1830197"/>
    <d v="2026-02-07T00:00:00"/>
    <s v="Sale"/>
    <n v="0"/>
  </r>
  <r>
    <x v="226"/>
    <n v="1830197"/>
    <d v="2026-02-07T00:00:00"/>
    <s v="Sale"/>
    <n v="-2"/>
  </r>
  <r>
    <x v="227"/>
    <n v="1830197"/>
    <d v="2026-02-07T00:00:00"/>
    <s v="Sale"/>
    <n v="0"/>
  </r>
  <r>
    <x v="228"/>
    <n v="1830197"/>
    <d v="2026-02-07T00:00:00"/>
    <s v="Sale"/>
    <n v="0"/>
  </r>
  <r>
    <x v="229"/>
    <n v="1830197"/>
    <d v="2026-02-07T00:00:00"/>
    <s v="Sale"/>
    <n v="0"/>
  </r>
  <r>
    <x v="230"/>
    <n v="1830197"/>
    <d v="2026-02-07T00:00:00"/>
    <s v="Sale"/>
    <n v="0"/>
  </r>
  <r>
    <x v="231"/>
    <n v="1830197"/>
    <d v="2026-02-07T00:00:00"/>
    <s v="Sale"/>
    <n v="0"/>
  </r>
  <r>
    <x v="232"/>
    <n v="1830197"/>
    <d v="2026-02-07T00:00:00"/>
    <s v="Sale"/>
    <n v="11"/>
  </r>
  <r>
    <x v="233"/>
    <n v="1830197"/>
    <d v="2026-02-07T00:00:00"/>
    <s v="Sale"/>
    <n v="0"/>
  </r>
  <r>
    <x v="234"/>
    <n v="1830197"/>
    <d v="2026-02-07T00:00:00"/>
    <s v="Sale"/>
    <n v="0"/>
  </r>
  <r>
    <x v="235"/>
    <n v="1830197"/>
    <d v="2026-02-07T00:00:00"/>
    <s v="Sale"/>
    <n v="0"/>
  </r>
  <r>
    <x v="236"/>
    <n v="1830197"/>
    <d v="2026-02-07T00:00:00"/>
    <s v="Sale"/>
    <n v="0"/>
  </r>
  <r>
    <x v="237"/>
    <n v="1830197"/>
    <d v="2026-02-07T00:00:00"/>
    <s v="Sale"/>
    <n v="0"/>
  </r>
  <r>
    <x v="238"/>
    <n v="1830197"/>
    <d v="2026-02-07T00:00:00"/>
    <s v="Sale"/>
    <n v="0"/>
  </r>
  <r>
    <x v="239"/>
    <n v="1830197"/>
    <d v="2026-02-07T00:00:00"/>
    <s v="Sale"/>
    <n v="0"/>
  </r>
  <r>
    <x v="240"/>
    <n v="1830197"/>
    <d v="2026-02-07T00:00:00"/>
    <s v="Sale"/>
    <n v="31"/>
  </r>
  <r>
    <x v="241"/>
    <n v="1830197"/>
    <d v="2026-02-07T00:00:00"/>
    <s v="Sale"/>
    <n v="0"/>
  </r>
  <r>
    <x v="242"/>
    <n v="1830197"/>
    <d v="2026-02-07T00:00:00"/>
    <s v="Sale"/>
    <n v="2"/>
  </r>
  <r>
    <x v="243"/>
    <n v="1830197"/>
    <d v="2026-02-07T00:00:00"/>
    <s v="Sale"/>
    <n v="0"/>
  </r>
  <r>
    <x v="244"/>
    <n v="1830197"/>
    <d v="2026-02-07T00:00:00"/>
    <s v="Sale"/>
    <n v="0"/>
  </r>
  <r>
    <x v="245"/>
    <n v="1830197"/>
    <d v="2026-02-07T00:00:00"/>
    <s v="Sale"/>
    <n v="0"/>
  </r>
  <r>
    <x v="246"/>
    <n v="1830197"/>
    <d v="2026-02-07T00:00:00"/>
    <s v="Sale"/>
    <n v="4.03"/>
  </r>
  <r>
    <x v="247"/>
    <n v="1830197"/>
    <d v="2026-02-07T00:00:00"/>
    <s v="Sale"/>
    <n v="0"/>
  </r>
  <r>
    <x v="248"/>
    <n v="1830197"/>
    <d v="2026-02-07T00:00:00"/>
    <s v="Sale"/>
    <n v="19"/>
  </r>
  <r>
    <x v="249"/>
    <n v="1830197"/>
    <d v="2026-02-07T00:00:00"/>
    <s v="Sale"/>
    <n v="0"/>
  </r>
  <r>
    <x v="250"/>
    <n v="1830197"/>
    <d v="2026-02-07T00:00:00"/>
    <s v="Sale"/>
    <n v="0"/>
  </r>
  <r>
    <x v="251"/>
    <n v="1830197"/>
    <d v="2026-02-07T00:00:00"/>
    <s v="Sale"/>
    <n v="0"/>
  </r>
  <r>
    <x v="252"/>
    <n v="1830197"/>
    <d v="2026-02-07T00:00:00"/>
    <s v="Sale"/>
    <n v="0"/>
  </r>
  <r>
    <x v="253"/>
    <n v="1830197"/>
    <d v="2026-02-07T00:00:00"/>
    <s v="Sale"/>
    <n v="0"/>
  </r>
  <r>
    <x v="254"/>
    <n v="1830197"/>
    <d v="2026-02-07T00:00:00"/>
    <s v="Sale"/>
    <n v="0"/>
  </r>
  <r>
    <x v="255"/>
    <n v="1830197"/>
    <d v="2026-02-07T00:00:00"/>
    <s v="Sale"/>
    <n v="0"/>
  </r>
  <r>
    <x v="256"/>
    <n v="1830197"/>
    <d v="2026-02-07T00:00:00"/>
    <s v="Sale"/>
    <n v="0"/>
  </r>
  <r>
    <x v="257"/>
    <n v="1830197"/>
    <d v="2026-02-07T00:00:00"/>
    <s v="Sale"/>
    <n v="0"/>
  </r>
  <r>
    <x v="258"/>
    <n v="1830197"/>
    <d v="2026-02-07T00:00:00"/>
    <s v="Sale"/>
    <n v="0"/>
  </r>
  <r>
    <x v="259"/>
    <n v="1830197"/>
    <d v="2026-02-07T00:00:00"/>
    <s v="Sale"/>
    <n v="0"/>
  </r>
  <r>
    <x v="260"/>
    <n v="1830197"/>
    <d v="2026-02-07T00:00:00"/>
    <s v="Sale"/>
    <n v="210"/>
  </r>
  <r>
    <x v="261"/>
    <n v="1830197"/>
    <d v="2026-02-07T00:00:00"/>
    <s v="Sale"/>
    <n v="0"/>
  </r>
  <r>
    <x v="262"/>
    <n v="1830197"/>
    <d v="2026-02-07T00:00:00"/>
    <s v="Sale"/>
    <n v="0"/>
  </r>
  <r>
    <x v="263"/>
    <n v="1830197"/>
    <d v="2026-02-07T00:00:00"/>
    <s v="Sale"/>
    <n v="0"/>
  </r>
  <r>
    <x v="264"/>
    <n v="1830197"/>
    <d v="2026-02-07T00:00:00"/>
    <s v="Sale"/>
    <n v="2"/>
  </r>
  <r>
    <x v="265"/>
    <n v="1830197"/>
    <d v="2026-02-07T00:00:00"/>
    <s v="Sale"/>
    <n v="138"/>
  </r>
  <r>
    <x v="266"/>
    <n v="1830197"/>
    <d v="2026-02-07T00:00:00"/>
    <s v="Sale"/>
    <n v="54"/>
  </r>
  <r>
    <x v="267"/>
    <n v="1830197"/>
    <d v="2026-02-07T00:00:00"/>
    <s v="Sale"/>
    <n v="0"/>
  </r>
  <r>
    <x v="268"/>
    <n v="1830197"/>
    <d v="2026-02-07T00:00:00"/>
    <s v="Sale"/>
    <n v="94"/>
  </r>
  <r>
    <x v="269"/>
    <n v="1830197"/>
    <d v="2026-02-07T00:00:00"/>
    <s v="Sale"/>
    <n v="0"/>
  </r>
  <r>
    <x v="270"/>
    <n v="1830197"/>
    <d v="2026-02-07T00:00:00"/>
    <s v="Sale"/>
    <n v="0"/>
  </r>
  <r>
    <x v="271"/>
    <n v="1830197"/>
    <d v="2026-02-07T00:00:00"/>
    <s v="Sale"/>
    <n v="2"/>
  </r>
  <r>
    <x v="272"/>
    <n v="1830197"/>
    <d v="2026-02-07T00:00:00"/>
    <s v="Sale"/>
    <n v="0"/>
  </r>
  <r>
    <x v="273"/>
    <n v="1830197"/>
    <d v="2026-02-07T00:00:00"/>
    <s v="Sale"/>
    <n v="249"/>
  </r>
  <r>
    <x v="274"/>
    <n v="1830197"/>
    <d v="2026-02-07T00:00:00"/>
    <s v="Sale"/>
    <n v="0"/>
  </r>
  <r>
    <x v="275"/>
    <n v="1830197"/>
    <d v="2026-02-07T00:00:00"/>
    <s v="Sale"/>
    <n v="0.1"/>
  </r>
  <r>
    <x v="276"/>
    <n v="1830197"/>
    <d v="2026-02-07T00:00:00"/>
    <s v="Sale"/>
    <n v="6"/>
  </r>
  <r>
    <x v="277"/>
    <n v="1830197"/>
    <d v="2026-02-07T00:00:00"/>
    <s v="Sale"/>
    <n v="3"/>
  </r>
  <r>
    <x v="278"/>
    <n v="1830197"/>
    <d v="2026-02-07T00:00:00"/>
    <s v="Sale"/>
    <n v="168"/>
  </r>
  <r>
    <x v="279"/>
    <n v="1830197"/>
    <d v="2026-02-07T00:00:00"/>
    <s v="Sale"/>
    <n v="0"/>
  </r>
  <r>
    <x v="280"/>
    <n v="1830197"/>
    <d v="2026-02-07T00:00:00"/>
    <s v="Sale"/>
    <n v="0"/>
  </r>
  <r>
    <x v="281"/>
    <n v="1830197"/>
    <d v="2026-02-07T00:00:00"/>
    <s v="Sale"/>
    <n v="76"/>
  </r>
  <r>
    <x v="282"/>
    <n v="1830197"/>
    <d v="2026-02-07T00:00:00"/>
    <s v="Sale"/>
    <n v="0"/>
  </r>
  <r>
    <x v="283"/>
    <n v="1830197"/>
    <d v="2026-02-07T00:00:00"/>
    <s v="Sale"/>
    <n v="0"/>
  </r>
  <r>
    <x v="284"/>
    <n v="1830197"/>
    <d v="2026-02-07T00:00:00"/>
    <s v="Sale"/>
    <n v="4"/>
  </r>
  <r>
    <x v="285"/>
    <n v="1830197"/>
    <d v="2026-02-07T00:00:00"/>
    <s v="Sale"/>
    <n v="0"/>
  </r>
  <r>
    <x v="286"/>
    <n v="1830197"/>
    <d v="2026-02-07T00:00:00"/>
    <s v="Sale"/>
    <n v="0"/>
  </r>
  <r>
    <x v="287"/>
    <n v="1830197"/>
    <d v="2026-02-07T00:00:00"/>
    <s v="Sale"/>
    <n v="0"/>
  </r>
  <r>
    <x v="288"/>
    <n v="1830197"/>
    <d v="2026-02-07T00:00:00"/>
    <s v="Sale"/>
    <n v="0"/>
  </r>
  <r>
    <x v="289"/>
    <n v="1830197"/>
    <d v="2026-02-07T00:00:00"/>
    <s v="Sale"/>
    <n v="0"/>
  </r>
  <r>
    <x v="290"/>
    <n v="1830197"/>
    <d v="2026-02-07T00:00:00"/>
    <s v="Sale"/>
    <n v="102"/>
  </r>
  <r>
    <x v="291"/>
    <n v="1830197"/>
    <d v="2026-02-07T00:00:00"/>
    <s v="Sale"/>
    <n v="0"/>
  </r>
  <r>
    <x v="292"/>
    <n v="1830197"/>
    <d v="2026-02-07T00:00:00"/>
    <s v="Sale"/>
    <n v="0"/>
  </r>
  <r>
    <x v="293"/>
    <n v="1830197"/>
    <d v="2026-02-07T00:00:00"/>
    <s v="Sale"/>
    <n v="0"/>
  </r>
  <r>
    <x v="294"/>
    <n v="1830197"/>
    <d v="2026-02-07T00:00:00"/>
    <s v="Sale"/>
    <n v="1"/>
  </r>
  <r>
    <x v="295"/>
    <n v="1830197"/>
    <d v="2026-02-07T00:00:00"/>
    <s v="Sale"/>
    <n v="0"/>
  </r>
  <r>
    <x v="296"/>
    <n v="1830197"/>
    <d v="2026-02-07T00:00:00"/>
    <s v="Sale"/>
    <n v="0.2"/>
  </r>
  <r>
    <x v="297"/>
    <n v="1830197"/>
    <d v="2026-02-07T00:00:00"/>
    <s v="Sale"/>
    <n v="0"/>
  </r>
  <r>
    <x v="298"/>
    <n v="1830197"/>
    <d v="2026-02-07T00:00:00"/>
    <s v="Sale"/>
    <n v="0.14000000000000001"/>
  </r>
  <r>
    <x v="299"/>
    <n v="1830197"/>
    <d v="2026-02-07T00:00:00"/>
    <s v="Sale"/>
    <n v="0"/>
  </r>
  <r>
    <x v="300"/>
    <n v="1830197"/>
    <d v="2026-02-07T00:00:00"/>
    <s v="Sale"/>
    <n v="0"/>
  </r>
  <r>
    <x v="301"/>
    <n v="1830197"/>
    <d v="2026-02-07T00:00:00"/>
    <s v="Sale"/>
    <n v="0"/>
  </r>
  <r>
    <x v="302"/>
    <n v="1830197"/>
    <d v="2026-02-07T00:00:00"/>
    <s v="Sale"/>
    <n v="0"/>
  </r>
  <r>
    <x v="303"/>
    <n v="1830197"/>
    <d v="2026-02-07T00:00:00"/>
    <s v="Sale"/>
    <n v="0"/>
  </r>
  <r>
    <x v="304"/>
    <n v="1830197"/>
    <d v="2026-02-07T00:00:00"/>
    <s v="Sale"/>
    <n v="0"/>
  </r>
  <r>
    <x v="305"/>
    <n v="1830197"/>
    <d v="2026-02-07T00:00:00"/>
    <s v="Sale"/>
    <n v="0"/>
  </r>
  <r>
    <x v="306"/>
    <n v="1830197"/>
    <d v="2026-02-07T00:00:00"/>
    <s v="Sale"/>
    <n v="61"/>
  </r>
  <r>
    <x v="307"/>
    <n v="1830197"/>
    <d v="2026-02-07T00:00:00"/>
    <s v="Sale"/>
    <n v="1"/>
  </r>
  <r>
    <x v="308"/>
    <n v="1830197"/>
    <d v="2026-02-07T00:00:00"/>
    <s v="Sale"/>
    <n v="1.3"/>
  </r>
  <r>
    <x v="309"/>
    <n v="1830197"/>
    <d v="2026-02-07T00:00:00"/>
    <s v="Sale"/>
    <n v="0"/>
  </r>
  <r>
    <x v="310"/>
    <n v="1830197"/>
    <d v="2026-02-07T00:00:00"/>
    <s v="Sale"/>
    <n v="1.8"/>
  </r>
  <r>
    <x v="311"/>
    <n v="1830197"/>
    <d v="2026-02-07T00:00:00"/>
    <s v="Sale"/>
    <n v="20"/>
  </r>
  <r>
    <x v="312"/>
    <n v="1830197"/>
    <d v="2026-02-07T00:00:00"/>
    <s v="Sale"/>
    <n v="0"/>
  </r>
  <r>
    <x v="313"/>
    <n v="1830197"/>
    <d v="2026-02-07T00:00:00"/>
    <s v="Sale"/>
    <n v="17"/>
  </r>
  <r>
    <x v="314"/>
    <n v="1830197"/>
    <d v="2026-02-07T00:00:00"/>
    <s v="Sale"/>
    <n v="0"/>
  </r>
  <r>
    <x v="315"/>
    <n v="1830197"/>
    <d v="2026-02-07T00:00:00"/>
    <s v="Sale"/>
    <n v="0"/>
  </r>
  <r>
    <x v="316"/>
    <n v="1830197"/>
    <d v="2026-02-07T00:00:00"/>
    <s v="Sale"/>
    <n v="0"/>
  </r>
  <r>
    <x v="317"/>
    <n v="1830197"/>
    <d v="2026-02-07T00:00:00"/>
    <s v="Sale"/>
    <n v="23"/>
  </r>
  <r>
    <x v="318"/>
    <n v="1830197"/>
    <d v="2026-02-07T00:00:00"/>
    <s v="Sale"/>
    <n v="0"/>
  </r>
  <r>
    <x v="319"/>
    <n v="1830197"/>
    <d v="2026-02-07T00:00:00"/>
    <s v="Sale"/>
    <n v="0"/>
  </r>
  <r>
    <x v="320"/>
    <n v="1830197"/>
    <d v="2026-02-07T00:00:00"/>
    <s v="Sale"/>
    <n v="0"/>
  </r>
  <r>
    <x v="321"/>
    <n v="1830197"/>
    <d v="2026-02-07T00:00:00"/>
    <s v="Sale"/>
    <n v="27"/>
  </r>
  <r>
    <x v="322"/>
    <n v="1830197"/>
    <d v="2026-02-07T00:00:00"/>
    <s v="Sale"/>
    <n v="0"/>
  </r>
  <r>
    <x v="323"/>
    <n v="1830197"/>
    <d v="2026-02-07T00:00:00"/>
    <s v="Sale"/>
    <n v="0"/>
  </r>
  <r>
    <x v="324"/>
    <n v="1830197"/>
    <d v="2026-02-07T00:00:00"/>
    <s v="Sale"/>
    <n v="0"/>
  </r>
  <r>
    <x v="325"/>
    <n v="1830197"/>
    <d v="2026-02-07T00:00:00"/>
    <s v="Sale"/>
    <n v="0"/>
  </r>
  <r>
    <x v="326"/>
    <n v="1830197"/>
    <d v="2026-02-07T00:00:00"/>
    <s v="Sale"/>
    <n v="0"/>
  </r>
  <r>
    <x v="327"/>
    <n v="1830197"/>
    <d v="2026-02-07T00:00:00"/>
    <s v="Sale"/>
    <n v="0"/>
  </r>
  <r>
    <x v="328"/>
    <n v="1830197"/>
    <d v="2026-02-07T00:00:00"/>
    <s v="Sale"/>
    <n v="0"/>
  </r>
  <r>
    <x v="329"/>
    <n v="1830197"/>
    <d v="2026-02-07T00:00:00"/>
    <s v="Sale"/>
    <n v="0"/>
  </r>
  <r>
    <x v="330"/>
    <n v="1830197"/>
    <d v="2026-02-07T00:00:00"/>
    <s v="Sale"/>
    <n v="0"/>
  </r>
  <r>
    <x v="331"/>
    <n v="1830197"/>
    <d v="2026-02-07T00:00:00"/>
    <s v="Sale"/>
    <n v="4"/>
  </r>
  <r>
    <x v="332"/>
    <n v="1830197"/>
    <d v="2026-02-07T00:00:00"/>
    <s v="Sale"/>
    <n v="0"/>
  </r>
  <r>
    <x v="333"/>
    <n v="1830197"/>
    <d v="2026-02-07T00:00:00"/>
    <s v="Sale"/>
    <n v="0"/>
  </r>
  <r>
    <x v="334"/>
    <n v="1830197"/>
    <d v="2026-02-07T00:00:00"/>
    <s v="Sale"/>
    <n v="19"/>
  </r>
  <r>
    <x v="335"/>
    <n v="1830197"/>
    <d v="2026-02-07T00:00:00"/>
    <s v="Sale"/>
    <n v="0"/>
  </r>
  <r>
    <x v="336"/>
    <n v="1830197"/>
    <d v="2026-02-07T00:00:00"/>
    <s v="Sale"/>
    <n v="0"/>
  </r>
  <r>
    <x v="337"/>
    <n v="1830197"/>
    <d v="2026-02-07T00:00:00"/>
    <s v="Sale"/>
    <n v="0"/>
  </r>
  <r>
    <x v="338"/>
    <n v="1830197"/>
    <d v="2026-02-07T00:00:00"/>
    <s v="Sale"/>
    <n v="37"/>
  </r>
  <r>
    <x v="339"/>
    <n v="1830197"/>
    <d v="2026-02-07T00:00:00"/>
    <s v="Sale"/>
    <n v="24"/>
  </r>
  <r>
    <x v="340"/>
    <n v="1830197"/>
    <d v="2026-02-07T00:00:00"/>
    <s v="Sale"/>
    <n v="0"/>
  </r>
  <r>
    <x v="341"/>
    <n v="1830197"/>
    <d v="2026-02-07T00:00:00"/>
    <s v="Sale"/>
    <n v="0"/>
  </r>
  <r>
    <x v="342"/>
    <n v="1830197"/>
    <d v="2026-02-07T00:00:00"/>
    <s v="Sale"/>
    <n v="0"/>
  </r>
  <r>
    <x v="343"/>
    <n v="1830197"/>
    <d v="2026-02-07T00:00:00"/>
    <s v="Sale"/>
    <n v="0"/>
  </r>
  <r>
    <x v="344"/>
    <n v="1830197"/>
    <d v="2026-02-07T00:00:00"/>
    <s v="Sale"/>
    <n v="0"/>
  </r>
  <r>
    <x v="345"/>
    <n v="1830197"/>
    <d v="2026-02-07T00:00:00"/>
    <s v="Sale"/>
    <n v="0"/>
  </r>
  <r>
    <x v="346"/>
    <n v="1830197"/>
    <d v="2026-02-07T00:00:00"/>
    <s v="Sale"/>
    <n v="0"/>
  </r>
  <r>
    <x v="347"/>
    <n v="1830197"/>
    <d v="2026-02-07T00:00:00"/>
    <s v="Sale"/>
    <n v="0"/>
  </r>
  <r>
    <x v="348"/>
    <n v="1830197"/>
    <d v="2026-02-07T00:00:00"/>
    <s v="Sale"/>
    <n v="0"/>
  </r>
  <r>
    <x v="349"/>
    <n v="1830197"/>
    <d v="2026-02-07T00:00:00"/>
    <s v="Sale"/>
    <n v="0"/>
  </r>
  <r>
    <x v="350"/>
    <n v="1830197"/>
    <d v="2026-02-07T00:00:00"/>
    <s v="Sale"/>
    <n v="0"/>
  </r>
  <r>
    <x v="351"/>
    <n v="1830197"/>
    <d v="2026-02-07T00:00:00"/>
    <s v="Sale"/>
    <n v="0"/>
  </r>
  <r>
    <x v="352"/>
    <n v="1830197"/>
    <d v="2026-02-07T00:00:00"/>
    <s v="Sale"/>
    <n v="82"/>
  </r>
  <r>
    <x v="353"/>
    <n v="1830197"/>
    <d v="2026-02-07T00:00:00"/>
    <s v="Sale"/>
    <n v="0"/>
  </r>
  <r>
    <x v="354"/>
    <n v="1830197"/>
    <d v="2026-02-07T00:00:00"/>
    <s v="Sale"/>
    <n v="4"/>
  </r>
  <r>
    <x v="355"/>
    <n v="1830197"/>
    <d v="2026-02-07T00:00:00"/>
    <s v="Sale"/>
    <n v="0"/>
  </r>
  <r>
    <x v="356"/>
    <n v="1830197"/>
    <d v="2026-02-07T00:00:00"/>
    <s v="Sale"/>
    <n v="0"/>
  </r>
  <r>
    <x v="357"/>
    <n v="1830197"/>
    <d v="2026-02-07T00:00:00"/>
    <s v="Sale"/>
    <n v="0.2"/>
  </r>
  <r>
    <x v="358"/>
    <n v="1830197"/>
    <d v="2026-02-07T00:00:00"/>
    <s v="Sale"/>
    <n v="0"/>
  </r>
  <r>
    <x v="359"/>
    <n v="1830197"/>
    <d v="2026-02-07T00:00:00"/>
    <s v="Sale"/>
    <n v="0"/>
  </r>
  <r>
    <x v="360"/>
    <n v="1830197"/>
    <d v="2026-02-07T00:00:00"/>
    <s v="Sale"/>
    <n v="0"/>
  </r>
  <r>
    <x v="361"/>
    <n v="1830197"/>
    <d v="2026-02-07T00:00:00"/>
    <s v="Sale"/>
    <n v="0"/>
  </r>
  <r>
    <x v="362"/>
    <n v="1830197"/>
    <d v="2026-02-07T00:00:00"/>
    <s v="Sale"/>
    <n v="0"/>
  </r>
  <r>
    <x v="363"/>
    <n v="1830197"/>
    <d v="2026-02-07T00:00:00"/>
    <s v="Sale"/>
    <n v="0"/>
  </r>
  <r>
    <x v="364"/>
    <n v="1830197"/>
    <d v="2026-02-07T00:00:00"/>
    <s v="Sale"/>
    <n v="0"/>
  </r>
  <r>
    <x v="365"/>
    <n v="1830197"/>
    <d v="2026-02-07T00:00:00"/>
    <s v="Sale"/>
    <n v="0"/>
  </r>
  <r>
    <x v="366"/>
    <n v="1830197"/>
    <d v="2026-02-07T00:00:00"/>
    <s v="Sale"/>
    <n v="0"/>
  </r>
  <r>
    <x v="367"/>
    <n v="1830197"/>
    <d v="2026-02-07T00:00:00"/>
    <s v="Sale"/>
    <n v="0"/>
  </r>
  <r>
    <x v="368"/>
    <n v="1830197"/>
    <d v="2026-02-07T00:00:00"/>
    <s v="Sale"/>
    <n v="0"/>
  </r>
  <r>
    <x v="369"/>
    <n v="1830197"/>
    <d v="2026-02-07T00:00:00"/>
    <s v="Sale"/>
    <n v="0"/>
  </r>
  <r>
    <x v="370"/>
    <n v="1830197"/>
    <d v="2026-02-07T00:00:00"/>
    <s v="Sale"/>
    <n v="0"/>
  </r>
  <r>
    <x v="371"/>
    <n v="1830197"/>
    <d v="2026-02-07T00:00:00"/>
    <s v="Sale"/>
    <n v="0"/>
  </r>
  <r>
    <x v="372"/>
    <n v="1830197"/>
    <d v="2026-02-07T00:00:00"/>
    <s v="Sale"/>
    <n v="24"/>
  </r>
  <r>
    <x v="373"/>
    <n v="1830197"/>
    <d v="2026-02-07T00:00:00"/>
    <s v="Sale"/>
    <n v="5"/>
  </r>
  <r>
    <x v="374"/>
    <n v="1830197"/>
    <d v="2026-02-07T00:00:00"/>
    <s v="Sale"/>
    <n v="0"/>
  </r>
  <r>
    <x v="375"/>
    <n v="1830197"/>
    <d v="2026-02-07T00:00:00"/>
    <s v="Sale"/>
    <n v="0"/>
  </r>
  <r>
    <x v="376"/>
    <n v="1830197"/>
    <d v="2026-02-07T00:00:00"/>
    <s v="Sale"/>
    <n v="0"/>
  </r>
  <r>
    <x v="377"/>
    <n v="1830197"/>
    <d v="2026-02-07T00:00:00"/>
    <s v="Sale"/>
    <n v="0"/>
  </r>
  <r>
    <x v="378"/>
    <n v="1830197"/>
    <d v="2026-02-07T00:00:00"/>
    <s v="Sale"/>
    <n v="3"/>
  </r>
  <r>
    <x v="379"/>
    <n v="1830197"/>
    <d v="2026-02-07T00:00:00"/>
    <s v="Sale"/>
    <n v="0"/>
  </r>
  <r>
    <x v="380"/>
    <n v="1830197"/>
    <d v="2026-02-07T00:00:00"/>
    <s v="Sale"/>
    <n v="0"/>
  </r>
  <r>
    <x v="381"/>
    <n v="1830197"/>
    <d v="2026-02-07T00:00:00"/>
    <s v="Sale"/>
    <n v="0"/>
  </r>
  <r>
    <x v="382"/>
    <n v="1830197"/>
    <d v="2026-02-07T00:00:00"/>
    <s v="Sale"/>
    <n v="0"/>
  </r>
  <r>
    <x v="383"/>
    <n v="1830197"/>
    <d v="2026-02-07T00:00:00"/>
    <s v="Sale"/>
    <n v="0"/>
  </r>
  <r>
    <x v="384"/>
    <n v="1830197"/>
    <d v="2026-02-07T00:00:00"/>
    <s v="Sale"/>
    <n v="0"/>
  </r>
  <r>
    <x v="385"/>
    <n v="1830197"/>
    <d v="2026-02-07T00:00:00"/>
    <s v="Sale"/>
    <n v="0"/>
  </r>
  <r>
    <x v="386"/>
    <n v="1830197"/>
    <d v="2026-02-07T00:00:00"/>
    <s v="Sale"/>
    <n v="0"/>
  </r>
  <r>
    <x v="387"/>
    <n v="1830197"/>
    <d v="2026-02-07T00:00:00"/>
    <s v="Sale"/>
    <n v="0"/>
  </r>
  <r>
    <x v="388"/>
    <n v="1830197"/>
    <d v="2026-02-07T00:00:00"/>
    <s v="Sale"/>
    <n v="0"/>
  </r>
  <r>
    <x v="389"/>
    <n v="1830197"/>
    <d v="2026-02-07T00:00:00"/>
    <s v="Sale"/>
    <n v="0"/>
  </r>
  <r>
    <x v="390"/>
    <n v="1830197"/>
    <d v="2026-02-07T00:00:00"/>
    <s v="Sale"/>
    <n v="5"/>
  </r>
  <r>
    <x v="391"/>
    <n v="1830197"/>
    <d v="2026-02-07T00:00:00"/>
    <s v="Sale"/>
    <n v="30"/>
  </r>
  <r>
    <x v="392"/>
    <n v="1830197"/>
    <d v="2026-02-07T00:00:00"/>
    <s v="Sale"/>
    <n v="0"/>
  </r>
  <r>
    <x v="393"/>
    <n v="1830197"/>
    <d v="2026-02-07T00:00:00"/>
    <s v="Sale"/>
    <n v="0"/>
  </r>
  <r>
    <x v="394"/>
    <n v="1830197"/>
    <d v="2026-02-07T00:00:00"/>
    <s v="Sale"/>
    <n v="0.2"/>
  </r>
  <r>
    <x v="395"/>
    <n v="1830197"/>
    <d v="2026-02-07T00:00:00"/>
    <s v="Sale"/>
    <n v="0"/>
  </r>
  <r>
    <x v="396"/>
    <n v="1830197"/>
    <d v="2026-02-07T00:00:00"/>
    <s v="Sale"/>
    <n v="0"/>
  </r>
  <r>
    <x v="397"/>
    <n v="1830197"/>
    <d v="2026-02-07T00:00:00"/>
    <s v="Sale"/>
    <n v="0"/>
  </r>
  <r>
    <x v="398"/>
    <n v="1830197"/>
    <d v="2026-02-07T00:00:00"/>
    <s v="Sale"/>
    <n v="0"/>
  </r>
  <r>
    <x v="399"/>
    <n v="1830197"/>
    <d v="2026-02-07T00:00:00"/>
    <s v="Sale"/>
    <n v="0"/>
  </r>
  <r>
    <x v="400"/>
    <n v="1830197"/>
    <d v="2026-02-07T00:00:00"/>
    <s v="Sale"/>
    <n v="0"/>
  </r>
  <r>
    <x v="401"/>
    <n v="1830197"/>
    <d v="2026-02-07T00:00:00"/>
    <s v="Sale"/>
    <n v="0"/>
  </r>
  <r>
    <x v="402"/>
    <n v="1830197"/>
    <d v="2026-02-07T00:00:00"/>
    <s v="Sale"/>
    <n v="0"/>
  </r>
  <r>
    <x v="403"/>
    <n v="1830197"/>
    <d v="2026-02-07T00:00:00"/>
    <s v="Sale"/>
    <n v="0"/>
  </r>
  <r>
    <x v="404"/>
    <n v="1830197"/>
    <d v="2026-02-07T00:00:00"/>
    <s v="Sale"/>
    <n v="0"/>
  </r>
  <r>
    <x v="405"/>
    <n v="1830197"/>
    <d v="2026-02-07T00:00:00"/>
    <s v="Sale"/>
    <n v="50"/>
  </r>
  <r>
    <x v="406"/>
    <n v="1830197"/>
    <d v="2026-02-07T00:00:00"/>
    <s v="Sale"/>
    <n v="0"/>
  </r>
  <r>
    <x v="407"/>
    <n v="1830197"/>
    <d v="2026-02-07T00:00:00"/>
    <s v="Sale"/>
    <n v="0"/>
  </r>
  <r>
    <x v="408"/>
    <n v="1830197"/>
    <d v="2026-02-07T00:00:00"/>
    <s v="Sale"/>
    <n v="0"/>
  </r>
  <r>
    <x v="409"/>
    <n v="1830197"/>
    <d v="2026-02-07T00:00:00"/>
    <s v="Sale"/>
    <n v="0"/>
  </r>
  <r>
    <x v="410"/>
    <n v="1830197"/>
    <d v="2026-02-07T00:00:00"/>
    <s v="Sale"/>
    <n v="25"/>
  </r>
  <r>
    <x v="411"/>
    <n v="1830197"/>
    <d v="2026-02-07T00:00:00"/>
    <s v="Sale"/>
    <n v="0"/>
  </r>
  <r>
    <x v="412"/>
    <n v="1830197"/>
    <d v="2026-02-07T00:00:00"/>
    <s v="Sale"/>
    <n v="0"/>
  </r>
  <r>
    <x v="413"/>
    <n v="1830197"/>
    <d v="2026-02-07T00:00:00"/>
    <s v="Sale"/>
    <n v="0"/>
  </r>
  <r>
    <x v="414"/>
    <n v="1830197"/>
    <d v="2026-02-07T00:00:00"/>
    <s v="Sale"/>
    <n v="0"/>
  </r>
  <r>
    <x v="415"/>
    <n v="1830197"/>
    <d v="2026-02-07T00:00:00"/>
    <s v="Sale"/>
    <n v="0"/>
  </r>
  <r>
    <x v="416"/>
    <n v="1830197"/>
    <d v="2026-02-07T00:00:00"/>
    <s v="Sale"/>
    <n v="0"/>
  </r>
  <r>
    <x v="417"/>
    <n v="1830197"/>
    <d v="2026-02-07T00:00:00"/>
    <s v="Sale"/>
    <n v="0"/>
  </r>
  <r>
    <x v="418"/>
    <n v="1830197"/>
    <d v="2026-02-07T00:00:00"/>
    <s v="Sale"/>
    <n v="0"/>
  </r>
  <r>
    <x v="419"/>
    <n v="1830197"/>
    <d v="2026-02-07T00:00:00"/>
    <s v="Sale"/>
    <n v="0"/>
  </r>
  <r>
    <x v="420"/>
    <n v="1830197"/>
    <d v="2026-02-07T00:00:00"/>
    <s v="Sale"/>
    <n v="0"/>
  </r>
  <r>
    <x v="421"/>
    <n v="1830197"/>
    <d v="2026-02-07T00:00:00"/>
    <s v="Sale"/>
    <n v="0.5"/>
  </r>
  <r>
    <x v="422"/>
    <n v="1830197"/>
    <d v="2026-02-07T00:00:00"/>
    <s v="Sale"/>
    <n v="-2"/>
  </r>
  <r>
    <x v="423"/>
    <n v="1830197"/>
    <d v="2026-02-07T00:00:00"/>
    <s v="Sale"/>
    <n v="12"/>
  </r>
  <r>
    <x v="424"/>
    <n v="1830197"/>
    <d v="2026-02-07T00:00:00"/>
    <s v="Sale"/>
    <n v="0"/>
  </r>
  <r>
    <x v="425"/>
    <n v="1830197"/>
    <d v="2026-02-07T00:00:00"/>
    <s v="Sale"/>
    <n v="0"/>
  </r>
  <r>
    <x v="426"/>
    <n v="1830197"/>
    <d v="2026-02-07T00:00:00"/>
    <s v="Sale"/>
    <n v="0"/>
  </r>
  <r>
    <x v="427"/>
    <n v="1830197"/>
    <d v="2026-02-07T00:00:00"/>
    <s v="Sale"/>
    <n v="25"/>
  </r>
  <r>
    <x v="428"/>
    <n v="1830197"/>
    <d v="2026-02-07T00:00:00"/>
    <s v="Sale"/>
    <n v="1.03"/>
  </r>
  <r>
    <x v="429"/>
    <n v="1830197"/>
    <d v="2026-02-07T00:00:00"/>
    <s v="Sale"/>
    <n v="0"/>
  </r>
  <r>
    <x v="430"/>
    <n v="1830197"/>
    <d v="2026-02-07T00:00:00"/>
    <s v="Sale"/>
    <n v="0"/>
  </r>
  <r>
    <x v="431"/>
    <n v="1830197"/>
    <d v="2026-02-07T00:00:00"/>
    <s v="Sale"/>
    <n v="0"/>
  </r>
  <r>
    <x v="432"/>
    <n v="1830197"/>
    <d v="2026-02-07T00:00:00"/>
    <s v="Sale"/>
    <n v="2"/>
  </r>
  <r>
    <x v="433"/>
    <n v="1830197"/>
    <d v="2026-02-07T00:00:00"/>
    <s v="Sale"/>
    <n v="4"/>
  </r>
  <r>
    <x v="434"/>
    <n v="1830197"/>
    <d v="2026-02-07T00:00:00"/>
    <s v="Sale"/>
    <n v="0.5"/>
  </r>
  <r>
    <x v="435"/>
    <n v="1830197"/>
    <d v="2026-02-07T00:00:00"/>
    <s v="Sale"/>
    <n v="0"/>
  </r>
  <r>
    <x v="436"/>
    <n v="1830197"/>
    <d v="2026-02-07T00:00:00"/>
    <s v="Sale"/>
    <n v="0"/>
  </r>
  <r>
    <x v="437"/>
    <n v="1830197"/>
    <d v="2026-02-07T00:00:00"/>
    <s v="Sale"/>
    <n v="0"/>
  </r>
  <r>
    <x v="438"/>
    <n v="1830197"/>
    <d v="2026-02-07T00:00:00"/>
    <s v="Sale"/>
    <n v="0"/>
  </r>
  <r>
    <x v="439"/>
    <n v="1830197"/>
    <d v="2026-02-07T00:00:00"/>
    <s v="Sale"/>
    <n v="0"/>
  </r>
  <r>
    <x v="440"/>
    <n v="1830197"/>
    <d v="2026-02-07T00:00:00"/>
    <s v="Sale"/>
    <n v="197"/>
  </r>
  <r>
    <x v="441"/>
    <n v="1830197"/>
    <d v="2026-02-07T00:00:00"/>
    <s v="Sale"/>
    <n v="10"/>
  </r>
  <r>
    <x v="442"/>
    <n v="1830197"/>
    <d v="2026-02-07T00:00:00"/>
    <s v="Sale"/>
    <n v="7"/>
  </r>
  <r>
    <x v="443"/>
    <n v="1830197"/>
    <d v="2026-02-07T00:00:00"/>
    <s v="Sale"/>
    <n v="0"/>
  </r>
  <r>
    <x v="444"/>
    <n v="1830197"/>
    <d v="2026-02-07T00:00:00"/>
    <s v="Sale"/>
    <n v="25"/>
  </r>
  <r>
    <x v="445"/>
    <n v="1830197"/>
    <d v="2026-02-07T00:00:00"/>
    <s v="Sale"/>
    <n v="0"/>
  </r>
  <r>
    <x v="446"/>
    <n v="1830197"/>
    <d v="2026-02-07T00:00:00"/>
    <s v="Sale"/>
    <n v="2"/>
  </r>
  <r>
    <x v="447"/>
    <n v="1830197"/>
    <d v="2026-02-07T00:00:00"/>
    <s v="Sale"/>
    <n v="4"/>
  </r>
  <r>
    <x v="448"/>
    <n v="1830197"/>
    <d v="2026-02-07T00:00:00"/>
    <s v="Sale"/>
    <n v="0"/>
  </r>
  <r>
    <x v="449"/>
    <n v="1830197"/>
    <d v="2026-02-07T00:00:00"/>
    <s v="Sale"/>
    <n v="2"/>
  </r>
  <r>
    <x v="450"/>
    <n v="1830197"/>
    <d v="2026-02-07T00:00:00"/>
    <s v="Sale"/>
    <n v="0"/>
  </r>
  <r>
    <x v="451"/>
    <n v="1830197"/>
    <d v="2026-02-07T00:00:00"/>
    <s v="Sale"/>
    <n v="0"/>
  </r>
  <r>
    <x v="452"/>
    <n v="1830197"/>
    <d v="2026-02-07T00:00:00"/>
    <s v="Sale"/>
    <n v="0"/>
  </r>
  <r>
    <x v="453"/>
    <n v="1830197"/>
    <d v="2026-02-07T00:00:00"/>
    <s v="Sale"/>
    <n v="0"/>
  </r>
  <r>
    <x v="454"/>
    <n v="1830197"/>
    <d v="2026-02-07T00:00:00"/>
    <s v="Sale"/>
    <n v="0"/>
  </r>
  <r>
    <x v="455"/>
    <n v="1830197"/>
    <d v="2026-02-07T00:00:00"/>
    <s v="Sale"/>
    <n v="0"/>
  </r>
  <r>
    <x v="456"/>
    <n v="1830197"/>
    <d v="2026-02-07T00:00:00"/>
    <s v="Sale"/>
    <n v="0"/>
  </r>
  <r>
    <x v="457"/>
    <n v="1830197"/>
    <d v="2026-02-07T00:00:00"/>
    <s v="Sale"/>
    <n v="0"/>
  </r>
  <r>
    <x v="458"/>
    <n v="1830197"/>
    <d v="2026-02-07T00:00:00"/>
    <s v="Sale"/>
    <n v="0"/>
  </r>
  <r>
    <x v="459"/>
    <n v="1830197"/>
    <d v="2026-02-07T00:00:00"/>
    <s v="Sale"/>
    <n v="0"/>
  </r>
  <r>
    <x v="460"/>
    <n v="1830197"/>
    <d v="2026-02-07T00:00:00"/>
    <s v="Sale"/>
    <n v="0"/>
  </r>
  <r>
    <x v="461"/>
    <n v="1830197"/>
    <d v="2026-02-07T00:00:00"/>
    <s v="Sale"/>
    <n v="0"/>
  </r>
  <r>
    <x v="462"/>
    <n v="1830197"/>
    <d v="2026-02-07T00:00:00"/>
    <s v="Sale"/>
    <n v="0"/>
  </r>
  <r>
    <x v="463"/>
    <n v="1830197"/>
    <d v="2026-02-07T00:00:00"/>
    <s v="Sale"/>
    <n v="0"/>
  </r>
  <r>
    <x v="464"/>
    <n v="1830197"/>
    <d v="2026-02-07T00:00:00"/>
    <s v="Sale"/>
    <n v="0"/>
  </r>
  <r>
    <x v="465"/>
    <n v="1830197"/>
    <d v="2026-02-07T00:00:00"/>
    <s v="Sale"/>
    <n v="0"/>
  </r>
  <r>
    <x v="466"/>
    <n v="1830197"/>
    <d v="2026-02-07T00:00:00"/>
    <s v="Sale"/>
    <n v="0"/>
  </r>
  <r>
    <x v="467"/>
    <n v="1830197"/>
    <d v="2026-02-07T00:00:00"/>
    <s v="Sale"/>
    <n v="0"/>
  </r>
  <r>
    <x v="468"/>
    <n v="1830197"/>
    <d v="2026-02-07T00:00:00"/>
    <s v="Sale"/>
    <n v="0"/>
  </r>
  <r>
    <x v="469"/>
    <n v="1830197"/>
    <d v="2026-02-07T00:00:00"/>
    <s v="Sale"/>
    <n v="0"/>
  </r>
  <r>
    <x v="470"/>
    <n v="1830197"/>
    <d v="2026-02-07T00:00:00"/>
    <s v="Sale"/>
    <n v="0"/>
  </r>
  <r>
    <x v="471"/>
    <n v="1830197"/>
    <d v="2026-02-07T00:00:00"/>
    <s v="Sale"/>
    <n v="0"/>
  </r>
  <r>
    <x v="472"/>
    <n v="1830197"/>
    <d v="2026-02-07T00:00:00"/>
    <s v="Sale"/>
    <n v="0"/>
  </r>
  <r>
    <x v="473"/>
    <n v="1830197"/>
    <d v="2026-02-07T00:00:00"/>
    <s v="Sale"/>
    <n v="0"/>
  </r>
  <r>
    <x v="474"/>
    <n v="1830197"/>
    <d v="2026-02-07T00:00:00"/>
    <s v="Sale"/>
    <n v="0"/>
  </r>
  <r>
    <x v="475"/>
    <n v="1830197"/>
    <d v="2026-02-07T00:00:00"/>
    <s v="Sale"/>
    <n v="0"/>
  </r>
  <r>
    <x v="476"/>
    <n v="1830197"/>
    <d v="2026-02-07T00:00:00"/>
    <s v="Sale"/>
    <n v="0"/>
  </r>
  <r>
    <x v="477"/>
    <n v="1830197"/>
    <d v="2026-02-07T00:00:00"/>
    <s v="Sale"/>
    <n v="0"/>
  </r>
  <r>
    <x v="478"/>
    <n v="1830197"/>
    <d v="2026-02-07T00:00:00"/>
    <s v="Sale"/>
    <n v="0"/>
  </r>
  <r>
    <x v="479"/>
    <n v="1830197"/>
    <d v="2026-02-07T00:00:00"/>
    <s v="Sale"/>
    <n v="0.1"/>
  </r>
  <r>
    <x v="480"/>
    <n v="1830197"/>
    <d v="2026-02-07T00:00:00"/>
    <s v="Sale"/>
    <n v="0"/>
  </r>
  <r>
    <x v="481"/>
    <n v="1830197"/>
    <d v="2026-02-07T00:00:00"/>
    <s v="Sale"/>
    <n v="0"/>
  </r>
  <r>
    <x v="482"/>
    <n v="1830197"/>
    <d v="2026-02-07T00:00:00"/>
    <s v="Sale"/>
    <n v="8"/>
  </r>
  <r>
    <x v="483"/>
    <n v="1830197"/>
    <d v="2026-02-07T00:00:00"/>
    <s v="Sale"/>
    <n v="10"/>
  </r>
  <r>
    <x v="484"/>
    <n v="1830197"/>
    <d v="2026-02-07T00:00:00"/>
    <s v="Sale"/>
    <n v="0"/>
  </r>
  <r>
    <x v="485"/>
    <n v="1830197"/>
    <d v="2026-02-07T00:00:00"/>
    <s v="Sale"/>
    <n v="0"/>
  </r>
  <r>
    <x v="486"/>
    <n v="1830197"/>
    <d v="2026-02-07T00:00:00"/>
    <s v="Sale"/>
    <n v="0"/>
  </r>
  <r>
    <x v="487"/>
    <n v="1830197"/>
    <d v="2026-02-07T00:00:00"/>
    <s v="Sale"/>
    <n v="2"/>
  </r>
  <r>
    <x v="488"/>
    <n v="1830197"/>
    <d v="2026-02-07T00:00:00"/>
    <s v="Sale"/>
    <n v="0"/>
  </r>
  <r>
    <x v="489"/>
    <n v="1830197"/>
    <d v="2026-02-07T00:00:00"/>
    <s v="Sale"/>
    <n v="1"/>
  </r>
  <r>
    <x v="490"/>
    <n v="1830197"/>
    <d v="2026-02-07T00:00:00"/>
    <s v="Sale"/>
    <n v="0"/>
  </r>
  <r>
    <x v="491"/>
    <n v="1830197"/>
    <d v="2026-02-07T00:00:00"/>
    <s v="Sale"/>
    <n v="0"/>
  </r>
  <r>
    <x v="492"/>
    <n v="1830197"/>
    <d v="2026-02-07T00:00:00"/>
    <s v="Sale"/>
    <n v="0"/>
  </r>
  <r>
    <x v="493"/>
    <n v="1830197"/>
    <d v="2026-02-07T00:00:00"/>
    <s v="Sale"/>
    <n v="0"/>
  </r>
  <r>
    <x v="494"/>
    <n v="1830197"/>
    <d v="2026-02-07T00:00:00"/>
    <s v="Sale"/>
    <n v="0"/>
  </r>
  <r>
    <x v="495"/>
    <n v="1830197"/>
    <d v="2026-02-07T00:00:00"/>
    <s v="Sale"/>
    <n v="0"/>
  </r>
  <r>
    <x v="496"/>
    <n v="1830197"/>
    <d v="2026-02-07T00:00:00"/>
    <s v="Sale"/>
    <n v="0"/>
  </r>
  <r>
    <x v="497"/>
    <n v="1830197"/>
    <d v="2026-02-07T00:00:00"/>
    <s v="Sale"/>
    <n v="0"/>
  </r>
  <r>
    <x v="498"/>
    <n v="1830197"/>
    <d v="2026-02-07T00:00:00"/>
    <s v="Sale"/>
    <n v="0"/>
  </r>
  <r>
    <x v="499"/>
    <n v="1830197"/>
    <d v="2026-02-07T00:00:00"/>
    <s v="Sale"/>
    <n v="1"/>
  </r>
  <r>
    <x v="500"/>
    <n v="1830197"/>
    <d v="2026-02-07T00:00:00"/>
    <s v="Sale"/>
    <n v="3"/>
  </r>
  <r>
    <x v="501"/>
    <n v="1830197"/>
    <d v="2026-02-07T00:00:00"/>
    <s v="Sale"/>
    <n v="0"/>
  </r>
  <r>
    <x v="502"/>
    <n v="1830197"/>
    <d v="2026-02-07T00:00:00"/>
    <s v="Sale"/>
    <n v="0"/>
  </r>
  <r>
    <x v="503"/>
    <n v="1830197"/>
    <d v="2026-02-07T00:00:00"/>
    <s v="Sale"/>
    <n v="0.1"/>
  </r>
  <r>
    <x v="504"/>
    <n v="1830197"/>
    <d v="2026-02-07T00:00:00"/>
    <s v="Sale"/>
    <n v="0"/>
  </r>
  <r>
    <x v="505"/>
    <n v="1830197"/>
    <d v="2026-02-07T00:00:00"/>
    <s v="Sale"/>
    <n v="0"/>
  </r>
  <r>
    <x v="506"/>
    <n v="1830197"/>
    <d v="2026-02-07T00:00:00"/>
    <s v="Sale"/>
    <n v="0"/>
  </r>
  <r>
    <x v="507"/>
    <n v="1830197"/>
    <d v="2026-02-07T00:00:00"/>
    <s v="Sale"/>
    <n v="0"/>
  </r>
  <r>
    <x v="508"/>
    <n v="1830197"/>
    <d v="2026-02-07T00:00:00"/>
    <s v="Sale"/>
    <n v="0"/>
  </r>
  <r>
    <x v="509"/>
    <n v="1830197"/>
    <d v="2026-02-07T00:00:00"/>
    <s v="Sale"/>
    <n v="0"/>
  </r>
  <r>
    <x v="510"/>
    <n v="1830197"/>
    <d v="2026-02-07T00:00:00"/>
    <s v="Sale"/>
    <n v="0"/>
  </r>
  <r>
    <x v="511"/>
    <n v="1830197"/>
    <d v="2026-02-07T00:00:00"/>
    <s v="Sale"/>
    <n v="0"/>
  </r>
  <r>
    <x v="512"/>
    <n v="1830197"/>
    <d v="2026-02-07T00:00:00"/>
    <s v="Sale"/>
    <n v="0"/>
  </r>
  <r>
    <x v="513"/>
    <n v="1830197"/>
    <d v="2026-02-07T00:00:00"/>
    <s v="Sale"/>
    <n v="0"/>
  </r>
  <r>
    <x v="514"/>
    <n v="1830197"/>
    <d v="2026-02-07T00:00:00"/>
    <s v="Sale"/>
    <n v="0"/>
  </r>
  <r>
    <x v="515"/>
    <n v="1830197"/>
    <d v="2026-02-07T00:00:00"/>
    <s v="Sale"/>
    <n v="0"/>
  </r>
  <r>
    <x v="516"/>
    <n v="1830197"/>
    <d v="2026-02-07T00:00:00"/>
    <s v="Sale"/>
    <n v="0"/>
  </r>
  <r>
    <x v="517"/>
    <n v="1830197"/>
    <d v="2026-02-07T00:00:00"/>
    <s v="Sale"/>
    <n v="0"/>
  </r>
  <r>
    <x v="518"/>
    <n v="1830197"/>
    <d v="2026-02-07T00:00:00"/>
    <s v="Sale"/>
    <n v="0"/>
  </r>
  <r>
    <x v="519"/>
    <n v="1830197"/>
    <d v="2026-02-07T00:00:00"/>
    <s v="Sale"/>
    <n v="0"/>
  </r>
  <r>
    <x v="520"/>
    <n v="1830197"/>
    <d v="2026-02-07T00:00:00"/>
    <s v="Sale"/>
    <n v="0"/>
  </r>
  <r>
    <x v="521"/>
    <n v="1830197"/>
    <d v="2026-02-07T00:00:00"/>
    <s v="Sale"/>
    <n v="0"/>
  </r>
  <r>
    <x v="522"/>
    <n v="1830197"/>
    <d v="2026-02-07T00:00:00"/>
    <s v="Sale"/>
    <n v="0"/>
  </r>
  <r>
    <x v="52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11D38-190A-43B8-A4D4-8E8C11B927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527" firstHeaderRow="1" firstDataRow="1" firstDataCol="1"/>
  <pivotFields count="5">
    <pivotField axis="axisRow" showAll="0">
      <items count="5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8"/>
  <sheetViews>
    <sheetView tabSelected="1" topLeftCell="D1" workbookViewId="0">
      <selection activeCell="J12" sqref="J12"/>
    </sheetView>
  </sheetViews>
  <sheetFormatPr defaultColWidth="9" defaultRowHeight="14.5"/>
  <cols>
    <col min="1" max="1" width="9.6328125" bestFit="1" customWidth="1"/>
    <col min="2" max="2" width="9.81640625" bestFit="1" customWidth="1"/>
    <col min="3" max="3" width="23.90625" bestFit="1" customWidth="1"/>
    <col min="4" max="4" width="18.453125" bestFit="1" customWidth="1"/>
    <col min="5" max="5" width="15.36328125" bestFit="1" customWidth="1"/>
    <col min="6" max="6" width="15.90625" bestFit="1" customWidth="1"/>
    <col min="7" max="7" width="35.26953125" bestFit="1" customWidth="1"/>
    <col min="8" max="8" width="29.08984375" bestFit="1" customWidth="1"/>
    <col min="9" max="9" width="27.453125" bestFit="1" customWidth="1"/>
    <col min="11" max="11" width="16.7265625" bestFit="1" customWidth="1"/>
    <col min="12" max="12" width="31.54296875" bestFit="1" customWidth="1"/>
    <col min="13" max="13" width="28" bestFit="1" customWidth="1"/>
  </cols>
  <sheetData>
    <row r="1" spans="1:13">
      <c r="C1" t="s">
        <v>460</v>
      </c>
      <c r="D1" s="6">
        <v>46054</v>
      </c>
      <c r="E1" s="6">
        <v>46060</v>
      </c>
      <c r="F1" s="6">
        <v>46052</v>
      </c>
      <c r="G1" s="6">
        <v>46061</v>
      </c>
    </row>
    <row r="2" spans="1:13">
      <c r="C2" t="s">
        <v>461</v>
      </c>
      <c r="D2" s="6">
        <v>46026</v>
      </c>
      <c r="E2" s="6">
        <v>46032</v>
      </c>
    </row>
    <row r="3" spans="1:13">
      <c r="C3" t="s">
        <v>462</v>
      </c>
      <c r="D3" s="6">
        <v>45690</v>
      </c>
      <c r="E3" s="6">
        <v>45696</v>
      </c>
    </row>
    <row r="4" spans="1:13">
      <c r="D4" s="6"/>
      <c r="E4" s="6"/>
    </row>
    <row r="5" spans="1:13" ht="29">
      <c r="C5" s="15" t="s">
        <v>473</v>
      </c>
      <c r="D5" s="10">
        <v>240382.9</v>
      </c>
      <c r="E5" s="6"/>
    </row>
    <row r="6" spans="1:13" ht="29">
      <c r="C6" s="9" t="s">
        <v>471</v>
      </c>
      <c r="D6" s="10">
        <v>245673.91</v>
      </c>
    </row>
    <row r="7" spans="1:13">
      <c r="C7" s="13" t="s">
        <v>474</v>
      </c>
      <c r="D7" s="14">
        <v>0.05</v>
      </c>
    </row>
    <row r="8" spans="1:13">
      <c r="C8" s="15" t="s">
        <v>478</v>
      </c>
      <c r="D8" s="10">
        <f>D6+(D6*D7)</f>
        <v>257957.60550000001</v>
      </c>
    </row>
    <row r="11" spans="1:13">
      <c r="A11" t="s">
        <v>463</v>
      </c>
      <c r="B11" t="s">
        <v>464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469</v>
      </c>
      <c r="I11" t="s">
        <v>470</v>
      </c>
      <c r="J11" s="11" t="s">
        <v>472</v>
      </c>
      <c r="K11" s="16" t="s">
        <v>477</v>
      </c>
      <c r="L11" s="16" t="s">
        <v>475</v>
      </c>
      <c r="M11" s="16" t="s">
        <v>476</v>
      </c>
    </row>
    <row r="12" spans="1:13">
      <c r="A12" s="2">
        <v>1</v>
      </c>
      <c r="B12" s="2">
        <v>52</v>
      </c>
      <c r="C12" s="2" t="s">
        <v>8</v>
      </c>
      <c r="D12">
        <v>1</v>
      </c>
      <c r="E12" s="2" t="s">
        <v>0</v>
      </c>
      <c r="F12" s="3">
        <v>27.76</v>
      </c>
      <c r="G12" s="4">
        <v>60</v>
      </c>
      <c r="H12">
        <f>IFERROR(VLOOKUP(A12,Usage!L:M,2,FALSE),0)</f>
        <v>3472</v>
      </c>
      <c r="I12" cm="1">
        <f t="array" ref="I12:I438">IFERROR(VLOOKUP(A12:A438,'Closing Stock 31st Jan'!A:E,5,FALSE),0)</f>
        <v>284</v>
      </c>
      <c r="J12" s="12">
        <f>H12/($D$5/1000)</f>
        <v>14.443623069694224</v>
      </c>
      <c r="K12">
        <f>J12*($D$8/1000)</f>
        <v>3725.8424218028817</v>
      </c>
      <c r="L12" s="2">
        <f t="shared" ref="L12:L75" si="0">K12-I12</f>
        <v>3441.8424218028817</v>
      </c>
      <c r="M12" s="2">
        <f t="shared" ref="M12:M75" si="1">L12/G12</f>
        <v>57.364040363381363</v>
      </c>
    </row>
    <row r="13" spans="1:13">
      <c r="A13" s="2">
        <v>2</v>
      </c>
      <c r="B13" s="2">
        <v>52</v>
      </c>
      <c r="C13" s="2" t="s">
        <v>9</v>
      </c>
      <c r="D13">
        <v>1</v>
      </c>
      <c r="E13" s="2" t="s">
        <v>0</v>
      </c>
      <c r="F13" s="3">
        <v>20.92</v>
      </c>
      <c r="G13" s="4">
        <v>40</v>
      </c>
      <c r="H13">
        <f>IFERROR(VLOOKUP(A13,Usage!L:M,2,FALSE),0)</f>
        <v>611</v>
      </c>
      <c r="I13">
        <v>117</v>
      </c>
      <c r="J13" s="12">
        <f t="shared" ref="J13:J76" si="2">H13/($D$5/1000)</f>
        <v>2.5417781381287936</v>
      </c>
      <c r="K13">
        <f t="shared" ref="K13:K76" si="3">J13*($D$8/1000)</f>
        <v>655.67100222395186</v>
      </c>
      <c r="L13" s="2">
        <f t="shared" si="0"/>
        <v>538.67100222395186</v>
      </c>
      <c r="M13" s="2">
        <f t="shared" si="1"/>
        <v>13.466775055598797</v>
      </c>
    </row>
    <row r="14" spans="1:13">
      <c r="A14" s="2">
        <v>3</v>
      </c>
      <c r="B14" s="2">
        <v>52</v>
      </c>
      <c r="C14" s="2" t="s">
        <v>10</v>
      </c>
      <c r="D14">
        <v>1</v>
      </c>
      <c r="E14" s="2" t="s">
        <v>0</v>
      </c>
      <c r="F14" s="3">
        <v>18.97</v>
      </c>
      <c r="G14" s="4">
        <v>30</v>
      </c>
      <c r="H14">
        <f>IFERROR(VLOOKUP(A14,Usage!L:M,2,FALSE),0)</f>
        <v>983</v>
      </c>
      <c r="I14">
        <v>191</v>
      </c>
      <c r="J14" s="12">
        <f t="shared" si="2"/>
        <v>4.089309181310318</v>
      </c>
      <c r="K14">
        <f t="shared" si="3"/>
        <v>1054.868404559975</v>
      </c>
      <c r="L14" s="2">
        <f t="shared" si="0"/>
        <v>863.86840455997503</v>
      </c>
      <c r="M14" s="2">
        <f t="shared" si="1"/>
        <v>28.795613485332503</v>
      </c>
    </row>
    <row r="15" spans="1:13">
      <c r="A15" s="2">
        <v>4</v>
      </c>
      <c r="B15" s="2">
        <v>51</v>
      </c>
      <c r="C15" s="2" t="s">
        <v>11</v>
      </c>
      <c r="D15">
        <v>1</v>
      </c>
      <c r="E15" s="2" t="s">
        <v>12</v>
      </c>
      <c r="F15" s="3">
        <v>134.94999999999999</v>
      </c>
      <c r="G15" s="4">
        <v>36</v>
      </c>
      <c r="H15">
        <f>IFERROR(VLOOKUP(A15,Usage!L:M,2,FALSE),0)</f>
        <v>3760.75</v>
      </c>
      <c r="I15">
        <v>2496</v>
      </c>
      <c r="J15" s="12">
        <f t="shared" si="2"/>
        <v>15.644831641518593</v>
      </c>
      <c r="K15">
        <f t="shared" si="3"/>
        <v>4035.7033086967704</v>
      </c>
      <c r="L15" s="2">
        <f t="shared" si="0"/>
        <v>1539.7033086967704</v>
      </c>
      <c r="M15" s="2">
        <f t="shared" si="1"/>
        <v>42.769536352688064</v>
      </c>
    </row>
    <row r="16" spans="1:13">
      <c r="A16" s="2">
        <v>8</v>
      </c>
      <c r="B16" s="2">
        <v>51</v>
      </c>
      <c r="C16" s="2" t="s">
        <v>13</v>
      </c>
      <c r="D16">
        <v>1</v>
      </c>
      <c r="E16" s="2" t="s">
        <v>0</v>
      </c>
      <c r="F16" s="3">
        <v>499.31</v>
      </c>
      <c r="G16" s="4">
        <v>270</v>
      </c>
      <c r="H16">
        <f>IFERROR(VLOOKUP(A16,Usage!L:M,2,FALSE),0)</f>
        <v>0</v>
      </c>
      <c r="I16">
        <v>0</v>
      </c>
      <c r="J16" s="12">
        <f t="shared" si="2"/>
        <v>0</v>
      </c>
      <c r="K16">
        <f t="shared" si="3"/>
        <v>0</v>
      </c>
      <c r="L16" s="2">
        <f t="shared" si="0"/>
        <v>0</v>
      </c>
      <c r="M16" s="2">
        <f t="shared" si="1"/>
        <v>0</v>
      </c>
    </row>
    <row r="17" spans="1:13">
      <c r="A17" s="2">
        <v>10</v>
      </c>
      <c r="B17" s="2">
        <v>51</v>
      </c>
      <c r="C17" s="2" t="s">
        <v>14</v>
      </c>
      <c r="D17">
        <v>1</v>
      </c>
      <c r="E17" s="2" t="s">
        <v>15</v>
      </c>
      <c r="F17" s="3">
        <v>358.48</v>
      </c>
      <c r="G17" s="4">
        <v>30</v>
      </c>
      <c r="H17">
        <f>IFERROR(VLOOKUP(A17,Usage!L:M,2,FALSE),0)</f>
        <v>26.320000000000004</v>
      </c>
      <c r="I17">
        <v>130</v>
      </c>
      <c r="J17" s="12">
        <f t="shared" si="2"/>
        <v>0.10949198133477882</v>
      </c>
      <c r="K17">
        <f t="shared" si="3"/>
        <v>28.244289326570236</v>
      </c>
      <c r="L17" s="2">
        <f t="shared" si="0"/>
        <v>-101.75571067342976</v>
      </c>
      <c r="M17" s="2">
        <f t="shared" si="1"/>
        <v>-3.3918570224476587</v>
      </c>
    </row>
    <row r="18" spans="1:13">
      <c r="A18" s="2">
        <v>12</v>
      </c>
      <c r="B18" s="2">
        <v>51</v>
      </c>
      <c r="C18" s="2" t="s">
        <v>16</v>
      </c>
      <c r="D18">
        <v>1</v>
      </c>
      <c r="E18" s="2" t="s">
        <v>17</v>
      </c>
      <c r="F18" s="3">
        <v>77.58</v>
      </c>
      <c r="G18" s="4">
        <v>10</v>
      </c>
      <c r="H18">
        <f>IFERROR(VLOOKUP(A18,Usage!L:M,2,FALSE),0)</f>
        <v>96</v>
      </c>
      <c r="I18">
        <v>400</v>
      </c>
      <c r="J18" s="12">
        <f t="shared" si="2"/>
        <v>0.39936284985329656</v>
      </c>
      <c r="K18">
        <f t="shared" si="3"/>
        <v>103.01868447381241</v>
      </c>
      <c r="L18" s="2">
        <f t="shared" si="0"/>
        <v>-296.98131552618759</v>
      </c>
      <c r="M18" s="2">
        <f t="shared" si="1"/>
        <v>-29.698131552618758</v>
      </c>
    </row>
    <row r="19" spans="1:13">
      <c r="A19" s="2">
        <v>13</v>
      </c>
      <c r="B19" s="2">
        <v>51</v>
      </c>
      <c r="C19" s="2" t="s">
        <v>18</v>
      </c>
      <c r="D19">
        <v>1</v>
      </c>
      <c r="E19" s="2" t="s">
        <v>19</v>
      </c>
      <c r="F19" s="3">
        <v>372.52</v>
      </c>
      <c r="G19" s="4">
        <v>1280</v>
      </c>
      <c r="H19">
        <f>IFERROR(VLOOKUP(A19,Usage!L:M,2,FALSE),0)</f>
        <v>4567</v>
      </c>
      <c r="I19">
        <v>6320</v>
      </c>
      <c r="J19" s="12">
        <f t="shared" si="2"/>
        <v>18.998855575833389</v>
      </c>
      <c r="K19">
        <f t="shared" si="3"/>
        <v>4900.8992915823046</v>
      </c>
      <c r="L19" s="2">
        <f t="shared" si="0"/>
        <v>-1419.1007084176954</v>
      </c>
      <c r="M19" s="2">
        <f t="shared" si="1"/>
        <v>-1.1086724284513245</v>
      </c>
    </row>
    <row r="20" spans="1:13">
      <c r="A20" s="2">
        <v>3236</v>
      </c>
      <c r="B20" s="2">
        <v>51</v>
      </c>
      <c r="C20" s="2" t="s">
        <v>20</v>
      </c>
      <c r="D20">
        <v>1</v>
      </c>
      <c r="E20" s="2" t="s">
        <v>19</v>
      </c>
      <c r="F20" s="3">
        <v>395.39</v>
      </c>
      <c r="G20" s="4">
        <v>1280</v>
      </c>
      <c r="H20">
        <f>IFERROR(VLOOKUP(A20,Usage!L:M,2,FALSE),0)</f>
        <v>3881</v>
      </c>
      <c r="I20">
        <v>4360</v>
      </c>
      <c r="J20" s="12">
        <f t="shared" si="2"/>
        <v>16.145075211256707</v>
      </c>
      <c r="K20">
        <f t="shared" si="3"/>
        <v>4164.7449421131869</v>
      </c>
      <c r="L20" s="2">
        <f t="shared" si="0"/>
        <v>-195.25505788681312</v>
      </c>
      <c r="M20" s="2">
        <f t="shared" si="1"/>
        <v>-0.15254301397407274</v>
      </c>
    </row>
    <row r="21" spans="1:13">
      <c r="A21" s="2">
        <v>19</v>
      </c>
      <c r="B21" s="2">
        <v>51</v>
      </c>
      <c r="C21" s="2" t="s">
        <v>21</v>
      </c>
      <c r="D21">
        <v>1</v>
      </c>
      <c r="E21" s="2" t="s">
        <v>17</v>
      </c>
      <c r="F21" s="3">
        <v>292.57</v>
      </c>
      <c r="G21" s="4">
        <v>20</v>
      </c>
      <c r="H21">
        <f>IFERROR(VLOOKUP(A21,Usage!L:M,2,FALSE),0)</f>
        <v>322.77</v>
      </c>
      <c r="I21">
        <v>160</v>
      </c>
      <c r="J21" s="12">
        <f t="shared" si="2"/>
        <v>1.3427327817411303</v>
      </c>
      <c r="K21">
        <f t="shared" si="3"/>
        <v>346.3681332042961</v>
      </c>
      <c r="L21" s="2">
        <f t="shared" si="0"/>
        <v>186.3681332042961</v>
      </c>
      <c r="M21" s="2">
        <f t="shared" si="1"/>
        <v>9.318406660214805</v>
      </c>
    </row>
    <row r="22" spans="1:13">
      <c r="A22" s="2">
        <v>20</v>
      </c>
      <c r="B22" s="2">
        <v>52</v>
      </c>
      <c r="C22" s="2" t="s">
        <v>22</v>
      </c>
      <c r="D22">
        <v>1</v>
      </c>
      <c r="E22" s="2" t="s">
        <v>0</v>
      </c>
      <c r="F22" s="3">
        <v>29.39</v>
      </c>
      <c r="G22" s="4">
        <v>60</v>
      </c>
      <c r="H22">
        <f>IFERROR(VLOOKUP(A22,Usage!L:M,2,FALSE),0)</f>
        <v>2043</v>
      </c>
      <c r="I22">
        <v>231</v>
      </c>
      <c r="J22" s="12">
        <f t="shared" si="2"/>
        <v>8.4989406484404668</v>
      </c>
      <c r="K22">
        <f t="shared" si="3"/>
        <v>2192.3663789583202</v>
      </c>
      <c r="L22" s="2">
        <f t="shared" si="0"/>
        <v>1961.3663789583202</v>
      </c>
      <c r="M22" s="2">
        <f t="shared" si="1"/>
        <v>32.689439649305335</v>
      </c>
    </row>
    <row r="23" spans="1:13">
      <c r="A23" s="2">
        <v>21</v>
      </c>
      <c r="B23" s="2">
        <v>51</v>
      </c>
      <c r="C23" s="2" t="s">
        <v>23</v>
      </c>
      <c r="D23">
        <v>1</v>
      </c>
      <c r="E23" s="2" t="s">
        <v>17</v>
      </c>
      <c r="F23" s="3">
        <v>139.25</v>
      </c>
      <c r="G23" s="4">
        <v>10</v>
      </c>
      <c r="H23">
        <f>IFERROR(VLOOKUP(A23,Usage!L:M,2,FALSE),0)</f>
        <v>38.49</v>
      </c>
      <c r="I23">
        <v>58</v>
      </c>
      <c r="J23" s="12">
        <f t="shared" si="2"/>
        <v>0.16011954261305608</v>
      </c>
      <c r="K23">
        <f t="shared" si="3"/>
        <v>41.304053806219159</v>
      </c>
      <c r="L23" s="2">
        <f t="shared" si="0"/>
        <v>-16.695946193780841</v>
      </c>
      <c r="M23" s="2">
        <f t="shared" si="1"/>
        <v>-1.6695946193780842</v>
      </c>
    </row>
    <row r="24" spans="1:13">
      <c r="A24" s="2">
        <v>23</v>
      </c>
      <c r="B24" s="2">
        <v>51</v>
      </c>
      <c r="C24" s="2" t="s">
        <v>24</v>
      </c>
      <c r="D24">
        <v>1</v>
      </c>
      <c r="E24" s="2" t="s">
        <v>0</v>
      </c>
      <c r="F24" s="3">
        <v>84.32</v>
      </c>
      <c r="G24" s="4">
        <v>952</v>
      </c>
      <c r="H24">
        <f>IFERROR(VLOOKUP(A24,Usage!L:M,2,FALSE),0)</f>
        <v>563</v>
      </c>
      <c r="I24">
        <v>2454</v>
      </c>
      <c r="J24" s="12">
        <f t="shared" si="2"/>
        <v>2.3420967132021455</v>
      </c>
      <c r="K24">
        <f t="shared" si="3"/>
        <v>604.16165998704571</v>
      </c>
      <c r="L24" s="2">
        <f t="shared" si="0"/>
        <v>-1849.8383400129542</v>
      </c>
      <c r="M24" s="2">
        <f t="shared" si="1"/>
        <v>-1.9431075000136073</v>
      </c>
    </row>
    <row r="25" spans="1:13">
      <c r="A25" s="2">
        <v>8970</v>
      </c>
      <c r="B25" s="2">
        <v>51</v>
      </c>
      <c r="C25" s="2" t="s">
        <v>25</v>
      </c>
      <c r="D25">
        <v>3</v>
      </c>
      <c r="E25" s="2" t="s">
        <v>26</v>
      </c>
      <c r="F25" s="3">
        <v>82.66</v>
      </c>
      <c r="G25" s="4">
        <v>16.5</v>
      </c>
      <c r="H25">
        <f>IFERROR(VLOOKUP(A25,Usage!L:M,2,FALSE),0)</f>
        <v>0</v>
      </c>
      <c r="I25">
        <v>82.5</v>
      </c>
      <c r="J25" s="12">
        <f t="shared" si="2"/>
        <v>0</v>
      </c>
      <c r="K25">
        <f t="shared" si="3"/>
        <v>0</v>
      </c>
      <c r="L25" s="2">
        <f t="shared" si="0"/>
        <v>-82.5</v>
      </c>
      <c r="M25" s="2">
        <f t="shared" si="1"/>
        <v>-5</v>
      </c>
    </row>
    <row r="26" spans="1:13">
      <c r="A26" s="2">
        <v>26</v>
      </c>
      <c r="B26" s="2">
        <v>51</v>
      </c>
      <c r="C26" s="2" t="s">
        <v>27</v>
      </c>
      <c r="D26">
        <v>1</v>
      </c>
      <c r="E26" s="2" t="s">
        <v>26</v>
      </c>
      <c r="F26" s="3">
        <v>152.12</v>
      </c>
      <c r="G26" s="4">
        <v>15</v>
      </c>
      <c r="H26">
        <f>IFERROR(VLOOKUP(A26,Usage!L:M,2,FALSE),0)</f>
        <v>0.13</v>
      </c>
      <c r="I26">
        <v>10.95</v>
      </c>
      <c r="J26" s="12">
        <f t="shared" si="2"/>
        <v>5.4080385917633909E-4</v>
      </c>
      <c r="K26">
        <f t="shared" si="3"/>
        <v>0.13950446855828763</v>
      </c>
      <c r="L26" s="2">
        <f t="shared" si="0"/>
        <v>-10.810495531441711</v>
      </c>
      <c r="M26" s="2">
        <f t="shared" si="1"/>
        <v>-0.72069970209611411</v>
      </c>
    </row>
    <row r="27" spans="1:13">
      <c r="A27" s="2">
        <v>4209</v>
      </c>
      <c r="B27" s="2">
        <v>55</v>
      </c>
      <c r="C27" s="2" t="s">
        <v>28</v>
      </c>
      <c r="D27">
        <v>1</v>
      </c>
      <c r="E27" s="2" t="s">
        <v>26</v>
      </c>
      <c r="F27" s="3">
        <v>184.46</v>
      </c>
      <c r="G27" s="4">
        <v>15</v>
      </c>
      <c r="H27">
        <f>IFERROR(VLOOKUP(A27,Usage!L:M,2,FALSE),0)</f>
        <v>4.05</v>
      </c>
      <c r="I27">
        <v>1</v>
      </c>
      <c r="J27" s="12">
        <f t="shared" si="2"/>
        <v>1.6848120228185947E-2</v>
      </c>
      <c r="K27">
        <f t="shared" si="3"/>
        <v>4.3461007512389607</v>
      </c>
      <c r="L27" s="2">
        <f t="shared" si="0"/>
        <v>3.3461007512389607</v>
      </c>
      <c r="M27" s="2">
        <f t="shared" si="1"/>
        <v>0.22307338341593072</v>
      </c>
    </row>
    <row r="28" spans="1:13">
      <c r="A28" s="2">
        <v>99931</v>
      </c>
      <c r="B28" s="2">
        <v>51</v>
      </c>
      <c r="C28" s="2" t="s">
        <v>29</v>
      </c>
      <c r="D28">
        <v>1</v>
      </c>
      <c r="E28" s="2" t="s">
        <v>12</v>
      </c>
      <c r="F28" s="3">
        <v>136.97</v>
      </c>
      <c r="G28" s="4">
        <v>24</v>
      </c>
      <c r="H28">
        <f>IFERROR(VLOOKUP(A28,Usage!L:M,2,FALSE),0)</f>
        <v>0</v>
      </c>
      <c r="I28">
        <v>10</v>
      </c>
      <c r="J28" s="12">
        <f t="shared" si="2"/>
        <v>0</v>
      </c>
      <c r="K28">
        <f t="shared" si="3"/>
        <v>0</v>
      </c>
      <c r="L28" s="2">
        <f t="shared" si="0"/>
        <v>-10</v>
      </c>
      <c r="M28" s="2">
        <f t="shared" si="1"/>
        <v>-0.41666666666666669</v>
      </c>
    </row>
    <row r="29" spans="1:13">
      <c r="A29" s="2">
        <v>3496</v>
      </c>
      <c r="B29" s="2">
        <v>51</v>
      </c>
      <c r="C29" s="2" t="s">
        <v>30</v>
      </c>
      <c r="D29">
        <v>3</v>
      </c>
      <c r="E29" s="2" t="s">
        <v>26</v>
      </c>
      <c r="F29" s="3">
        <v>438.63</v>
      </c>
      <c r="G29" s="4">
        <v>20</v>
      </c>
      <c r="H29">
        <f>IFERROR(VLOOKUP(A29,Usage!L:M,2,FALSE),0)</f>
        <v>0</v>
      </c>
      <c r="I29">
        <v>12</v>
      </c>
      <c r="J29" s="12">
        <f t="shared" si="2"/>
        <v>0</v>
      </c>
      <c r="K29">
        <f t="shared" si="3"/>
        <v>0</v>
      </c>
      <c r="L29" s="2">
        <f t="shared" si="0"/>
        <v>-12</v>
      </c>
      <c r="M29" s="2">
        <f t="shared" si="1"/>
        <v>-0.6</v>
      </c>
    </row>
    <row r="30" spans="1:13">
      <c r="A30" s="2">
        <v>42</v>
      </c>
      <c r="B30" s="2">
        <v>51</v>
      </c>
      <c r="C30" s="2" t="s">
        <v>31</v>
      </c>
      <c r="D30">
        <v>1</v>
      </c>
      <c r="E30" s="2" t="s">
        <v>17</v>
      </c>
      <c r="F30" s="3">
        <v>143.97</v>
      </c>
      <c r="G30" s="4">
        <v>10</v>
      </c>
      <c r="H30">
        <f>IFERROR(VLOOKUP(A30,Usage!L:M,2,FALSE),0)</f>
        <v>0</v>
      </c>
      <c r="I30">
        <v>0</v>
      </c>
      <c r="J30" s="12">
        <f t="shared" si="2"/>
        <v>0</v>
      </c>
      <c r="K30">
        <f t="shared" si="3"/>
        <v>0</v>
      </c>
      <c r="L30" s="2">
        <f t="shared" si="0"/>
        <v>0</v>
      </c>
      <c r="M30" s="2">
        <f t="shared" si="1"/>
        <v>0</v>
      </c>
    </row>
    <row r="31" spans="1:13">
      <c r="A31" s="2">
        <v>1850</v>
      </c>
      <c r="B31" s="2">
        <v>51</v>
      </c>
      <c r="C31" s="2" t="s">
        <v>32</v>
      </c>
      <c r="D31">
        <v>3</v>
      </c>
      <c r="E31" s="2" t="s">
        <v>33</v>
      </c>
      <c r="F31" s="3">
        <v>38.659999999999997</v>
      </c>
      <c r="G31" s="4">
        <v>1000</v>
      </c>
      <c r="H31">
        <f>IFERROR(VLOOKUP(A31,Usage!L:M,2,FALSE),0)</f>
        <v>0</v>
      </c>
      <c r="I31">
        <v>0</v>
      </c>
      <c r="J31" s="12">
        <f t="shared" si="2"/>
        <v>0</v>
      </c>
      <c r="K31">
        <f t="shared" si="3"/>
        <v>0</v>
      </c>
      <c r="L31" s="2">
        <f t="shared" si="0"/>
        <v>0</v>
      </c>
      <c r="M31" s="2">
        <f t="shared" si="1"/>
        <v>0</v>
      </c>
    </row>
    <row r="32" spans="1:13">
      <c r="A32" s="2">
        <v>45</v>
      </c>
      <c r="B32" s="2">
        <v>51</v>
      </c>
      <c r="C32" s="2" t="s">
        <v>34</v>
      </c>
      <c r="D32">
        <v>3</v>
      </c>
      <c r="E32" s="2" t="s">
        <v>33</v>
      </c>
      <c r="F32" s="3">
        <v>126.97</v>
      </c>
      <c r="G32" s="4">
        <v>1892</v>
      </c>
      <c r="H32">
        <f>IFERROR(VLOOKUP(A32,Usage!L:M,2,FALSE),0)</f>
        <v>19139</v>
      </c>
      <c r="I32">
        <v>5676</v>
      </c>
      <c r="J32" s="12">
        <f t="shared" si="2"/>
        <v>79.618808159815032</v>
      </c>
      <c r="K32">
        <f t="shared" si="3"/>
        <v>20538.277105669746</v>
      </c>
      <c r="L32" s="2">
        <f t="shared" si="0"/>
        <v>14862.277105669746</v>
      </c>
      <c r="M32" s="2">
        <f t="shared" si="1"/>
        <v>7.8553261657873916</v>
      </c>
    </row>
    <row r="33" spans="1:13">
      <c r="A33" s="2">
        <v>1811</v>
      </c>
      <c r="B33" s="2">
        <v>51</v>
      </c>
      <c r="C33" s="2" t="s">
        <v>35</v>
      </c>
      <c r="D33">
        <v>3</v>
      </c>
      <c r="E33" s="2" t="s">
        <v>33</v>
      </c>
      <c r="F33" s="3">
        <v>62.62</v>
      </c>
      <c r="G33" s="4">
        <v>1000</v>
      </c>
      <c r="H33">
        <f>IFERROR(VLOOKUP(A33,Usage!L:M,2,FALSE),0)</f>
        <v>332</v>
      </c>
      <c r="I33">
        <v>332</v>
      </c>
      <c r="J33" s="12">
        <f t="shared" si="2"/>
        <v>1.3811298557426506</v>
      </c>
      <c r="K33">
        <f t="shared" si="3"/>
        <v>356.27295047193456</v>
      </c>
      <c r="L33" s="2">
        <f t="shared" si="0"/>
        <v>24.272950471934564</v>
      </c>
      <c r="M33" s="2">
        <f t="shared" si="1"/>
        <v>2.4272950471934566E-2</v>
      </c>
    </row>
    <row r="34" spans="1:13">
      <c r="A34" s="2">
        <v>55</v>
      </c>
      <c r="B34" s="2">
        <v>51</v>
      </c>
      <c r="C34" s="2" t="s">
        <v>36</v>
      </c>
      <c r="D34">
        <v>1</v>
      </c>
      <c r="E34" s="2" t="s">
        <v>15</v>
      </c>
      <c r="F34" s="3">
        <v>233.56</v>
      </c>
      <c r="G34" s="4">
        <v>30</v>
      </c>
      <c r="H34">
        <f>IFERROR(VLOOKUP(A34,Usage!L:M,2,FALSE),0)</f>
        <v>19.369999999999997</v>
      </c>
      <c r="I34">
        <v>50</v>
      </c>
      <c r="J34" s="12">
        <f t="shared" si="2"/>
        <v>8.0579775017274508E-2</v>
      </c>
      <c r="K34">
        <f t="shared" si="3"/>
        <v>20.786165815184852</v>
      </c>
      <c r="L34" s="2">
        <f t="shared" si="0"/>
        <v>-29.213834184815148</v>
      </c>
      <c r="M34" s="2">
        <f t="shared" si="1"/>
        <v>-0.97379447282717158</v>
      </c>
    </row>
    <row r="35" spans="1:13">
      <c r="A35" s="2">
        <v>56</v>
      </c>
      <c r="B35" s="2">
        <v>51</v>
      </c>
      <c r="C35" s="2" t="s">
        <v>37</v>
      </c>
      <c r="D35">
        <v>1</v>
      </c>
      <c r="E35" s="2" t="s">
        <v>38</v>
      </c>
      <c r="F35" s="3">
        <v>383.7</v>
      </c>
      <c r="G35" s="4">
        <v>32</v>
      </c>
      <c r="H35">
        <f>IFERROR(VLOOKUP(A35,Usage!L:M,2,FALSE),0)</f>
        <v>6.6499999999999995</v>
      </c>
      <c r="I35">
        <v>9.99</v>
      </c>
      <c r="J35" s="12">
        <f t="shared" si="2"/>
        <v>2.7664197411712728E-2</v>
      </c>
      <c r="K35">
        <f t="shared" si="3"/>
        <v>7.1361901224047131</v>
      </c>
      <c r="L35" s="2">
        <f t="shared" si="0"/>
        <v>-2.8538098775952871</v>
      </c>
      <c r="M35" s="2">
        <f t="shared" si="1"/>
        <v>-8.9181558674852723E-2</v>
      </c>
    </row>
    <row r="36" spans="1:13">
      <c r="A36" s="2">
        <v>99932</v>
      </c>
      <c r="B36" s="2">
        <v>51</v>
      </c>
      <c r="C36" s="2" t="s">
        <v>39</v>
      </c>
      <c r="D36">
        <v>1</v>
      </c>
      <c r="E36" s="2" t="s">
        <v>0</v>
      </c>
      <c r="F36" s="3">
        <v>224.97</v>
      </c>
      <c r="G36" s="4">
        <v>1200</v>
      </c>
      <c r="H36">
        <f>IFERROR(VLOOKUP(A36,Usage!L:M,2,FALSE),0)</f>
        <v>0</v>
      </c>
      <c r="I36">
        <v>0</v>
      </c>
      <c r="J36" s="12">
        <f t="shared" si="2"/>
        <v>0</v>
      </c>
      <c r="K36">
        <f t="shared" si="3"/>
        <v>0</v>
      </c>
      <c r="L36" s="2">
        <f t="shared" si="0"/>
        <v>0</v>
      </c>
      <c r="M36" s="2">
        <f t="shared" si="1"/>
        <v>0</v>
      </c>
    </row>
    <row r="37" spans="1:13">
      <c r="A37" s="2">
        <v>63</v>
      </c>
      <c r="B37" s="2">
        <v>51</v>
      </c>
      <c r="C37" s="2" t="s">
        <v>40</v>
      </c>
      <c r="D37">
        <v>1</v>
      </c>
      <c r="E37" s="2" t="s">
        <v>41</v>
      </c>
      <c r="F37" s="3">
        <v>81.09</v>
      </c>
      <c r="G37" s="4">
        <v>6</v>
      </c>
      <c r="H37">
        <f>IFERROR(VLOOKUP(A37,Usage!L:M,2,FALSE),0)</f>
        <v>2</v>
      </c>
      <c r="I37">
        <v>2</v>
      </c>
      <c r="J37" s="12">
        <f t="shared" si="2"/>
        <v>8.3200593719436784E-3</v>
      </c>
      <c r="K37">
        <f t="shared" si="3"/>
        <v>2.146222593204425</v>
      </c>
      <c r="L37" s="2">
        <f t="shared" si="0"/>
        <v>0.14622259320442499</v>
      </c>
      <c r="M37" s="2">
        <f t="shared" si="1"/>
        <v>2.4370432200737497E-2</v>
      </c>
    </row>
    <row r="38" spans="1:13">
      <c r="A38" s="2">
        <v>65</v>
      </c>
      <c r="B38" s="2">
        <v>51</v>
      </c>
      <c r="C38" s="2" t="s">
        <v>42</v>
      </c>
      <c r="D38">
        <v>1</v>
      </c>
      <c r="E38" s="2" t="s">
        <v>43</v>
      </c>
      <c r="F38" s="3">
        <v>144.94</v>
      </c>
      <c r="G38" s="4">
        <v>486.92</v>
      </c>
      <c r="H38">
        <f>IFERROR(VLOOKUP(A38,Usage!L:M,2,FALSE),0)</f>
        <v>50</v>
      </c>
      <c r="I38">
        <v>70</v>
      </c>
      <c r="J38" s="12">
        <f t="shared" si="2"/>
        <v>0.20800148429859194</v>
      </c>
      <c r="K38">
        <f t="shared" si="3"/>
        <v>53.655564830110627</v>
      </c>
      <c r="L38" s="2">
        <f t="shared" si="0"/>
        <v>-16.344435169889373</v>
      </c>
      <c r="M38" s="2">
        <f t="shared" si="1"/>
        <v>-3.3566982604718174E-2</v>
      </c>
    </row>
    <row r="39" spans="1:13">
      <c r="A39" s="2">
        <v>69</v>
      </c>
      <c r="B39" s="2">
        <v>51</v>
      </c>
      <c r="C39" s="2" t="s">
        <v>44</v>
      </c>
      <c r="D39">
        <v>1</v>
      </c>
      <c r="E39" s="2" t="s">
        <v>43</v>
      </c>
      <c r="F39" s="3">
        <v>175.67</v>
      </c>
      <c r="G39" s="4">
        <v>523</v>
      </c>
      <c r="H39">
        <f>IFERROR(VLOOKUP(A39,Usage!L:M,2,FALSE),0)</f>
        <v>29.16</v>
      </c>
      <c r="I39">
        <v>192</v>
      </c>
      <c r="J39" s="12">
        <f t="shared" si="2"/>
        <v>0.12130646564293883</v>
      </c>
      <c r="K39">
        <f t="shared" si="3"/>
        <v>31.29192540892052</v>
      </c>
      <c r="L39" s="2">
        <f t="shared" si="0"/>
        <v>-160.70807459107948</v>
      </c>
      <c r="M39" s="2">
        <f t="shared" si="1"/>
        <v>-0.30728121336726477</v>
      </c>
    </row>
    <row r="40" spans="1:13">
      <c r="A40" s="2">
        <v>116</v>
      </c>
      <c r="B40" s="2">
        <v>51</v>
      </c>
      <c r="C40" s="2" t="s">
        <v>45</v>
      </c>
      <c r="D40">
        <v>2</v>
      </c>
      <c r="E40" s="2" t="s">
        <v>0</v>
      </c>
      <c r="F40" s="3">
        <v>137.27000000000001</v>
      </c>
      <c r="G40" s="4">
        <v>4200</v>
      </c>
      <c r="H40">
        <f>IFERROR(VLOOKUP(A40,Usage!L:M,2,FALSE),0)</f>
        <v>1027</v>
      </c>
      <c r="I40">
        <v>4650</v>
      </c>
      <c r="J40" s="12">
        <f t="shared" si="2"/>
        <v>4.2723504874930782</v>
      </c>
      <c r="K40">
        <f t="shared" si="3"/>
        <v>1102.0853016104722</v>
      </c>
      <c r="L40" s="2">
        <f t="shared" si="0"/>
        <v>-3547.914698389528</v>
      </c>
      <c r="M40" s="2">
        <f t="shared" si="1"/>
        <v>-0.8447415948546495</v>
      </c>
    </row>
    <row r="41" spans="1:13">
      <c r="A41" s="2">
        <v>117</v>
      </c>
      <c r="B41" s="2">
        <v>51</v>
      </c>
      <c r="C41" s="2" t="s">
        <v>46</v>
      </c>
      <c r="D41">
        <v>2</v>
      </c>
      <c r="E41" s="2" t="s">
        <v>0</v>
      </c>
      <c r="F41" s="3">
        <v>138.22</v>
      </c>
      <c r="G41" s="4">
        <v>4050</v>
      </c>
      <c r="H41">
        <f>IFERROR(VLOOKUP(A41,Usage!L:M,2,FALSE),0)</f>
        <v>5388</v>
      </c>
      <c r="I41">
        <v>18490</v>
      </c>
      <c r="J41" s="12">
        <f t="shared" si="2"/>
        <v>22.41423994801627</v>
      </c>
      <c r="K41">
        <f t="shared" si="3"/>
        <v>5781.9236660927218</v>
      </c>
      <c r="L41" s="2">
        <f t="shared" si="0"/>
        <v>-12708.076333907278</v>
      </c>
      <c r="M41" s="2">
        <f t="shared" si="1"/>
        <v>-3.1377966256561183</v>
      </c>
    </row>
    <row r="42" spans="1:13">
      <c r="A42" s="2">
        <v>101</v>
      </c>
      <c r="B42" s="2">
        <v>51</v>
      </c>
      <c r="C42" s="2" t="s">
        <v>47</v>
      </c>
      <c r="D42">
        <v>2</v>
      </c>
      <c r="E42" s="2" t="s">
        <v>0</v>
      </c>
      <c r="F42" s="3">
        <v>148.35</v>
      </c>
      <c r="G42" s="4">
        <v>2000</v>
      </c>
      <c r="H42">
        <f>IFERROR(VLOOKUP(A42,Usage!L:M,2,FALSE),0)</f>
        <v>430</v>
      </c>
      <c r="I42">
        <v>430</v>
      </c>
      <c r="J42" s="12">
        <f t="shared" si="2"/>
        <v>1.7888127649678907</v>
      </c>
      <c r="K42">
        <f t="shared" si="3"/>
        <v>461.43785753895133</v>
      </c>
      <c r="L42" s="2">
        <f t="shared" si="0"/>
        <v>31.437857538951334</v>
      </c>
      <c r="M42" s="2">
        <f t="shared" si="1"/>
        <v>1.5718928769475667E-2</v>
      </c>
    </row>
    <row r="43" spans="1:13">
      <c r="A43" s="2">
        <v>127</v>
      </c>
      <c r="B43" s="2">
        <v>51</v>
      </c>
      <c r="C43" s="2" t="s">
        <v>48</v>
      </c>
      <c r="D43">
        <v>2</v>
      </c>
      <c r="E43" s="2" t="s">
        <v>0</v>
      </c>
      <c r="F43" s="3">
        <v>223.36</v>
      </c>
      <c r="G43" s="4">
        <v>8000</v>
      </c>
      <c r="H43">
        <f>IFERROR(VLOOKUP(A43,Usage!L:M,2,FALSE),0)</f>
        <v>1672</v>
      </c>
      <c r="I43">
        <v>5620</v>
      </c>
      <c r="J43" s="12">
        <f t="shared" si="2"/>
        <v>6.955569634944915</v>
      </c>
      <c r="K43">
        <f t="shared" si="3"/>
        <v>1794.2420879188994</v>
      </c>
      <c r="L43" s="2">
        <f t="shared" si="0"/>
        <v>-3825.7579120811006</v>
      </c>
      <c r="M43" s="2">
        <f t="shared" si="1"/>
        <v>-0.47821973901013759</v>
      </c>
    </row>
    <row r="44" spans="1:13">
      <c r="A44" s="2">
        <v>5012</v>
      </c>
      <c r="B44" s="2">
        <v>51</v>
      </c>
      <c r="C44" s="2" t="s">
        <v>49</v>
      </c>
      <c r="D44">
        <v>1</v>
      </c>
      <c r="E44" s="2" t="s">
        <v>17</v>
      </c>
      <c r="F44" s="3">
        <v>498.3</v>
      </c>
      <c r="G44" s="4">
        <v>13.5</v>
      </c>
      <c r="H44">
        <f>IFERROR(VLOOKUP(A44,Usage!L:M,2,FALSE),0)</f>
        <v>21.62</v>
      </c>
      <c r="I44">
        <v>48.5</v>
      </c>
      <c r="J44" s="12">
        <f t="shared" si="2"/>
        <v>8.9939841810711157E-2</v>
      </c>
      <c r="K44">
        <f t="shared" si="3"/>
        <v>23.200666232539835</v>
      </c>
      <c r="L44" s="2">
        <f t="shared" si="0"/>
        <v>-25.299333767460165</v>
      </c>
      <c r="M44" s="2">
        <f t="shared" si="1"/>
        <v>-1.8740247235155678</v>
      </c>
    </row>
    <row r="45" spans="1:13">
      <c r="A45" s="2">
        <v>5209</v>
      </c>
      <c r="B45" s="2">
        <v>51</v>
      </c>
      <c r="C45" s="2" t="s">
        <v>50</v>
      </c>
      <c r="D45">
        <v>1</v>
      </c>
      <c r="E45" s="2" t="s">
        <v>17</v>
      </c>
      <c r="F45" s="3">
        <v>303.20999999999998</v>
      </c>
      <c r="G45" s="4">
        <v>13.5</v>
      </c>
      <c r="H45">
        <f>IFERROR(VLOOKUP(A45,Usage!L:M,2,FALSE),0)</f>
        <v>11.5</v>
      </c>
      <c r="I45">
        <v>31</v>
      </c>
      <c r="J45" s="12">
        <f t="shared" si="2"/>
        <v>4.7840341388676148E-2</v>
      </c>
      <c r="K45">
        <f t="shared" si="3"/>
        <v>12.340779910925445</v>
      </c>
      <c r="L45" s="2">
        <f t="shared" si="0"/>
        <v>-18.659220089074555</v>
      </c>
      <c r="M45" s="2">
        <f t="shared" si="1"/>
        <v>-1.3821644510425597</v>
      </c>
    </row>
    <row r="46" spans="1:13">
      <c r="A46" s="2">
        <v>155</v>
      </c>
      <c r="B46" s="2">
        <v>51</v>
      </c>
      <c r="C46" s="2" t="s">
        <v>51</v>
      </c>
      <c r="D46">
        <v>2</v>
      </c>
      <c r="E46" s="2" t="s">
        <v>0</v>
      </c>
      <c r="F46" s="3">
        <v>177.19</v>
      </c>
      <c r="G46" s="4">
        <v>2000</v>
      </c>
      <c r="H46">
        <f>IFERROR(VLOOKUP(A46,Usage!L:M,2,FALSE),0)</f>
        <v>1027</v>
      </c>
      <c r="I46">
        <v>3311</v>
      </c>
      <c r="J46" s="12">
        <f t="shared" si="2"/>
        <v>4.2723504874930782</v>
      </c>
      <c r="K46">
        <f t="shared" si="3"/>
        <v>1102.0853016104722</v>
      </c>
      <c r="L46" s="2">
        <f t="shared" si="0"/>
        <v>-2208.914698389528</v>
      </c>
      <c r="M46" s="2">
        <f t="shared" si="1"/>
        <v>-1.104457349194764</v>
      </c>
    </row>
    <row r="47" spans="1:13">
      <c r="A47" s="2">
        <v>163</v>
      </c>
      <c r="B47" s="2">
        <v>51</v>
      </c>
      <c r="C47" s="2" t="s">
        <v>52</v>
      </c>
      <c r="D47">
        <v>2</v>
      </c>
      <c r="E47" s="2" t="s">
        <v>0</v>
      </c>
      <c r="F47" s="3">
        <v>131.08000000000001</v>
      </c>
      <c r="G47" s="4">
        <v>1200</v>
      </c>
      <c r="H47">
        <f>IFERROR(VLOOKUP(A47,Usage!L:M,2,FALSE),0)</f>
        <v>2247</v>
      </c>
      <c r="I47">
        <v>5800</v>
      </c>
      <c r="J47" s="12">
        <f t="shared" si="2"/>
        <v>9.3475867043787222</v>
      </c>
      <c r="K47">
        <f t="shared" si="3"/>
        <v>2411.2810834651714</v>
      </c>
      <c r="L47" s="2">
        <f t="shared" si="0"/>
        <v>-3388.7189165348286</v>
      </c>
      <c r="M47" s="2">
        <f t="shared" si="1"/>
        <v>-2.8239324304456903</v>
      </c>
    </row>
    <row r="48" spans="1:13">
      <c r="A48" s="2">
        <v>168</v>
      </c>
      <c r="B48" s="2">
        <v>51</v>
      </c>
      <c r="C48" s="2" t="s">
        <v>53</v>
      </c>
      <c r="D48">
        <v>1</v>
      </c>
      <c r="E48" s="2" t="s">
        <v>17</v>
      </c>
      <c r="F48" s="3">
        <v>139.25</v>
      </c>
      <c r="G48" s="4">
        <v>10</v>
      </c>
      <c r="H48">
        <f>IFERROR(VLOOKUP(A48,Usage!L:M,2,FALSE),0)</f>
        <v>70.319999999999993</v>
      </c>
      <c r="I48">
        <v>78</v>
      </c>
      <c r="J48" s="12">
        <f t="shared" si="2"/>
        <v>0.29253328751753971</v>
      </c>
      <c r="K48">
        <f t="shared" si="3"/>
        <v>75.461186377067577</v>
      </c>
      <c r="L48" s="2">
        <f t="shared" si="0"/>
        <v>-2.5388136229324232</v>
      </c>
      <c r="M48" s="2">
        <f t="shared" si="1"/>
        <v>-0.25388136229324232</v>
      </c>
    </row>
    <row r="49" spans="1:13">
      <c r="A49" s="2">
        <v>170</v>
      </c>
      <c r="B49" s="2">
        <v>51</v>
      </c>
      <c r="C49" s="2" t="s">
        <v>54</v>
      </c>
      <c r="D49">
        <v>2</v>
      </c>
      <c r="E49" s="2" t="s">
        <v>0</v>
      </c>
      <c r="F49" s="3">
        <v>182.89</v>
      </c>
      <c r="G49" s="4">
        <v>5000</v>
      </c>
      <c r="H49">
        <f>IFERROR(VLOOKUP(A49,Usage!L:M,2,FALSE),0)</f>
        <v>0</v>
      </c>
      <c r="I49">
        <v>0</v>
      </c>
      <c r="J49" s="12">
        <f t="shared" si="2"/>
        <v>0</v>
      </c>
      <c r="K49">
        <f t="shared" si="3"/>
        <v>0</v>
      </c>
      <c r="L49" s="2">
        <f t="shared" si="0"/>
        <v>0</v>
      </c>
      <c r="M49" s="2">
        <f t="shared" si="1"/>
        <v>0</v>
      </c>
    </row>
    <row r="50" spans="1:13">
      <c r="A50" s="2">
        <v>193</v>
      </c>
      <c r="B50" s="2">
        <v>51</v>
      </c>
      <c r="C50" s="2" t="s">
        <v>55</v>
      </c>
      <c r="D50">
        <v>2</v>
      </c>
      <c r="E50" s="2" t="s">
        <v>0</v>
      </c>
      <c r="F50" s="3">
        <v>189.42</v>
      </c>
      <c r="G50" s="4">
        <v>9000</v>
      </c>
      <c r="H50">
        <f>IFERROR(VLOOKUP(A50,Usage!L:M,2,FALSE),0)</f>
        <v>49399</v>
      </c>
      <c r="I50">
        <v>30249</v>
      </c>
      <c r="J50" s="12">
        <f t="shared" si="2"/>
        <v>205.50130645732287</v>
      </c>
      <c r="K50">
        <f t="shared" si="3"/>
        <v>53010.624940852693</v>
      </c>
      <c r="L50" s="2">
        <f t="shared" si="0"/>
        <v>22761.624940852693</v>
      </c>
      <c r="M50" s="2">
        <f t="shared" si="1"/>
        <v>2.5290694378725216</v>
      </c>
    </row>
    <row r="51" spans="1:13">
      <c r="A51" s="2">
        <v>205</v>
      </c>
      <c r="B51" s="2">
        <v>51</v>
      </c>
      <c r="C51" s="2" t="s">
        <v>56</v>
      </c>
      <c r="D51">
        <v>1</v>
      </c>
      <c r="E51" s="2" t="s">
        <v>0</v>
      </c>
      <c r="F51" s="3">
        <v>32.26</v>
      </c>
      <c r="G51" s="4">
        <v>18</v>
      </c>
      <c r="H51">
        <f>IFERROR(VLOOKUP(A51,Usage!L:M,2,FALSE),0)</f>
        <v>0</v>
      </c>
      <c r="I51">
        <v>0</v>
      </c>
      <c r="J51" s="12">
        <f t="shared" si="2"/>
        <v>0</v>
      </c>
      <c r="K51">
        <f t="shared" si="3"/>
        <v>0</v>
      </c>
      <c r="L51" s="2">
        <f t="shared" si="0"/>
        <v>0</v>
      </c>
      <c r="M51" s="2">
        <f t="shared" si="1"/>
        <v>0</v>
      </c>
    </row>
    <row r="52" spans="1:13">
      <c r="A52" s="2">
        <v>206</v>
      </c>
      <c r="B52" s="2">
        <v>51</v>
      </c>
      <c r="C52" s="2" t="s">
        <v>57</v>
      </c>
      <c r="D52">
        <v>1</v>
      </c>
      <c r="E52" s="2" t="s">
        <v>0</v>
      </c>
      <c r="F52" s="3">
        <v>32.26</v>
      </c>
      <c r="G52" s="4">
        <v>18</v>
      </c>
      <c r="H52">
        <f>IFERROR(VLOOKUP(A52,Usage!L:M,2,FALSE),0)</f>
        <v>113</v>
      </c>
      <c r="I52">
        <v>114</v>
      </c>
      <c r="J52" s="12">
        <f t="shared" si="2"/>
        <v>0.47008335451481781</v>
      </c>
      <c r="K52">
        <f t="shared" si="3"/>
        <v>121.26157651605001</v>
      </c>
      <c r="L52" s="2">
        <f t="shared" si="0"/>
        <v>7.2615765160500132</v>
      </c>
      <c r="M52" s="2">
        <f t="shared" si="1"/>
        <v>0.40342091755833409</v>
      </c>
    </row>
    <row r="53" spans="1:13">
      <c r="A53" s="2">
        <v>223</v>
      </c>
      <c r="B53" s="2">
        <v>51</v>
      </c>
      <c r="C53" s="2" t="s">
        <v>58</v>
      </c>
      <c r="D53">
        <v>2</v>
      </c>
      <c r="E53" s="2" t="s">
        <v>0</v>
      </c>
      <c r="F53" s="3">
        <v>111.94</v>
      </c>
      <c r="G53" s="4">
        <v>8000</v>
      </c>
      <c r="H53">
        <f>IFERROR(VLOOKUP(A53,Usage!L:M,2,FALSE),0)</f>
        <v>8532</v>
      </c>
      <c r="I53">
        <v>33780</v>
      </c>
      <c r="J53" s="12">
        <f t="shared" si="2"/>
        <v>35.493373280711729</v>
      </c>
      <c r="K53">
        <f t="shared" si="3"/>
        <v>9155.7855826100767</v>
      </c>
      <c r="L53" s="2">
        <f t="shared" si="0"/>
        <v>-24624.214417389921</v>
      </c>
      <c r="M53" s="2">
        <f t="shared" si="1"/>
        <v>-3.0780268021737403</v>
      </c>
    </row>
    <row r="54" spans="1:13">
      <c r="A54" s="2">
        <v>247</v>
      </c>
      <c r="B54" s="2">
        <v>51</v>
      </c>
      <c r="C54" s="2" t="s">
        <v>59</v>
      </c>
      <c r="D54">
        <v>2</v>
      </c>
      <c r="E54" s="2" t="s">
        <v>0</v>
      </c>
      <c r="F54" s="3">
        <v>108.94</v>
      </c>
      <c r="G54" s="4">
        <v>600</v>
      </c>
      <c r="H54">
        <f>IFERROR(VLOOKUP(A54,Usage!L:M,2,FALSE),0)</f>
        <v>0</v>
      </c>
      <c r="I54">
        <v>120</v>
      </c>
      <c r="J54" s="12">
        <f t="shared" si="2"/>
        <v>0</v>
      </c>
      <c r="K54">
        <f t="shared" si="3"/>
        <v>0</v>
      </c>
      <c r="L54" s="2">
        <f t="shared" si="0"/>
        <v>-120</v>
      </c>
      <c r="M54" s="2">
        <f t="shared" si="1"/>
        <v>-0.2</v>
      </c>
    </row>
    <row r="55" spans="1:13">
      <c r="A55" s="2">
        <v>253</v>
      </c>
      <c r="B55" s="2">
        <v>55</v>
      </c>
      <c r="C55" s="2" t="s">
        <v>2</v>
      </c>
      <c r="D55">
        <v>1</v>
      </c>
      <c r="E55" s="2" t="s">
        <v>26</v>
      </c>
      <c r="F55" s="3">
        <v>163.31</v>
      </c>
      <c r="G55" s="4">
        <v>16.5</v>
      </c>
      <c r="H55">
        <f>IFERROR(VLOOKUP(A55,Usage!L:M,2,FALSE),0)</f>
        <v>56.74</v>
      </c>
      <c r="I55">
        <v>15</v>
      </c>
      <c r="J55" s="12">
        <f t="shared" si="2"/>
        <v>0.23604008438204216</v>
      </c>
      <c r="K55">
        <f t="shared" si="3"/>
        <v>60.888334969209545</v>
      </c>
      <c r="L55" s="2">
        <f t="shared" si="0"/>
        <v>45.888334969209545</v>
      </c>
      <c r="M55" s="2">
        <f t="shared" si="1"/>
        <v>2.7811112102551241</v>
      </c>
    </row>
    <row r="56" spans="1:13">
      <c r="A56" s="2">
        <v>261</v>
      </c>
      <c r="B56" s="2">
        <v>51</v>
      </c>
      <c r="C56" s="2" t="s">
        <v>60</v>
      </c>
      <c r="D56">
        <v>2</v>
      </c>
      <c r="E56" s="2" t="s">
        <v>0</v>
      </c>
      <c r="F56" s="3">
        <v>223.51</v>
      </c>
      <c r="G56" s="4">
        <v>1500</v>
      </c>
      <c r="H56">
        <f>IFERROR(VLOOKUP(A56,Usage!L:M,2,FALSE),0)</f>
        <v>99</v>
      </c>
      <c r="I56">
        <v>700</v>
      </c>
      <c r="J56" s="12">
        <f t="shared" si="2"/>
        <v>0.41184293891121204</v>
      </c>
      <c r="K56">
        <f t="shared" si="3"/>
        <v>106.23801836361903</v>
      </c>
      <c r="L56" s="2">
        <f t="shared" si="0"/>
        <v>-593.76198163638094</v>
      </c>
      <c r="M56" s="2">
        <f t="shared" si="1"/>
        <v>-0.39584132109092063</v>
      </c>
    </row>
    <row r="57" spans="1:13">
      <c r="A57" s="2">
        <v>268</v>
      </c>
      <c r="B57" s="2">
        <v>51</v>
      </c>
      <c r="C57" s="2" t="s">
        <v>61</v>
      </c>
      <c r="D57">
        <v>2</v>
      </c>
      <c r="E57" s="2" t="s">
        <v>0</v>
      </c>
      <c r="F57" s="3">
        <v>184.96</v>
      </c>
      <c r="G57" s="4">
        <v>1050</v>
      </c>
      <c r="H57">
        <f>IFERROR(VLOOKUP(A57,Usage!L:M,2,FALSE),0)</f>
        <v>270</v>
      </c>
      <c r="I57">
        <v>2315</v>
      </c>
      <c r="J57" s="12">
        <f t="shared" si="2"/>
        <v>1.1232080152123964</v>
      </c>
      <c r="K57">
        <f t="shared" si="3"/>
        <v>289.74005008259735</v>
      </c>
      <c r="L57" s="2">
        <f t="shared" si="0"/>
        <v>-2025.2599499174025</v>
      </c>
      <c r="M57" s="2">
        <f t="shared" si="1"/>
        <v>-1.9288189999213357</v>
      </c>
    </row>
    <row r="58" spans="1:13">
      <c r="A58" s="2">
        <v>269</v>
      </c>
      <c r="B58" s="2">
        <v>51</v>
      </c>
      <c r="C58" s="2" t="s">
        <v>62</v>
      </c>
      <c r="D58">
        <v>2</v>
      </c>
      <c r="E58" s="2" t="s">
        <v>0</v>
      </c>
      <c r="F58" s="3">
        <v>84.86</v>
      </c>
      <c r="G58" s="4">
        <v>1000</v>
      </c>
      <c r="H58">
        <f>IFERROR(VLOOKUP(A58,Usage!L:M,2,FALSE),0)</f>
        <v>392</v>
      </c>
      <c r="I58">
        <v>2520</v>
      </c>
      <c r="J58" s="12">
        <f t="shared" si="2"/>
        <v>1.6307316369009608</v>
      </c>
      <c r="K58">
        <f t="shared" si="3"/>
        <v>420.65962826806731</v>
      </c>
      <c r="L58" s="2">
        <f t="shared" si="0"/>
        <v>-2099.3403717319325</v>
      </c>
      <c r="M58" s="2">
        <f t="shared" si="1"/>
        <v>-2.0993403717319326</v>
      </c>
    </row>
    <row r="59" spans="1:13">
      <c r="A59" s="2">
        <v>284</v>
      </c>
      <c r="B59" s="2">
        <v>51</v>
      </c>
      <c r="C59" s="2" t="s">
        <v>63</v>
      </c>
      <c r="D59">
        <v>2</v>
      </c>
      <c r="E59" s="2" t="s">
        <v>0</v>
      </c>
      <c r="F59" s="3">
        <v>245.41</v>
      </c>
      <c r="G59" s="4">
        <v>5000</v>
      </c>
      <c r="H59">
        <f>IFERROR(VLOOKUP(A59,Usage!L:M,2,FALSE),0)</f>
        <v>70</v>
      </c>
      <c r="I59">
        <v>1129</v>
      </c>
      <c r="J59" s="12">
        <f t="shared" si="2"/>
        <v>0.29120207801802872</v>
      </c>
      <c r="K59">
        <f t="shared" si="3"/>
        <v>75.117790762154868</v>
      </c>
      <c r="L59" s="2">
        <f t="shared" si="0"/>
        <v>-1053.882209237845</v>
      </c>
      <c r="M59" s="2">
        <f t="shared" si="1"/>
        <v>-0.210776441847569</v>
      </c>
    </row>
    <row r="60" spans="1:13">
      <c r="A60" s="2">
        <v>285</v>
      </c>
      <c r="B60" s="2">
        <v>51</v>
      </c>
      <c r="C60" s="2" t="s">
        <v>64</v>
      </c>
      <c r="D60">
        <v>2</v>
      </c>
      <c r="E60" s="2" t="s">
        <v>0</v>
      </c>
      <c r="F60" s="3">
        <v>226.17</v>
      </c>
      <c r="G60" s="4">
        <v>5000</v>
      </c>
      <c r="H60">
        <f>IFERROR(VLOOKUP(A60,Usage!L:M,2,FALSE),0)</f>
        <v>249</v>
      </c>
      <c r="I60">
        <v>4500</v>
      </c>
      <c r="J60" s="12">
        <f t="shared" si="2"/>
        <v>1.0358473918069879</v>
      </c>
      <c r="K60">
        <f t="shared" si="3"/>
        <v>267.20471285395092</v>
      </c>
      <c r="L60" s="2">
        <f t="shared" si="0"/>
        <v>-4232.7952871460493</v>
      </c>
      <c r="M60" s="2">
        <f t="shared" si="1"/>
        <v>-0.84655905742920989</v>
      </c>
    </row>
    <row r="61" spans="1:13">
      <c r="A61" s="2">
        <v>3646</v>
      </c>
      <c r="B61" s="2">
        <v>51</v>
      </c>
      <c r="C61" s="2" t="s">
        <v>65</v>
      </c>
      <c r="D61">
        <v>2</v>
      </c>
      <c r="E61" s="2" t="s">
        <v>0</v>
      </c>
      <c r="F61" s="3">
        <v>397.49</v>
      </c>
      <c r="G61" s="4">
        <v>5000</v>
      </c>
      <c r="H61">
        <f>IFERROR(VLOOKUP(A61,Usage!L:M,2,FALSE),0)</f>
        <v>0</v>
      </c>
      <c r="I61">
        <v>492</v>
      </c>
      <c r="J61" s="12">
        <f t="shared" si="2"/>
        <v>0</v>
      </c>
      <c r="K61">
        <f t="shared" si="3"/>
        <v>0</v>
      </c>
      <c r="L61" s="2">
        <f t="shared" si="0"/>
        <v>-492</v>
      </c>
      <c r="M61" s="2">
        <f t="shared" si="1"/>
        <v>-9.8400000000000001E-2</v>
      </c>
    </row>
    <row r="62" spans="1:13">
      <c r="A62" s="2">
        <v>288</v>
      </c>
      <c r="B62" s="2">
        <v>51</v>
      </c>
      <c r="C62" s="2" t="s">
        <v>66</v>
      </c>
      <c r="D62">
        <v>2</v>
      </c>
      <c r="E62" s="2" t="s">
        <v>0</v>
      </c>
      <c r="F62" s="3">
        <v>167.41</v>
      </c>
      <c r="G62" s="4">
        <v>700</v>
      </c>
      <c r="H62">
        <f>IFERROR(VLOOKUP(A62,Usage!L:M,2,FALSE),0)</f>
        <v>330</v>
      </c>
      <c r="I62">
        <v>1340</v>
      </c>
      <c r="J62" s="12">
        <f t="shared" si="2"/>
        <v>1.3728097963707069</v>
      </c>
      <c r="K62">
        <f t="shared" si="3"/>
        <v>354.12672787873015</v>
      </c>
      <c r="L62" s="2">
        <f t="shared" si="0"/>
        <v>-985.87327212126979</v>
      </c>
      <c r="M62" s="2">
        <f t="shared" si="1"/>
        <v>-1.4083903887446712</v>
      </c>
    </row>
    <row r="63" spans="1:13">
      <c r="A63" s="2">
        <v>295</v>
      </c>
      <c r="B63" s="2">
        <v>51</v>
      </c>
      <c r="C63" s="2" t="s">
        <v>67</v>
      </c>
      <c r="D63">
        <v>2</v>
      </c>
      <c r="E63" s="2" t="s">
        <v>0</v>
      </c>
      <c r="F63" s="3">
        <v>203.29</v>
      </c>
      <c r="G63" s="4">
        <v>820</v>
      </c>
      <c r="H63">
        <f>IFERROR(VLOOKUP(A63,Usage!L:M,2,FALSE),0)</f>
        <v>174</v>
      </c>
      <c r="I63">
        <v>1019</v>
      </c>
      <c r="J63" s="12">
        <f t="shared" si="2"/>
        <v>0.72384516535909993</v>
      </c>
      <c r="K63">
        <f t="shared" si="3"/>
        <v>186.72136560878496</v>
      </c>
      <c r="L63" s="2">
        <f t="shared" si="0"/>
        <v>-832.27863439121506</v>
      </c>
      <c r="M63" s="2">
        <f t="shared" si="1"/>
        <v>-1.0149739443795305</v>
      </c>
    </row>
    <row r="64" spans="1:13">
      <c r="A64" s="2">
        <v>335</v>
      </c>
      <c r="B64" s="2">
        <v>51</v>
      </c>
      <c r="C64" s="2" t="s">
        <v>68</v>
      </c>
      <c r="D64">
        <v>2</v>
      </c>
      <c r="E64" s="2" t="s">
        <v>0</v>
      </c>
      <c r="F64" s="3">
        <v>137.43</v>
      </c>
      <c r="G64" s="4">
        <v>1500</v>
      </c>
      <c r="H64">
        <f>IFERROR(VLOOKUP(A64,Usage!L:M,2,FALSE),0)</f>
        <v>99</v>
      </c>
      <c r="I64">
        <v>459</v>
      </c>
      <c r="J64" s="12">
        <f t="shared" si="2"/>
        <v>0.41184293891121204</v>
      </c>
      <c r="K64">
        <f t="shared" si="3"/>
        <v>106.23801836361903</v>
      </c>
      <c r="L64" s="2">
        <f t="shared" si="0"/>
        <v>-352.76198163638094</v>
      </c>
      <c r="M64" s="2">
        <f t="shared" si="1"/>
        <v>-0.23517465442425395</v>
      </c>
    </row>
    <row r="65" spans="1:13">
      <c r="A65" s="2">
        <v>8201</v>
      </c>
      <c r="B65" s="2">
        <v>51</v>
      </c>
      <c r="C65" s="2" t="s">
        <v>69</v>
      </c>
      <c r="D65">
        <v>2</v>
      </c>
      <c r="E65" s="2" t="s">
        <v>0</v>
      </c>
      <c r="F65" s="3">
        <v>233.08</v>
      </c>
      <c r="G65" s="4">
        <v>600</v>
      </c>
      <c r="H65">
        <f>IFERROR(VLOOKUP(A65,Usage!L:M,2,FALSE),0)</f>
        <v>550</v>
      </c>
      <c r="I65">
        <v>2068</v>
      </c>
      <c r="J65" s="12">
        <f t="shared" si="2"/>
        <v>2.2880163272845113</v>
      </c>
      <c r="K65">
        <f t="shared" si="3"/>
        <v>590.21121313121682</v>
      </c>
      <c r="L65" s="2">
        <f t="shared" si="0"/>
        <v>-1477.7887868687831</v>
      </c>
      <c r="M65" s="2">
        <f t="shared" si="1"/>
        <v>-2.4629813114479719</v>
      </c>
    </row>
    <row r="66" spans="1:13">
      <c r="A66" s="2">
        <v>337</v>
      </c>
      <c r="B66" s="2">
        <v>51</v>
      </c>
      <c r="C66" s="2" t="s">
        <v>70</v>
      </c>
      <c r="D66">
        <v>2</v>
      </c>
      <c r="E66" s="2" t="s">
        <v>0</v>
      </c>
      <c r="F66" s="3">
        <v>72.22</v>
      </c>
      <c r="G66" s="4">
        <v>1000</v>
      </c>
      <c r="H66">
        <f>IFERROR(VLOOKUP(A66,Usage!L:M,2,FALSE),0)</f>
        <v>0</v>
      </c>
      <c r="I66">
        <v>0</v>
      </c>
      <c r="J66" s="12">
        <f t="shared" si="2"/>
        <v>0</v>
      </c>
      <c r="K66">
        <f t="shared" si="3"/>
        <v>0</v>
      </c>
      <c r="L66" s="2">
        <f t="shared" si="0"/>
        <v>0</v>
      </c>
      <c r="M66" s="2">
        <f t="shared" si="1"/>
        <v>0</v>
      </c>
    </row>
    <row r="67" spans="1:13">
      <c r="A67" s="2">
        <v>385</v>
      </c>
      <c r="B67" s="2">
        <v>51</v>
      </c>
      <c r="C67" s="2" t="s">
        <v>71</v>
      </c>
      <c r="D67">
        <v>2</v>
      </c>
      <c r="E67" s="2" t="s">
        <v>0</v>
      </c>
      <c r="F67" s="3">
        <v>110.82</v>
      </c>
      <c r="G67" s="4">
        <v>5000</v>
      </c>
      <c r="H67">
        <f>IFERROR(VLOOKUP(A67,Usage!L:M,2,FALSE),0)</f>
        <v>564</v>
      </c>
      <c r="I67">
        <v>5968</v>
      </c>
      <c r="J67" s="12">
        <f t="shared" si="2"/>
        <v>2.3462567428881171</v>
      </c>
      <c r="K67">
        <f t="shared" si="3"/>
        <v>605.23477128364789</v>
      </c>
      <c r="L67" s="2">
        <f t="shared" si="0"/>
        <v>-5362.7652287163519</v>
      </c>
      <c r="M67" s="2">
        <f t="shared" si="1"/>
        <v>-1.0725530457432704</v>
      </c>
    </row>
    <row r="68" spans="1:13">
      <c r="A68" s="2">
        <v>386</v>
      </c>
      <c r="B68" s="2">
        <v>51</v>
      </c>
      <c r="C68" s="2" t="s">
        <v>72</v>
      </c>
      <c r="D68">
        <v>2</v>
      </c>
      <c r="E68" s="2" t="s">
        <v>0</v>
      </c>
      <c r="F68" s="3">
        <v>94.84</v>
      </c>
      <c r="G68" s="4">
        <v>500</v>
      </c>
      <c r="H68">
        <f>IFERROR(VLOOKUP(A68,Usage!L:M,2,FALSE),0)</f>
        <v>0</v>
      </c>
      <c r="I68">
        <v>999</v>
      </c>
      <c r="J68" s="12">
        <f t="shared" si="2"/>
        <v>0</v>
      </c>
      <c r="K68">
        <f t="shared" si="3"/>
        <v>0</v>
      </c>
      <c r="L68" s="2">
        <f t="shared" si="0"/>
        <v>-999</v>
      </c>
      <c r="M68" s="2">
        <f t="shared" si="1"/>
        <v>-1.998</v>
      </c>
    </row>
    <row r="69" spans="1:13">
      <c r="A69" s="2">
        <v>397</v>
      </c>
      <c r="B69" s="2">
        <v>51</v>
      </c>
      <c r="C69" s="2" t="s">
        <v>73</v>
      </c>
      <c r="D69">
        <v>2</v>
      </c>
      <c r="E69" s="2" t="s">
        <v>0</v>
      </c>
      <c r="F69" s="3">
        <v>99.84</v>
      </c>
      <c r="G69" s="4">
        <v>300</v>
      </c>
      <c r="H69">
        <f>IFERROR(VLOOKUP(A69,Usage!L:M,2,FALSE),0)</f>
        <v>0</v>
      </c>
      <c r="I69">
        <v>769</v>
      </c>
      <c r="J69" s="12">
        <f t="shared" si="2"/>
        <v>0</v>
      </c>
      <c r="K69">
        <f t="shared" si="3"/>
        <v>0</v>
      </c>
      <c r="L69" s="2">
        <f t="shared" si="0"/>
        <v>-769</v>
      </c>
      <c r="M69" s="2">
        <f t="shared" si="1"/>
        <v>-2.5633333333333335</v>
      </c>
    </row>
    <row r="70" spans="1:13">
      <c r="A70" s="2">
        <v>398</v>
      </c>
      <c r="B70" s="2">
        <v>51</v>
      </c>
      <c r="C70" s="2" t="s">
        <v>74</v>
      </c>
      <c r="D70">
        <v>2</v>
      </c>
      <c r="E70" s="2" t="s">
        <v>0</v>
      </c>
      <c r="F70" s="3">
        <v>309.66000000000003</v>
      </c>
      <c r="G70" s="4">
        <v>3500</v>
      </c>
      <c r="H70">
        <f>IFERROR(VLOOKUP(A70,Usage!L:M,2,FALSE),0)</f>
        <v>0</v>
      </c>
      <c r="I70">
        <v>6000</v>
      </c>
      <c r="J70" s="12">
        <f t="shared" si="2"/>
        <v>0</v>
      </c>
      <c r="K70">
        <f t="shared" si="3"/>
        <v>0</v>
      </c>
      <c r="L70" s="2">
        <f t="shared" si="0"/>
        <v>-6000</v>
      </c>
      <c r="M70" s="2">
        <f t="shared" si="1"/>
        <v>-1.7142857142857142</v>
      </c>
    </row>
    <row r="71" spans="1:13">
      <c r="A71" s="2">
        <v>407</v>
      </c>
      <c r="B71" s="2">
        <v>51</v>
      </c>
      <c r="C71" s="2" t="s">
        <v>75</v>
      </c>
      <c r="D71">
        <v>1</v>
      </c>
      <c r="E71" s="2" t="s">
        <v>0</v>
      </c>
      <c r="F71" s="3">
        <v>343.37</v>
      </c>
      <c r="G71" s="4">
        <v>864</v>
      </c>
      <c r="H71">
        <f>IFERROR(VLOOKUP(A71,Usage!L:M,2,FALSE),0)</f>
        <v>10063</v>
      </c>
      <c r="I71">
        <v>17139</v>
      </c>
      <c r="J71" s="12">
        <f t="shared" si="2"/>
        <v>41.862378729934619</v>
      </c>
      <c r="K71">
        <f t="shared" si="3"/>
        <v>10798.718977708066</v>
      </c>
      <c r="L71" s="2">
        <f t="shared" si="0"/>
        <v>-6340.2810222919343</v>
      </c>
      <c r="M71" s="2">
        <f t="shared" si="1"/>
        <v>-7.3382882202452944</v>
      </c>
    </row>
    <row r="72" spans="1:13">
      <c r="A72" s="2">
        <v>419</v>
      </c>
      <c r="B72" s="2">
        <v>51</v>
      </c>
      <c r="C72" s="2" t="s">
        <v>76</v>
      </c>
      <c r="D72">
        <v>3</v>
      </c>
      <c r="E72" s="2" t="s">
        <v>33</v>
      </c>
      <c r="F72" s="3">
        <v>156.18</v>
      </c>
      <c r="G72" s="4">
        <v>888</v>
      </c>
      <c r="H72">
        <f>IFERROR(VLOOKUP(A72,Usage!L:M,2,FALSE),0)</f>
        <v>2164</v>
      </c>
      <c r="I72">
        <v>1776</v>
      </c>
      <c r="J72" s="12">
        <f t="shared" si="2"/>
        <v>9.0023042404430598</v>
      </c>
      <c r="K72">
        <f t="shared" si="3"/>
        <v>2322.212845847188</v>
      </c>
      <c r="L72" s="2">
        <f t="shared" si="0"/>
        <v>546.21284584718796</v>
      </c>
      <c r="M72" s="2">
        <f t="shared" si="1"/>
        <v>0.61510455613422066</v>
      </c>
    </row>
    <row r="73" spans="1:13">
      <c r="A73" s="2">
        <v>3309</v>
      </c>
      <c r="B73" s="2">
        <v>51</v>
      </c>
      <c r="C73" s="2" t="s">
        <v>77</v>
      </c>
      <c r="D73">
        <v>1</v>
      </c>
      <c r="E73" s="2" t="s">
        <v>0</v>
      </c>
      <c r="F73" s="3">
        <v>15</v>
      </c>
      <c r="G73" s="4">
        <v>24</v>
      </c>
      <c r="H73">
        <f>IFERROR(VLOOKUP(A73,Usage!L:M,2,FALSE),0)</f>
        <v>513</v>
      </c>
      <c r="I73">
        <v>1001</v>
      </c>
      <c r="J73" s="12">
        <f t="shared" si="2"/>
        <v>2.1340952289035533</v>
      </c>
      <c r="K73">
        <f t="shared" si="3"/>
        <v>550.50609515693498</v>
      </c>
      <c r="L73" s="2">
        <f t="shared" si="0"/>
        <v>-450.49390484306502</v>
      </c>
      <c r="M73" s="2">
        <f t="shared" si="1"/>
        <v>-18.770579368461043</v>
      </c>
    </row>
    <row r="74" spans="1:13">
      <c r="A74" s="2">
        <v>708</v>
      </c>
      <c r="B74" s="2">
        <v>51</v>
      </c>
      <c r="C74" s="2" t="s">
        <v>78</v>
      </c>
      <c r="D74">
        <v>1</v>
      </c>
      <c r="E74" s="2" t="s">
        <v>33</v>
      </c>
      <c r="F74" s="3">
        <v>97.15</v>
      </c>
      <c r="G74" s="4">
        <v>125</v>
      </c>
      <c r="H74">
        <f>IFERROR(VLOOKUP(A74,Usage!L:M,2,FALSE),0)</f>
        <v>46</v>
      </c>
      <c r="I74">
        <v>122</v>
      </c>
      <c r="J74" s="12">
        <f t="shared" si="2"/>
        <v>0.19136136555470459</v>
      </c>
      <c r="K74">
        <f t="shared" si="3"/>
        <v>49.363119643701779</v>
      </c>
      <c r="L74" s="2">
        <f t="shared" si="0"/>
        <v>-72.636880356298221</v>
      </c>
      <c r="M74" s="2">
        <f t="shared" si="1"/>
        <v>-0.58109504285038571</v>
      </c>
    </row>
    <row r="75" spans="1:13">
      <c r="A75" s="2">
        <v>592</v>
      </c>
      <c r="B75" s="2">
        <v>51</v>
      </c>
      <c r="C75" s="2" t="s">
        <v>79</v>
      </c>
      <c r="D75">
        <v>1</v>
      </c>
      <c r="E75" s="2" t="s">
        <v>0</v>
      </c>
      <c r="F75" s="3">
        <v>325.17</v>
      </c>
      <c r="G75" s="4">
        <v>280</v>
      </c>
      <c r="H75">
        <f>IFERROR(VLOOKUP(A75,Usage!L:M,2,FALSE),0)</f>
        <v>466</v>
      </c>
      <c r="I75">
        <v>196</v>
      </c>
      <c r="J75" s="12">
        <f t="shared" si="2"/>
        <v>1.9385738336628771</v>
      </c>
      <c r="K75">
        <f t="shared" si="3"/>
        <v>500.06986421663106</v>
      </c>
      <c r="L75" s="2">
        <f t="shared" si="0"/>
        <v>304.06986421663106</v>
      </c>
      <c r="M75" s="2">
        <f t="shared" si="1"/>
        <v>1.0859638007736823</v>
      </c>
    </row>
    <row r="76" spans="1:13">
      <c r="A76" s="2">
        <v>2399</v>
      </c>
      <c r="B76" s="2">
        <v>51</v>
      </c>
      <c r="C76" s="2" t="s">
        <v>80</v>
      </c>
      <c r="D76">
        <v>1</v>
      </c>
      <c r="E76" s="2" t="s">
        <v>15</v>
      </c>
      <c r="F76" s="3">
        <v>220.34</v>
      </c>
      <c r="G76" s="4">
        <v>30</v>
      </c>
      <c r="H76">
        <f>IFERROR(VLOOKUP(A76,Usage!L:M,2,FALSE),0)</f>
        <v>22.259999999999998</v>
      </c>
      <c r="I76">
        <v>66</v>
      </c>
      <c r="J76" s="12">
        <f t="shared" si="2"/>
        <v>9.2602260809733133E-2</v>
      </c>
      <c r="K76">
        <f t="shared" si="3"/>
        <v>23.887457462365251</v>
      </c>
      <c r="L76" s="2">
        <f t="shared" ref="L76:L139" si="4">K76-I76</f>
        <v>-42.112542537634752</v>
      </c>
      <c r="M76" s="2">
        <f t="shared" ref="M76:M139" si="5">L76/G76</f>
        <v>-1.4037514179211583</v>
      </c>
    </row>
    <row r="77" spans="1:13">
      <c r="A77" s="2">
        <v>1503</v>
      </c>
      <c r="B77" s="2">
        <v>51</v>
      </c>
      <c r="C77" s="2" t="s">
        <v>81</v>
      </c>
      <c r="D77">
        <v>1</v>
      </c>
      <c r="E77" s="2" t="s">
        <v>26</v>
      </c>
      <c r="F77" s="3">
        <v>299.76</v>
      </c>
      <c r="G77" s="4">
        <v>3</v>
      </c>
      <c r="H77">
        <f>IFERROR(VLOOKUP(A77,Usage!L:M,2,FALSE),0)</f>
        <v>0.4</v>
      </c>
      <c r="I77">
        <v>2.5</v>
      </c>
      <c r="J77" s="12">
        <f t="shared" ref="J77:J140" si="6">H77/($D$5/1000)</f>
        <v>1.6640118743887356E-3</v>
      </c>
      <c r="K77">
        <f t="shared" ref="K77:K140" si="7">J77*($D$8/1000)</f>
        <v>0.42924451864088503</v>
      </c>
      <c r="L77" s="2">
        <f t="shared" si="4"/>
        <v>-2.0707554813591149</v>
      </c>
      <c r="M77" s="2">
        <f t="shared" si="5"/>
        <v>-0.69025182711970501</v>
      </c>
    </row>
    <row r="78" spans="1:13">
      <c r="A78" s="2">
        <v>609</v>
      </c>
      <c r="B78" s="2">
        <v>51</v>
      </c>
      <c r="C78" s="2" t="s">
        <v>82</v>
      </c>
      <c r="D78">
        <v>2</v>
      </c>
      <c r="E78" s="2" t="s">
        <v>0</v>
      </c>
      <c r="F78" s="3">
        <v>83.15</v>
      </c>
      <c r="G78" s="4">
        <v>1500</v>
      </c>
      <c r="H78">
        <f>IFERROR(VLOOKUP(A78,Usage!L:M,2,FALSE),0)</f>
        <v>1522</v>
      </c>
      <c r="I78">
        <v>6762</v>
      </c>
      <c r="J78" s="12">
        <f t="shared" si="6"/>
        <v>6.3315651820491388</v>
      </c>
      <c r="K78">
        <f t="shared" si="7"/>
        <v>1633.2753934285674</v>
      </c>
      <c r="L78" s="2">
        <f t="shared" si="4"/>
        <v>-5128.7246065714326</v>
      </c>
      <c r="M78" s="2">
        <f t="shared" si="5"/>
        <v>-3.4191497377142883</v>
      </c>
    </row>
    <row r="79" spans="1:13">
      <c r="A79" s="2">
        <v>1116</v>
      </c>
      <c r="B79" s="2">
        <v>51</v>
      </c>
      <c r="C79" s="2" t="s">
        <v>83</v>
      </c>
      <c r="D79">
        <v>1</v>
      </c>
      <c r="E79" s="2" t="s">
        <v>15</v>
      </c>
      <c r="F79" s="3">
        <v>180.92</v>
      </c>
      <c r="G79" s="4">
        <v>30</v>
      </c>
      <c r="H79">
        <f>IFERROR(VLOOKUP(A79,Usage!L:M,2,FALSE),0)</f>
        <v>171.34</v>
      </c>
      <c r="I79">
        <v>190</v>
      </c>
      <c r="J79" s="12">
        <f t="shared" si="6"/>
        <v>0.71277948639441491</v>
      </c>
      <c r="K79">
        <f t="shared" si="7"/>
        <v>183.86688955982311</v>
      </c>
      <c r="L79" s="2">
        <f t="shared" si="4"/>
        <v>-6.1331104401768926</v>
      </c>
      <c r="M79" s="2">
        <f t="shared" si="5"/>
        <v>-0.20443701467256309</v>
      </c>
    </row>
    <row r="80" spans="1:13">
      <c r="A80" s="2">
        <v>408</v>
      </c>
      <c r="B80" s="2">
        <v>51</v>
      </c>
      <c r="C80" s="2" t="s">
        <v>84</v>
      </c>
      <c r="D80">
        <v>3</v>
      </c>
      <c r="E80" s="2" t="s">
        <v>0</v>
      </c>
      <c r="F80" s="3">
        <v>87.01</v>
      </c>
      <c r="G80" s="4">
        <v>250</v>
      </c>
      <c r="H80">
        <f>IFERROR(VLOOKUP(A80,Usage!L:M,2,FALSE),0)</f>
        <v>1061</v>
      </c>
      <c r="I80">
        <v>552</v>
      </c>
      <c r="J80" s="12">
        <f t="shared" si="6"/>
        <v>4.4137914968161214</v>
      </c>
      <c r="K80">
        <f t="shared" si="7"/>
        <v>1138.5710856949474</v>
      </c>
      <c r="L80" s="2">
        <f t="shared" si="4"/>
        <v>586.57108569494744</v>
      </c>
      <c r="M80" s="2">
        <f t="shared" si="5"/>
        <v>2.3462843427797897</v>
      </c>
    </row>
    <row r="81" spans="1:13">
      <c r="A81" s="2">
        <v>409</v>
      </c>
      <c r="B81" s="2">
        <v>51</v>
      </c>
      <c r="C81" s="2" t="s">
        <v>85</v>
      </c>
      <c r="D81">
        <v>3</v>
      </c>
      <c r="E81" s="2" t="s">
        <v>0</v>
      </c>
      <c r="F81" s="3">
        <v>97.5</v>
      </c>
      <c r="G81" s="4">
        <v>250</v>
      </c>
      <c r="H81">
        <f>IFERROR(VLOOKUP(A81,Usage!L:M,2,FALSE),0)</f>
        <v>0</v>
      </c>
      <c r="I81">
        <v>0</v>
      </c>
      <c r="J81" s="12">
        <f t="shared" si="6"/>
        <v>0</v>
      </c>
      <c r="K81">
        <f t="shared" si="7"/>
        <v>0</v>
      </c>
      <c r="L81" s="2">
        <f t="shared" si="4"/>
        <v>0</v>
      </c>
      <c r="M81" s="2">
        <f t="shared" si="5"/>
        <v>0</v>
      </c>
    </row>
    <row r="82" spans="1:13">
      <c r="A82" s="2">
        <v>1139</v>
      </c>
      <c r="B82" s="2">
        <v>51</v>
      </c>
      <c r="C82" s="2" t="s">
        <v>86</v>
      </c>
      <c r="D82">
        <v>2</v>
      </c>
      <c r="E82" s="2" t="s">
        <v>0</v>
      </c>
      <c r="F82" s="3">
        <v>282.57</v>
      </c>
      <c r="G82" s="4">
        <v>2000</v>
      </c>
      <c r="H82">
        <f>IFERROR(VLOOKUP(A82,Usage!L:M,2,FALSE),0)</f>
        <v>3476</v>
      </c>
      <c r="I82">
        <v>9135</v>
      </c>
      <c r="J82" s="12">
        <f t="shared" si="6"/>
        <v>14.460263188438113</v>
      </c>
      <c r="K82">
        <f t="shared" si="7"/>
        <v>3730.1348669892909</v>
      </c>
      <c r="L82" s="2">
        <f t="shared" si="4"/>
        <v>-5404.8651330107095</v>
      </c>
      <c r="M82" s="2">
        <f t="shared" si="5"/>
        <v>-2.7024325665053546</v>
      </c>
    </row>
    <row r="83" spans="1:13">
      <c r="A83" s="2">
        <v>2549</v>
      </c>
      <c r="B83" s="2">
        <v>51</v>
      </c>
      <c r="C83" s="2" t="s">
        <v>87</v>
      </c>
      <c r="D83">
        <v>4</v>
      </c>
      <c r="E83" s="2" t="s">
        <v>0</v>
      </c>
      <c r="F83" s="3">
        <v>419.36</v>
      </c>
      <c r="G83" s="4">
        <v>150</v>
      </c>
      <c r="H83">
        <f>IFERROR(VLOOKUP(A83,Usage!L:M,2,FALSE),0)</f>
        <v>1237</v>
      </c>
      <c r="I83">
        <v>101</v>
      </c>
      <c r="J83" s="12">
        <f t="shared" si="6"/>
        <v>5.1459567215471651</v>
      </c>
      <c r="K83">
        <f t="shared" si="7"/>
        <v>1327.438673896937</v>
      </c>
      <c r="L83" s="2">
        <f t="shared" si="4"/>
        <v>1226.438673896937</v>
      </c>
      <c r="M83" s="2">
        <f t="shared" si="5"/>
        <v>8.1762578259795795</v>
      </c>
    </row>
    <row r="84" spans="1:13">
      <c r="A84" s="2">
        <v>2679</v>
      </c>
      <c r="B84" s="2">
        <v>51</v>
      </c>
      <c r="C84" s="2" t="s">
        <v>88</v>
      </c>
      <c r="D84">
        <v>1</v>
      </c>
      <c r="E84" s="2" t="s">
        <v>26</v>
      </c>
      <c r="F84" s="3">
        <v>138.44999999999999</v>
      </c>
      <c r="G84" s="4">
        <v>15</v>
      </c>
      <c r="H84">
        <f>IFERROR(VLOOKUP(A84,Usage!L:M,2,FALSE),0)</f>
        <v>10.230000000000002</v>
      </c>
      <c r="I84">
        <v>41.96</v>
      </c>
      <c r="J84" s="12">
        <f t="shared" si="6"/>
        <v>4.2557103687491923E-2</v>
      </c>
      <c r="K84">
        <f t="shared" si="7"/>
        <v>10.977928564240637</v>
      </c>
      <c r="L84" s="2">
        <f t="shared" si="4"/>
        <v>-30.982071435759366</v>
      </c>
      <c r="M84" s="2">
        <f t="shared" si="5"/>
        <v>-2.0654714290506244</v>
      </c>
    </row>
    <row r="85" spans="1:13">
      <c r="A85" s="2">
        <v>2784</v>
      </c>
      <c r="B85" s="2">
        <v>55</v>
      </c>
      <c r="C85" s="2" t="s">
        <v>89</v>
      </c>
      <c r="D85">
        <v>1</v>
      </c>
      <c r="E85" s="2" t="s">
        <v>26</v>
      </c>
      <c r="F85" s="3">
        <v>312.26</v>
      </c>
      <c r="G85" s="4">
        <v>15</v>
      </c>
      <c r="H85">
        <f>IFERROR(VLOOKUP(A85,Usage!L:M,2,FALSE),0)</f>
        <v>99.87</v>
      </c>
      <c r="I85">
        <v>12</v>
      </c>
      <c r="J85" s="12">
        <f t="shared" si="6"/>
        <v>0.41546216473800757</v>
      </c>
      <c r="K85">
        <f t="shared" si="7"/>
        <v>107.17162519166297</v>
      </c>
      <c r="L85" s="2">
        <f t="shared" si="4"/>
        <v>95.171625191662969</v>
      </c>
      <c r="M85" s="2">
        <f t="shared" si="5"/>
        <v>6.3447750127775313</v>
      </c>
    </row>
    <row r="86" spans="1:13">
      <c r="A86" s="2">
        <v>1441</v>
      </c>
      <c r="B86" s="2">
        <v>51</v>
      </c>
      <c r="C86" s="2" t="s">
        <v>90</v>
      </c>
      <c r="D86">
        <v>2</v>
      </c>
      <c r="E86" s="2" t="s">
        <v>0</v>
      </c>
      <c r="F86" s="3">
        <v>200.05</v>
      </c>
      <c r="G86" s="4">
        <v>820</v>
      </c>
      <c r="H86">
        <f>IFERROR(VLOOKUP(A86,Usage!L:M,2,FALSE),0)</f>
        <v>775</v>
      </c>
      <c r="I86">
        <v>1230</v>
      </c>
      <c r="J86" s="12">
        <f t="shared" si="6"/>
        <v>3.2240230066281752</v>
      </c>
      <c r="K86">
        <f t="shared" si="7"/>
        <v>831.66125486671467</v>
      </c>
      <c r="L86" s="2">
        <f t="shared" si="4"/>
        <v>-398.33874513328533</v>
      </c>
      <c r="M86" s="2">
        <f t="shared" si="5"/>
        <v>-0.48577895747961625</v>
      </c>
    </row>
    <row r="87" spans="1:13">
      <c r="A87" s="2">
        <v>3087</v>
      </c>
      <c r="B87" s="2">
        <v>51</v>
      </c>
      <c r="C87" s="2" t="s">
        <v>91</v>
      </c>
      <c r="D87">
        <v>4</v>
      </c>
      <c r="E87" s="2" t="s">
        <v>0</v>
      </c>
      <c r="F87" s="3">
        <v>199.67</v>
      </c>
      <c r="G87" s="4">
        <v>350</v>
      </c>
      <c r="H87">
        <f>IFERROR(VLOOKUP(A87,Usage!L:M,2,FALSE),0)</f>
        <v>1634</v>
      </c>
      <c r="I87">
        <v>1750</v>
      </c>
      <c r="J87" s="12">
        <f t="shared" si="6"/>
        <v>6.7974885068779853</v>
      </c>
      <c r="K87">
        <f t="shared" si="7"/>
        <v>1753.4638586480153</v>
      </c>
      <c r="L87" s="2">
        <f t="shared" si="4"/>
        <v>3.4638586480152753</v>
      </c>
      <c r="M87" s="2">
        <f t="shared" si="5"/>
        <v>9.8967389943293588E-3</v>
      </c>
    </row>
    <row r="88" spans="1:13">
      <c r="A88" s="2">
        <v>3278</v>
      </c>
      <c r="B88" s="2">
        <v>51</v>
      </c>
      <c r="C88" s="2" t="s">
        <v>92</v>
      </c>
      <c r="D88">
        <v>2</v>
      </c>
      <c r="E88" s="2" t="s">
        <v>0</v>
      </c>
      <c r="F88" s="3">
        <v>190.15</v>
      </c>
      <c r="G88" s="4">
        <v>800</v>
      </c>
      <c r="H88">
        <f>IFERROR(VLOOKUP(A88,Usage!L:M,2,FALSE),0)</f>
        <v>1522</v>
      </c>
      <c r="I88">
        <v>2925</v>
      </c>
      <c r="J88" s="12">
        <f t="shared" si="6"/>
        <v>6.3315651820491388</v>
      </c>
      <c r="K88">
        <f t="shared" si="7"/>
        <v>1633.2753934285674</v>
      </c>
      <c r="L88" s="2">
        <f t="shared" si="4"/>
        <v>-1291.7246065714326</v>
      </c>
      <c r="M88" s="2">
        <f t="shared" si="5"/>
        <v>-1.6146557582142906</v>
      </c>
    </row>
    <row r="89" spans="1:13">
      <c r="A89" s="2">
        <v>3471</v>
      </c>
      <c r="B89" s="2">
        <v>51</v>
      </c>
      <c r="C89" s="2" t="s">
        <v>93</v>
      </c>
      <c r="D89">
        <v>1</v>
      </c>
      <c r="E89" s="2" t="s">
        <v>26</v>
      </c>
      <c r="F89" s="3">
        <v>220.3</v>
      </c>
      <c r="G89" s="4">
        <v>10.89</v>
      </c>
      <c r="H89">
        <f>IFERROR(VLOOKUP(A89,Usage!L:M,2,FALSE),0)</f>
        <v>9.99</v>
      </c>
      <c r="I89">
        <v>12.69</v>
      </c>
      <c r="J89" s="12">
        <f t="shared" si="6"/>
        <v>4.1558696562858675E-2</v>
      </c>
      <c r="K89">
        <f t="shared" si="7"/>
        <v>10.720381853056104</v>
      </c>
      <c r="L89" s="2">
        <f t="shared" si="4"/>
        <v>-1.9696181469438958</v>
      </c>
      <c r="M89" s="2">
        <f t="shared" si="5"/>
        <v>-0.18086484361284624</v>
      </c>
    </row>
    <row r="90" spans="1:13">
      <c r="A90" s="2">
        <v>3594</v>
      </c>
      <c r="B90" s="2">
        <v>51</v>
      </c>
      <c r="C90" s="2" t="s">
        <v>94</v>
      </c>
      <c r="D90">
        <v>2</v>
      </c>
      <c r="E90" s="2" t="s">
        <v>0</v>
      </c>
      <c r="F90" s="3">
        <v>168.49</v>
      </c>
      <c r="G90" s="4">
        <v>1200</v>
      </c>
      <c r="H90">
        <f>IFERROR(VLOOKUP(A90,Usage!L:M,2,FALSE),0)</f>
        <v>1322</v>
      </c>
      <c r="I90">
        <v>1228</v>
      </c>
      <c r="J90" s="12">
        <f t="shared" si="6"/>
        <v>5.4995592448547708</v>
      </c>
      <c r="K90">
        <f t="shared" si="7"/>
        <v>1418.653134108125</v>
      </c>
      <c r="L90" s="2">
        <f t="shared" si="4"/>
        <v>190.65313410812496</v>
      </c>
      <c r="M90" s="2">
        <f t="shared" si="5"/>
        <v>0.15887761175677079</v>
      </c>
    </row>
    <row r="91" spans="1:13">
      <c r="A91" s="2">
        <v>3761</v>
      </c>
      <c r="B91" s="2">
        <v>51</v>
      </c>
      <c r="C91" s="2" t="s">
        <v>95</v>
      </c>
      <c r="D91">
        <v>2</v>
      </c>
      <c r="E91" s="2" t="s">
        <v>0</v>
      </c>
      <c r="F91" s="3">
        <v>233.28</v>
      </c>
      <c r="G91" s="4">
        <v>1200</v>
      </c>
      <c r="H91">
        <f>IFERROR(VLOOKUP(A91,Usage!L:M,2,FALSE),0)</f>
        <v>1800</v>
      </c>
      <c r="I91">
        <v>5680</v>
      </c>
      <c r="J91" s="12">
        <f t="shared" si="6"/>
        <v>7.4880534347493102</v>
      </c>
      <c r="K91">
        <f t="shared" si="7"/>
        <v>1931.6003338839826</v>
      </c>
      <c r="L91" s="2">
        <f t="shared" si="4"/>
        <v>-3748.3996661160172</v>
      </c>
      <c r="M91" s="2">
        <f t="shared" si="5"/>
        <v>-3.1236663884300144</v>
      </c>
    </row>
    <row r="92" spans="1:13">
      <c r="A92" s="2">
        <v>5478</v>
      </c>
      <c r="B92" s="2">
        <v>51</v>
      </c>
      <c r="C92" s="2" t="s">
        <v>96</v>
      </c>
      <c r="D92">
        <v>2</v>
      </c>
      <c r="E92" s="2" t="s">
        <v>0</v>
      </c>
      <c r="F92" s="3">
        <v>77.16</v>
      </c>
      <c r="G92" s="4">
        <v>1000</v>
      </c>
      <c r="H92">
        <f>IFERROR(VLOOKUP(A92,Usage!L:M,2,FALSE),0)</f>
        <v>0</v>
      </c>
      <c r="I92">
        <v>0</v>
      </c>
      <c r="J92" s="12">
        <f t="shared" si="6"/>
        <v>0</v>
      </c>
      <c r="K92">
        <f t="shared" si="7"/>
        <v>0</v>
      </c>
      <c r="L92" s="2">
        <f t="shared" si="4"/>
        <v>0</v>
      </c>
      <c r="M92" s="2">
        <f t="shared" si="5"/>
        <v>0</v>
      </c>
    </row>
    <row r="93" spans="1:13">
      <c r="A93" s="2">
        <v>5481</v>
      </c>
      <c r="B93" s="2">
        <v>51</v>
      </c>
      <c r="C93" s="2" t="s">
        <v>97</v>
      </c>
      <c r="D93">
        <v>2</v>
      </c>
      <c r="E93" s="2" t="s">
        <v>0</v>
      </c>
      <c r="F93" s="3">
        <v>76.88</v>
      </c>
      <c r="G93" s="4">
        <v>1000</v>
      </c>
      <c r="H93">
        <f>IFERROR(VLOOKUP(A93,Usage!L:M,2,FALSE),0)</f>
        <v>0</v>
      </c>
      <c r="I93">
        <v>0</v>
      </c>
      <c r="J93" s="12">
        <f t="shared" si="6"/>
        <v>0</v>
      </c>
      <c r="K93">
        <f t="shared" si="7"/>
        <v>0</v>
      </c>
      <c r="L93" s="2">
        <f t="shared" si="4"/>
        <v>0</v>
      </c>
      <c r="M93" s="2">
        <f t="shared" si="5"/>
        <v>0</v>
      </c>
    </row>
    <row r="94" spans="1:13">
      <c r="A94" s="2">
        <v>6373</v>
      </c>
      <c r="B94" s="2">
        <v>51</v>
      </c>
      <c r="C94" s="2" t="s">
        <v>98</v>
      </c>
      <c r="D94">
        <v>2</v>
      </c>
      <c r="E94" s="2" t="s">
        <v>0</v>
      </c>
      <c r="F94" s="3">
        <v>127.08</v>
      </c>
      <c r="G94" s="4">
        <v>1000</v>
      </c>
      <c r="H94">
        <f>IFERROR(VLOOKUP(A94,Usage!L:M,2,FALSE),0)</f>
        <v>0</v>
      </c>
      <c r="I94">
        <v>0</v>
      </c>
      <c r="J94" s="12">
        <f t="shared" si="6"/>
        <v>0</v>
      </c>
      <c r="K94">
        <f t="shared" si="7"/>
        <v>0</v>
      </c>
      <c r="L94" s="2">
        <f t="shared" si="4"/>
        <v>0</v>
      </c>
      <c r="M94" s="2">
        <f t="shared" si="5"/>
        <v>0</v>
      </c>
    </row>
    <row r="95" spans="1:13">
      <c r="A95" s="2">
        <v>1179</v>
      </c>
      <c r="B95" s="2">
        <v>51</v>
      </c>
      <c r="C95" s="2" t="s">
        <v>99</v>
      </c>
      <c r="D95">
        <v>2</v>
      </c>
      <c r="E95" s="2" t="s">
        <v>0</v>
      </c>
      <c r="F95" s="3">
        <v>213.66</v>
      </c>
      <c r="G95" s="4">
        <v>5000</v>
      </c>
      <c r="H95">
        <f>IFERROR(VLOOKUP(A95,Usage!L:M,2,FALSE),0)</f>
        <v>133</v>
      </c>
      <c r="I95">
        <v>20</v>
      </c>
      <c r="J95" s="12">
        <f t="shared" si="6"/>
        <v>0.55328394823425453</v>
      </c>
      <c r="K95">
        <f t="shared" si="7"/>
        <v>142.72380244809426</v>
      </c>
      <c r="L95" s="2">
        <f t="shared" si="4"/>
        <v>122.72380244809426</v>
      </c>
      <c r="M95" s="2">
        <f t="shared" si="5"/>
        <v>2.4544760489618851E-2</v>
      </c>
    </row>
    <row r="96" spans="1:13">
      <c r="A96" s="2">
        <v>5983</v>
      </c>
      <c r="B96" s="2">
        <v>51</v>
      </c>
      <c r="C96" s="2" t="s">
        <v>100</v>
      </c>
      <c r="D96">
        <v>1</v>
      </c>
      <c r="E96" s="2" t="s">
        <v>15</v>
      </c>
      <c r="F96" s="3">
        <v>271.68</v>
      </c>
      <c r="G96" s="4">
        <v>30</v>
      </c>
      <c r="H96">
        <f>IFERROR(VLOOKUP(A96,Usage!L:M,2,FALSE),0)</f>
        <v>38.71</v>
      </c>
      <c r="I96">
        <v>14</v>
      </c>
      <c r="J96" s="12">
        <f t="shared" si="6"/>
        <v>0.1610347491439699</v>
      </c>
      <c r="K96">
        <f t="shared" si="7"/>
        <v>41.540138291471649</v>
      </c>
      <c r="L96" s="2">
        <f t="shared" si="4"/>
        <v>27.540138291471649</v>
      </c>
      <c r="M96" s="2">
        <f t="shared" si="5"/>
        <v>0.91800460971572162</v>
      </c>
    </row>
    <row r="97" spans="1:13">
      <c r="A97" s="2">
        <v>48</v>
      </c>
      <c r="B97" s="2">
        <v>55</v>
      </c>
      <c r="C97" s="2" t="s">
        <v>1</v>
      </c>
      <c r="D97">
        <v>1</v>
      </c>
      <c r="E97" s="2" t="s">
        <v>26</v>
      </c>
      <c r="F97" s="3">
        <v>30.92</v>
      </c>
      <c r="G97" s="4">
        <v>5</v>
      </c>
      <c r="H97">
        <f>IFERROR(VLOOKUP(A97,Usage!L:M,2,FALSE),0)</f>
        <v>0</v>
      </c>
      <c r="I97">
        <v>0</v>
      </c>
      <c r="J97" s="12">
        <f t="shared" si="6"/>
        <v>0</v>
      </c>
      <c r="K97">
        <f t="shared" si="7"/>
        <v>0</v>
      </c>
      <c r="L97" s="2">
        <f t="shared" si="4"/>
        <v>0</v>
      </c>
      <c r="M97" s="2">
        <f t="shared" si="5"/>
        <v>0</v>
      </c>
    </row>
    <row r="98" spans="1:13">
      <c r="A98" s="2">
        <v>50</v>
      </c>
      <c r="B98" s="2">
        <v>52</v>
      </c>
      <c r="C98" s="2" t="s">
        <v>101</v>
      </c>
      <c r="D98">
        <v>1</v>
      </c>
      <c r="E98" s="2" t="s">
        <v>0</v>
      </c>
      <c r="F98" s="3">
        <v>23.53</v>
      </c>
      <c r="G98" s="4">
        <v>40</v>
      </c>
      <c r="H98">
        <f>IFERROR(VLOOKUP(A98,Usage!L:M,2,FALSE),0)</f>
        <v>1435</v>
      </c>
      <c r="I98">
        <v>141</v>
      </c>
      <c r="J98" s="12">
        <f t="shared" si="6"/>
        <v>5.969642599369589</v>
      </c>
      <c r="K98">
        <f t="shared" si="7"/>
        <v>1539.9147106241751</v>
      </c>
      <c r="L98" s="2">
        <f t="shared" si="4"/>
        <v>1398.9147106241751</v>
      </c>
      <c r="M98" s="2">
        <f t="shared" si="5"/>
        <v>34.972867765604377</v>
      </c>
    </row>
    <row r="99" spans="1:13">
      <c r="A99" s="2">
        <v>128</v>
      </c>
      <c r="B99" s="2">
        <v>51</v>
      </c>
      <c r="C99" s="2" t="s">
        <v>102</v>
      </c>
      <c r="D99">
        <v>2</v>
      </c>
      <c r="E99" s="2" t="s">
        <v>0</v>
      </c>
      <c r="F99" s="3">
        <v>157.35</v>
      </c>
      <c r="G99" s="4">
        <v>2000</v>
      </c>
      <c r="H99">
        <f>IFERROR(VLOOKUP(A99,Usage!L:M,2,FALSE),0)</f>
        <v>0</v>
      </c>
      <c r="I99">
        <v>80</v>
      </c>
      <c r="J99" s="12">
        <f t="shared" si="6"/>
        <v>0</v>
      </c>
      <c r="K99">
        <f t="shared" si="7"/>
        <v>0</v>
      </c>
      <c r="L99" s="2">
        <f t="shared" si="4"/>
        <v>-80</v>
      </c>
      <c r="M99" s="2">
        <f t="shared" si="5"/>
        <v>-0.04</v>
      </c>
    </row>
    <row r="100" spans="1:13">
      <c r="A100" s="2">
        <v>6472</v>
      </c>
      <c r="B100" s="2">
        <v>51</v>
      </c>
      <c r="C100" s="2" t="s">
        <v>103</v>
      </c>
      <c r="D100">
        <v>2</v>
      </c>
      <c r="E100" s="2" t="s">
        <v>0</v>
      </c>
      <c r="F100" s="3">
        <v>103.41</v>
      </c>
      <c r="G100" s="4">
        <v>1000</v>
      </c>
      <c r="H100">
        <f>IFERROR(VLOOKUP(A100,Usage!L:M,2,FALSE),0)</f>
        <v>0</v>
      </c>
      <c r="I100">
        <v>3120</v>
      </c>
      <c r="J100" s="12">
        <f t="shared" si="6"/>
        <v>0</v>
      </c>
      <c r="K100">
        <f t="shared" si="7"/>
        <v>0</v>
      </c>
      <c r="L100" s="2">
        <f t="shared" si="4"/>
        <v>-3120</v>
      </c>
      <c r="M100" s="2">
        <f t="shared" si="5"/>
        <v>-3.12</v>
      </c>
    </row>
    <row r="101" spans="1:13">
      <c r="A101" s="2">
        <v>131</v>
      </c>
      <c r="B101" s="2">
        <v>51</v>
      </c>
      <c r="C101" s="2" t="s">
        <v>104</v>
      </c>
      <c r="D101">
        <v>2</v>
      </c>
      <c r="E101" s="2" t="s">
        <v>0</v>
      </c>
      <c r="F101" s="3">
        <v>117.76</v>
      </c>
      <c r="G101" s="4">
        <v>1000</v>
      </c>
      <c r="H101">
        <f>IFERROR(VLOOKUP(A101,Usage!L:M,2,FALSE),0)</f>
        <v>0</v>
      </c>
      <c r="I101">
        <v>1000</v>
      </c>
      <c r="J101" s="12">
        <f t="shared" si="6"/>
        <v>0</v>
      </c>
      <c r="K101">
        <f t="shared" si="7"/>
        <v>0</v>
      </c>
      <c r="L101" s="2">
        <f t="shared" si="4"/>
        <v>-1000</v>
      </c>
      <c r="M101" s="2">
        <f t="shared" si="5"/>
        <v>-1</v>
      </c>
    </row>
    <row r="102" spans="1:13">
      <c r="A102" s="2">
        <v>141</v>
      </c>
      <c r="B102" s="2">
        <v>51</v>
      </c>
      <c r="C102" s="2" t="s">
        <v>105</v>
      </c>
      <c r="D102">
        <v>2</v>
      </c>
      <c r="E102" s="2" t="s">
        <v>0</v>
      </c>
      <c r="F102" s="3">
        <v>158.01</v>
      </c>
      <c r="G102" s="4">
        <v>500</v>
      </c>
      <c r="H102">
        <f>IFERROR(VLOOKUP(A102,Usage!L:M,2,FALSE),0)</f>
        <v>0</v>
      </c>
      <c r="I102">
        <v>0</v>
      </c>
      <c r="J102" s="12">
        <f t="shared" si="6"/>
        <v>0</v>
      </c>
      <c r="K102">
        <f t="shared" si="7"/>
        <v>0</v>
      </c>
      <c r="L102" s="2">
        <f t="shared" si="4"/>
        <v>0</v>
      </c>
      <c r="M102" s="2">
        <f t="shared" si="5"/>
        <v>0</v>
      </c>
    </row>
    <row r="103" spans="1:13">
      <c r="A103" s="2">
        <v>143</v>
      </c>
      <c r="B103" s="2">
        <v>51</v>
      </c>
      <c r="C103" s="2" t="s">
        <v>106</v>
      </c>
      <c r="D103">
        <v>2</v>
      </c>
      <c r="E103" s="2" t="s">
        <v>0</v>
      </c>
      <c r="F103" s="3">
        <v>77.42</v>
      </c>
      <c r="G103" s="4">
        <v>250</v>
      </c>
      <c r="H103">
        <f>IFERROR(VLOOKUP(A103,Usage!L:M,2,FALSE),0)</f>
        <v>0</v>
      </c>
      <c r="I103">
        <v>750</v>
      </c>
      <c r="J103" s="12">
        <f t="shared" si="6"/>
        <v>0</v>
      </c>
      <c r="K103">
        <f t="shared" si="7"/>
        <v>0</v>
      </c>
      <c r="L103" s="2">
        <f t="shared" si="4"/>
        <v>-750</v>
      </c>
      <c r="M103" s="2">
        <f t="shared" si="5"/>
        <v>-3</v>
      </c>
    </row>
    <row r="104" spans="1:13">
      <c r="A104" s="2">
        <v>142</v>
      </c>
      <c r="B104" s="2">
        <v>51</v>
      </c>
      <c r="C104" s="2" t="s">
        <v>107</v>
      </c>
      <c r="D104">
        <v>2</v>
      </c>
      <c r="E104" s="2" t="s">
        <v>0</v>
      </c>
      <c r="F104" s="3">
        <v>110.99</v>
      </c>
      <c r="G104" s="4">
        <v>250</v>
      </c>
      <c r="H104">
        <f>IFERROR(VLOOKUP(A104,Usage!L:M,2,FALSE),0)</f>
        <v>0</v>
      </c>
      <c r="I104">
        <v>0</v>
      </c>
      <c r="J104" s="12">
        <f t="shared" si="6"/>
        <v>0</v>
      </c>
      <c r="K104">
        <f t="shared" si="7"/>
        <v>0</v>
      </c>
      <c r="L104" s="2">
        <f t="shared" si="4"/>
        <v>0</v>
      </c>
      <c r="M104" s="2">
        <f t="shared" si="5"/>
        <v>0</v>
      </c>
    </row>
    <row r="105" spans="1:13">
      <c r="A105" s="2">
        <v>8800</v>
      </c>
      <c r="B105" s="2">
        <v>51</v>
      </c>
      <c r="C105" s="2" t="s">
        <v>108</v>
      </c>
      <c r="D105">
        <v>2</v>
      </c>
      <c r="E105" s="2" t="s">
        <v>0</v>
      </c>
      <c r="F105" s="3">
        <v>43.34</v>
      </c>
      <c r="G105" s="4">
        <v>1000</v>
      </c>
      <c r="H105">
        <f>IFERROR(VLOOKUP(A105,Usage!L:M,2,FALSE),0)</f>
        <v>0</v>
      </c>
      <c r="I105">
        <v>0</v>
      </c>
      <c r="J105" s="12">
        <f t="shared" si="6"/>
        <v>0</v>
      </c>
      <c r="K105">
        <f t="shared" si="7"/>
        <v>0</v>
      </c>
      <c r="L105" s="2">
        <f t="shared" si="4"/>
        <v>0</v>
      </c>
      <c r="M105" s="2">
        <f t="shared" si="5"/>
        <v>0</v>
      </c>
    </row>
    <row r="106" spans="1:13">
      <c r="A106" s="2">
        <v>7205</v>
      </c>
      <c r="B106" s="2">
        <v>51</v>
      </c>
      <c r="C106" s="2" t="s">
        <v>109</v>
      </c>
      <c r="D106">
        <v>1</v>
      </c>
      <c r="E106" s="2" t="s">
        <v>0</v>
      </c>
      <c r="F106" s="3">
        <v>411.22</v>
      </c>
      <c r="G106" s="4">
        <v>120</v>
      </c>
      <c r="H106">
        <f>IFERROR(VLOOKUP(A106,Usage!L:M,2,FALSE),0)</f>
        <v>1104</v>
      </c>
      <c r="I106">
        <v>1092</v>
      </c>
      <c r="J106" s="12">
        <f t="shared" si="6"/>
        <v>4.59267277331291</v>
      </c>
      <c r="K106">
        <f t="shared" si="7"/>
        <v>1184.7148714488426</v>
      </c>
      <c r="L106" s="2">
        <f t="shared" si="4"/>
        <v>92.714871448842587</v>
      </c>
      <c r="M106" s="2">
        <f t="shared" si="5"/>
        <v>0.7726239287403549</v>
      </c>
    </row>
    <row r="107" spans="1:13">
      <c r="A107" s="2">
        <v>7919</v>
      </c>
      <c r="B107" s="2">
        <v>51</v>
      </c>
      <c r="C107" s="2" t="s">
        <v>110</v>
      </c>
      <c r="D107">
        <v>1</v>
      </c>
      <c r="E107" s="2" t="s">
        <v>15</v>
      </c>
      <c r="F107" s="3">
        <v>225.6</v>
      </c>
      <c r="G107" s="4">
        <v>30</v>
      </c>
      <c r="H107">
        <f>IFERROR(VLOOKUP(A107,Usage!L:M,2,FALSE),0)</f>
        <v>35.32</v>
      </c>
      <c r="I107">
        <v>48</v>
      </c>
      <c r="J107" s="12">
        <f t="shared" si="6"/>
        <v>0.14693224850852535</v>
      </c>
      <c r="K107">
        <f t="shared" si="7"/>
        <v>37.902290995990143</v>
      </c>
      <c r="L107" s="2">
        <f t="shared" si="4"/>
        <v>-10.097709004009857</v>
      </c>
      <c r="M107" s="2">
        <f t="shared" si="5"/>
        <v>-0.33659030013366192</v>
      </c>
    </row>
    <row r="108" spans="1:13">
      <c r="A108" s="2">
        <v>483</v>
      </c>
      <c r="B108" s="2">
        <v>51</v>
      </c>
      <c r="C108" s="2" t="s">
        <v>111</v>
      </c>
      <c r="D108">
        <v>2</v>
      </c>
      <c r="E108" s="2" t="s">
        <v>0</v>
      </c>
      <c r="F108" s="3">
        <v>232.55</v>
      </c>
      <c r="G108" s="4">
        <v>600</v>
      </c>
      <c r="H108">
        <f>IFERROR(VLOOKUP(A108,Usage!L:M,2,FALSE),0)</f>
        <v>1435</v>
      </c>
      <c r="I108">
        <v>1174</v>
      </c>
      <c r="J108" s="12">
        <f t="shared" si="6"/>
        <v>5.969642599369589</v>
      </c>
      <c r="K108">
        <f t="shared" si="7"/>
        <v>1539.9147106241751</v>
      </c>
      <c r="L108" s="2">
        <f t="shared" si="4"/>
        <v>365.91471062417509</v>
      </c>
      <c r="M108" s="2">
        <f t="shared" si="5"/>
        <v>0.60985785104029178</v>
      </c>
    </row>
    <row r="109" spans="1:13">
      <c r="A109" s="2">
        <v>2785</v>
      </c>
      <c r="B109" s="2">
        <v>55</v>
      </c>
      <c r="C109" s="2" t="s">
        <v>112</v>
      </c>
      <c r="D109">
        <v>1</v>
      </c>
      <c r="E109" s="2" t="s">
        <v>26</v>
      </c>
      <c r="F109" s="3">
        <v>307.27</v>
      </c>
      <c r="G109" s="4">
        <v>15</v>
      </c>
      <c r="H109">
        <f>IFERROR(VLOOKUP(A109,Usage!L:M,2,FALSE),0)</f>
        <v>5</v>
      </c>
      <c r="I109">
        <v>1</v>
      </c>
      <c r="J109" s="12">
        <f t="shared" si="6"/>
        <v>2.0800148429859194E-2</v>
      </c>
      <c r="K109">
        <f t="shared" si="7"/>
        <v>5.365556483011062</v>
      </c>
      <c r="L109" s="2">
        <f t="shared" si="4"/>
        <v>4.365556483011062</v>
      </c>
      <c r="M109" s="2">
        <f t="shared" si="5"/>
        <v>0.29103709886740414</v>
      </c>
    </row>
    <row r="110" spans="1:13">
      <c r="A110" s="2">
        <v>254</v>
      </c>
      <c r="B110" s="2">
        <v>51</v>
      </c>
      <c r="C110" s="2" t="s">
        <v>113</v>
      </c>
      <c r="D110">
        <v>2</v>
      </c>
      <c r="E110" s="2" t="s">
        <v>0</v>
      </c>
      <c r="F110" s="3">
        <v>250.63</v>
      </c>
      <c r="G110" s="4">
        <v>4000</v>
      </c>
      <c r="H110">
        <f>IFERROR(VLOOKUP(A110,Usage!L:M,2,FALSE),0)</f>
        <v>55</v>
      </c>
      <c r="I110">
        <v>3330</v>
      </c>
      <c r="J110" s="12">
        <f t="shared" si="6"/>
        <v>0.22880163272845114</v>
      </c>
      <c r="K110">
        <f t="shared" si="7"/>
        <v>59.021121313121689</v>
      </c>
      <c r="L110" s="2">
        <f t="shared" si="4"/>
        <v>-3270.9788786868785</v>
      </c>
      <c r="M110" s="2">
        <f t="shared" si="5"/>
        <v>-0.81774471967171958</v>
      </c>
    </row>
    <row r="111" spans="1:13">
      <c r="A111" s="2">
        <v>330</v>
      </c>
      <c r="B111" s="2">
        <v>51</v>
      </c>
      <c r="C111" s="2" t="s">
        <v>114</v>
      </c>
      <c r="D111">
        <v>2</v>
      </c>
      <c r="E111" s="2" t="s">
        <v>0</v>
      </c>
      <c r="F111" s="3">
        <v>86.43</v>
      </c>
      <c r="G111" s="4">
        <v>1000</v>
      </c>
      <c r="H111">
        <f>IFERROR(VLOOKUP(A111,Usage!L:M,2,FALSE),0)</f>
        <v>55</v>
      </c>
      <c r="I111">
        <v>2670</v>
      </c>
      <c r="J111" s="12">
        <f t="shared" si="6"/>
        <v>0.22880163272845114</v>
      </c>
      <c r="K111">
        <f t="shared" si="7"/>
        <v>59.021121313121689</v>
      </c>
      <c r="L111" s="2">
        <f t="shared" si="4"/>
        <v>-2610.9788786868785</v>
      </c>
      <c r="M111" s="2">
        <f t="shared" si="5"/>
        <v>-2.6109788786868786</v>
      </c>
    </row>
    <row r="112" spans="1:13">
      <c r="A112" s="2">
        <v>3593</v>
      </c>
      <c r="B112" s="2">
        <v>51</v>
      </c>
      <c r="C112" s="2" t="s">
        <v>115</v>
      </c>
      <c r="D112">
        <v>1</v>
      </c>
      <c r="E112" s="2" t="s">
        <v>0</v>
      </c>
      <c r="F112" s="3">
        <v>204.16</v>
      </c>
      <c r="G112" s="4">
        <v>288</v>
      </c>
      <c r="H112">
        <f>IFERROR(VLOOKUP(A112,Usage!L:M,2,FALSE),0)</f>
        <v>536</v>
      </c>
      <c r="I112">
        <v>832</v>
      </c>
      <c r="J112" s="12">
        <f t="shared" si="6"/>
        <v>2.2297759116809055</v>
      </c>
      <c r="K112">
        <f t="shared" si="7"/>
        <v>575.18765497878587</v>
      </c>
      <c r="L112" s="2">
        <f t="shared" si="4"/>
        <v>-256.81234502121413</v>
      </c>
      <c r="M112" s="2">
        <f t="shared" si="5"/>
        <v>-0.89170953132366015</v>
      </c>
    </row>
    <row r="113" spans="1:13">
      <c r="A113" s="2">
        <v>2540</v>
      </c>
      <c r="B113" s="2">
        <v>51</v>
      </c>
      <c r="C113" s="2" t="s">
        <v>116</v>
      </c>
      <c r="D113">
        <v>2</v>
      </c>
      <c r="E113" s="2" t="s">
        <v>0</v>
      </c>
      <c r="F113" s="3">
        <v>199.57</v>
      </c>
      <c r="G113" s="4">
        <v>1000</v>
      </c>
      <c r="H113">
        <f>IFERROR(VLOOKUP(A113,Usage!L:M,2,FALSE),0)</f>
        <v>86</v>
      </c>
      <c r="I113">
        <v>940</v>
      </c>
      <c r="J113" s="12">
        <f t="shared" si="6"/>
        <v>0.35776255299357818</v>
      </c>
      <c r="K113">
        <f t="shared" si="7"/>
        <v>92.28757150779029</v>
      </c>
      <c r="L113" s="2">
        <f t="shared" si="4"/>
        <v>-847.71242849220971</v>
      </c>
      <c r="M113" s="2">
        <f t="shared" si="5"/>
        <v>-0.84771242849220974</v>
      </c>
    </row>
    <row r="114" spans="1:13">
      <c r="A114" s="2">
        <v>8801</v>
      </c>
      <c r="B114" s="2">
        <v>51</v>
      </c>
      <c r="C114" s="2" t="s">
        <v>117</v>
      </c>
      <c r="D114">
        <v>2</v>
      </c>
      <c r="E114" s="2" t="s">
        <v>0</v>
      </c>
      <c r="F114" s="3">
        <v>43.34</v>
      </c>
      <c r="G114" s="4">
        <v>1000</v>
      </c>
      <c r="H114">
        <f>IFERROR(VLOOKUP(A114,Usage!L:M,2,FALSE),0)</f>
        <v>0</v>
      </c>
      <c r="I114">
        <v>0</v>
      </c>
      <c r="J114" s="12">
        <f t="shared" si="6"/>
        <v>0</v>
      </c>
      <c r="K114">
        <f t="shared" si="7"/>
        <v>0</v>
      </c>
      <c r="L114" s="2">
        <f t="shared" si="4"/>
        <v>0</v>
      </c>
      <c r="M114" s="2">
        <f t="shared" si="5"/>
        <v>0</v>
      </c>
    </row>
    <row r="115" spans="1:13">
      <c r="A115" s="2">
        <v>90</v>
      </c>
      <c r="B115" s="2">
        <v>51</v>
      </c>
      <c r="C115" s="2" t="s">
        <v>118</v>
      </c>
      <c r="D115">
        <v>1</v>
      </c>
      <c r="E115" s="2" t="s">
        <v>0</v>
      </c>
      <c r="F115" s="3">
        <v>285.56</v>
      </c>
      <c r="G115" s="4">
        <v>280</v>
      </c>
      <c r="H115">
        <f>IFERROR(VLOOKUP(A115,Usage!L:M,2,FALSE),0)</f>
        <v>46</v>
      </c>
      <c r="I115">
        <v>338</v>
      </c>
      <c r="J115" s="12">
        <f t="shared" si="6"/>
        <v>0.19136136555470459</v>
      </c>
      <c r="K115">
        <f t="shared" si="7"/>
        <v>49.363119643701779</v>
      </c>
      <c r="L115" s="2">
        <f t="shared" si="4"/>
        <v>-288.63688035629821</v>
      </c>
      <c r="M115" s="2">
        <f t="shared" si="5"/>
        <v>-1.0308460012724936</v>
      </c>
    </row>
    <row r="116" spans="1:13">
      <c r="A116" s="2">
        <v>70</v>
      </c>
      <c r="B116" s="2">
        <v>51</v>
      </c>
      <c r="C116" s="2" t="s">
        <v>119</v>
      </c>
      <c r="D116">
        <v>1</v>
      </c>
      <c r="E116" s="2" t="s">
        <v>0</v>
      </c>
      <c r="F116" s="3">
        <v>116.16</v>
      </c>
      <c r="G116" s="4">
        <v>150</v>
      </c>
      <c r="H116">
        <f>IFERROR(VLOOKUP(A116,Usage!L:M,2,FALSE),0)</f>
        <v>26</v>
      </c>
      <c r="I116">
        <v>2</v>
      </c>
      <c r="J116" s="12">
        <f t="shared" si="6"/>
        <v>0.10816077183526782</v>
      </c>
      <c r="K116">
        <f t="shared" si="7"/>
        <v>27.900893711657528</v>
      </c>
      <c r="L116" s="2">
        <f t="shared" si="4"/>
        <v>25.900893711657528</v>
      </c>
      <c r="M116" s="2">
        <f t="shared" si="5"/>
        <v>0.17267262474438352</v>
      </c>
    </row>
    <row r="117" spans="1:13">
      <c r="A117" s="2">
        <v>94</v>
      </c>
      <c r="B117" s="2">
        <v>51</v>
      </c>
      <c r="C117" s="2" t="s">
        <v>120</v>
      </c>
      <c r="D117">
        <v>1</v>
      </c>
      <c r="E117" s="2" t="s">
        <v>0</v>
      </c>
      <c r="F117" s="3">
        <v>180.49</v>
      </c>
      <c r="G117" s="4">
        <v>192</v>
      </c>
      <c r="H117">
        <f>IFERROR(VLOOKUP(A117,Usage!L:M,2,FALSE),0)</f>
        <v>63</v>
      </c>
      <c r="I117">
        <v>123</v>
      </c>
      <c r="J117" s="12">
        <f t="shared" si="6"/>
        <v>0.26208187021622587</v>
      </c>
      <c r="K117">
        <f t="shared" si="7"/>
        <v>67.606011685939393</v>
      </c>
      <c r="L117" s="2">
        <f t="shared" si="4"/>
        <v>-55.393988314060607</v>
      </c>
      <c r="M117" s="2">
        <f t="shared" si="5"/>
        <v>-0.28851035580239898</v>
      </c>
    </row>
    <row r="118" spans="1:13">
      <c r="A118" s="2">
        <v>7223</v>
      </c>
      <c r="B118" s="2">
        <v>51</v>
      </c>
      <c r="C118" s="2" t="s">
        <v>121</v>
      </c>
      <c r="D118">
        <v>2</v>
      </c>
      <c r="E118" s="2" t="s">
        <v>0</v>
      </c>
      <c r="F118" s="3">
        <v>150.36000000000001</v>
      </c>
      <c r="G118" s="4">
        <v>460</v>
      </c>
      <c r="H118">
        <f>IFERROR(VLOOKUP(A118,Usage!L:M,2,FALSE),0)</f>
        <v>0</v>
      </c>
      <c r="I118">
        <v>0</v>
      </c>
      <c r="J118" s="12">
        <f t="shared" si="6"/>
        <v>0</v>
      </c>
      <c r="K118">
        <f t="shared" si="7"/>
        <v>0</v>
      </c>
      <c r="L118" s="2">
        <f t="shared" si="4"/>
        <v>0</v>
      </c>
      <c r="M118" s="2">
        <f t="shared" si="5"/>
        <v>0</v>
      </c>
    </row>
    <row r="119" spans="1:13">
      <c r="A119" s="2">
        <v>7634</v>
      </c>
      <c r="B119" s="2">
        <v>51</v>
      </c>
      <c r="C119" s="2" t="s">
        <v>122</v>
      </c>
      <c r="D119">
        <v>2</v>
      </c>
      <c r="E119" s="2" t="s">
        <v>0</v>
      </c>
      <c r="F119" s="3">
        <v>396.35</v>
      </c>
      <c r="G119" s="4">
        <v>5000</v>
      </c>
      <c r="H119">
        <f>IFERROR(VLOOKUP(A119,Usage!L:M,2,FALSE),0)</f>
        <v>48</v>
      </c>
      <c r="I119">
        <v>5135</v>
      </c>
      <c r="J119" s="12">
        <f t="shared" si="6"/>
        <v>0.19968142492664828</v>
      </c>
      <c r="K119">
        <f t="shared" si="7"/>
        <v>51.509342236906207</v>
      </c>
      <c r="L119" s="2">
        <f t="shared" si="4"/>
        <v>-5083.4906577630936</v>
      </c>
      <c r="M119" s="2">
        <f t="shared" si="5"/>
        <v>-1.0166981315526187</v>
      </c>
    </row>
    <row r="120" spans="1:13">
      <c r="A120" s="2">
        <v>5429</v>
      </c>
      <c r="B120" s="2">
        <v>51</v>
      </c>
      <c r="C120" s="2" t="s">
        <v>123</v>
      </c>
      <c r="D120">
        <v>2</v>
      </c>
      <c r="E120" s="2" t="s">
        <v>0</v>
      </c>
      <c r="F120" s="3">
        <v>68.16</v>
      </c>
      <c r="G120" s="4">
        <v>3000</v>
      </c>
      <c r="H120">
        <f>IFERROR(VLOOKUP(A120,Usage!L:M,2,FALSE),0)</f>
        <v>52</v>
      </c>
      <c r="I120">
        <v>1760</v>
      </c>
      <c r="J120" s="12">
        <f t="shared" si="6"/>
        <v>0.21632154367053563</v>
      </c>
      <c r="K120">
        <f t="shared" si="7"/>
        <v>55.801787423315055</v>
      </c>
      <c r="L120" s="2">
        <f t="shared" si="4"/>
        <v>-1704.1982125766849</v>
      </c>
      <c r="M120" s="2">
        <f t="shared" si="5"/>
        <v>-0.56806607085889493</v>
      </c>
    </row>
    <row r="121" spans="1:13">
      <c r="A121" s="2">
        <v>103</v>
      </c>
      <c r="B121" s="2">
        <v>51</v>
      </c>
      <c r="C121" s="2" t="s">
        <v>124</v>
      </c>
      <c r="D121">
        <v>1</v>
      </c>
      <c r="E121" s="2" t="s">
        <v>0</v>
      </c>
      <c r="F121" s="3">
        <v>246.76</v>
      </c>
      <c r="G121" s="4">
        <v>360</v>
      </c>
      <c r="H121">
        <f>IFERROR(VLOOKUP(A121,Usage!L:M,2,FALSE),0)</f>
        <v>60</v>
      </c>
      <c r="I121">
        <v>90</v>
      </c>
      <c r="J121" s="12">
        <f t="shared" si="6"/>
        <v>0.24960178115831033</v>
      </c>
      <c r="K121">
        <f t="shared" si="7"/>
        <v>64.386677796132744</v>
      </c>
      <c r="L121" s="2">
        <f t="shared" si="4"/>
        <v>-25.613322203867256</v>
      </c>
      <c r="M121" s="2">
        <f t="shared" si="5"/>
        <v>-7.1148117232964603E-2</v>
      </c>
    </row>
    <row r="122" spans="1:13">
      <c r="A122" s="2">
        <v>109</v>
      </c>
      <c r="B122" s="2">
        <v>51</v>
      </c>
      <c r="C122" s="2" t="s">
        <v>125</v>
      </c>
      <c r="D122">
        <v>2</v>
      </c>
      <c r="E122" s="2" t="s">
        <v>0</v>
      </c>
      <c r="F122" s="3">
        <v>112.87</v>
      </c>
      <c r="G122" s="4">
        <v>1000</v>
      </c>
      <c r="H122">
        <f>IFERROR(VLOOKUP(A122,Usage!L:M,2,FALSE),0)</f>
        <v>607</v>
      </c>
      <c r="I122">
        <v>1100</v>
      </c>
      <c r="J122" s="12">
        <f t="shared" si="6"/>
        <v>2.5251380193849062</v>
      </c>
      <c r="K122">
        <f t="shared" si="7"/>
        <v>651.37855703754303</v>
      </c>
      <c r="L122" s="2">
        <f t="shared" si="4"/>
        <v>-448.62144296245697</v>
      </c>
      <c r="M122" s="2">
        <f t="shared" si="5"/>
        <v>-0.44862144296245698</v>
      </c>
    </row>
    <row r="123" spans="1:13">
      <c r="A123" s="2">
        <v>97</v>
      </c>
      <c r="B123" s="2">
        <v>51</v>
      </c>
      <c r="C123" s="2" t="s">
        <v>126</v>
      </c>
      <c r="D123">
        <v>1</v>
      </c>
      <c r="E123" s="2" t="s">
        <v>0</v>
      </c>
      <c r="F123" s="3">
        <v>237.85</v>
      </c>
      <c r="G123" s="4">
        <v>20</v>
      </c>
      <c r="H123">
        <f>IFERROR(VLOOKUP(A123,Usage!L:M,2,FALSE),0)</f>
        <v>0</v>
      </c>
      <c r="I123">
        <v>2</v>
      </c>
      <c r="J123" s="12">
        <f t="shared" si="6"/>
        <v>0</v>
      </c>
      <c r="K123">
        <f t="shared" si="7"/>
        <v>0</v>
      </c>
      <c r="L123" s="2">
        <f t="shared" si="4"/>
        <v>-2</v>
      </c>
      <c r="M123" s="2">
        <f t="shared" si="5"/>
        <v>-0.1</v>
      </c>
    </row>
    <row r="124" spans="1:13">
      <c r="A124" s="2">
        <v>7</v>
      </c>
      <c r="B124" s="2">
        <v>51</v>
      </c>
      <c r="C124" s="2" t="s">
        <v>127</v>
      </c>
      <c r="D124">
        <v>1</v>
      </c>
      <c r="E124" s="2" t="s">
        <v>0</v>
      </c>
      <c r="F124" s="3">
        <v>373.84</v>
      </c>
      <c r="G124" s="4">
        <v>216</v>
      </c>
      <c r="H124">
        <f>IFERROR(VLOOKUP(A124,Usage!L:M,2,FALSE),0)</f>
        <v>1309</v>
      </c>
      <c r="I124">
        <v>1959</v>
      </c>
      <c r="J124" s="12">
        <f t="shared" si="6"/>
        <v>5.445478858937137</v>
      </c>
      <c r="K124">
        <f t="shared" si="7"/>
        <v>1404.7026872522961</v>
      </c>
      <c r="L124" s="2">
        <f t="shared" si="4"/>
        <v>-554.29731274770393</v>
      </c>
      <c r="M124" s="2">
        <f t="shared" si="5"/>
        <v>-2.5661912627208516</v>
      </c>
    </row>
    <row r="125" spans="1:13">
      <c r="A125" s="2">
        <v>2786</v>
      </c>
      <c r="B125" s="2">
        <v>55</v>
      </c>
      <c r="C125" s="2" t="s">
        <v>128</v>
      </c>
      <c r="D125">
        <v>1</v>
      </c>
      <c r="E125" s="2" t="s">
        <v>0</v>
      </c>
      <c r="F125" s="3">
        <v>61.16</v>
      </c>
      <c r="G125" s="4">
        <v>48</v>
      </c>
      <c r="H125">
        <f>IFERROR(VLOOKUP(A125,Usage!L:M,2,FALSE),0)</f>
        <v>7</v>
      </c>
      <c r="I125">
        <v>1</v>
      </c>
      <c r="J125" s="12">
        <f t="shared" si="6"/>
        <v>2.9120207801802873E-2</v>
      </c>
      <c r="K125">
        <f t="shared" si="7"/>
        <v>7.5117790762154879</v>
      </c>
      <c r="L125" s="2">
        <f t="shared" si="4"/>
        <v>6.5117790762154879</v>
      </c>
      <c r="M125" s="2">
        <f t="shared" si="5"/>
        <v>0.13566206408782266</v>
      </c>
    </row>
    <row r="126" spans="1:13">
      <c r="A126" s="2">
        <v>22061</v>
      </c>
      <c r="B126" s="2">
        <v>51</v>
      </c>
      <c r="C126" s="2" t="s">
        <v>129</v>
      </c>
      <c r="D126">
        <v>4</v>
      </c>
      <c r="E126" s="2" t="s">
        <v>0</v>
      </c>
      <c r="F126" s="3">
        <v>312.11</v>
      </c>
      <c r="G126" s="4">
        <v>1000</v>
      </c>
      <c r="H126">
        <f>IFERROR(VLOOKUP(A126,Usage!L:M,2,FALSE),0)</f>
        <v>0</v>
      </c>
      <c r="I126">
        <v>289.58999999999997</v>
      </c>
      <c r="J126" s="12">
        <f t="shared" si="6"/>
        <v>0</v>
      </c>
      <c r="K126">
        <f t="shared" si="7"/>
        <v>0</v>
      </c>
      <c r="L126" s="2">
        <f t="shared" si="4"/>
        <v>-289.58999999999997</v>
      </c>
      <c r="M126" s="2">
        <f t="shared" si="5"/>
        <v>-0.28958999999999996</v>
      </c>
    </row>
    <row r="127" spans="1:13">
      <c r="A127" s="2">
        <v>22070</v>
      </c>
      <c r="B127" s="2">
        <v>51</v>
      </c>
      <c r="C127" s="2" t="s">
        <v>130</v>
      </c>
      <c r="D127">
        <v>4</v>
      </c>
      <c r="E127" s="2" t="s">
        <v>0</v>
      </c>
      <c r="F127" s="3">
        <v>220.72</v>
      </c>
      <c r="G127" s="4">
        <v>1000</v>
      </c>
      <c r="H127">
        <f>IFERROR(VLOOKUP(A127,Usage!L:M,2,FALSE),0)</f>
        <v>0</v>
      </c>
      <c r="I127">
        <v>0</v>
      </c>
      <c r="J127" s="12">
        <f t="shared" si="6"/>
        <v>0</v>
      </c>
      <c r="K127">
        <f t="shared" si="7"/>
        <v>0</v>
      </c>
      <c r="L127" s="2">
        <f t="shared" si="4"/>
        <v>0</v>
      </c>
      <c r="M127" s="2">
        <f t="shared" si="5"/>
        <v>0</v>
      </c>
    </row>
    <row r="128" spans="1:13">
      <c r="A128" s="2">
        <v>111</v>
      </c>
      <c r="B128" s="2">
        <v>51</v>
      </c>
      <c r="C128" s="2" t="s">
        <v>131</v>
      </c>
      <c r="D128">
        <v>2</v>
      </c>
      <c r="E128" s="2" t="s">
        <v>0</v>
      </c>
      <c r="F128" s="3">
        <v>185.18</v>
      </c>
      <c r="G128" s="4">
        <v>630</v>
      </c>
      <c r="H128">
        <f>IFERROR(VLOOKUP(A128,Usage!L:M,2,FALSE),0)</f>
        <v>537</v>
      </c>
      <c r="I128">
        <v>375</v>
      </c>
      <c r="J128" s="12">
        <f t="shared" si="6"/>
        <v>2.2339359413668776</v>
      </c>
      <c r="K128">
        <f t="shared" si="7"/>
        <v>576.26076627538816</v>
      </c>
      <c r="L128" s="2">
        <f t="shared" si="4"/>
        <v>201.26076627538816</v>
      </c>
      <c r="M128" s="2">
        <f t="shared" si="5"/>
        <v>0.31946153377045738</v>
      </c>
    </row>
    <row r="129" spans="1:13">
      <c r="A129" s="2">
        <v>5</v>
      </c>
      <c r="B129" s="2">
        <v>51</v>
      </c>
      <c r="C129" s="2" t="s">
        <v>132</v>
      </c>
      <c r="D129">
        <v>1</v>
      </c>
      <c r="E129" s="2" t="s">
        <v>0</v>
      </c>
      <c r="F129" s="3">
        <v>440.26</v>
      </c>
      <c r="G129" s="4">
        <v>384</v>
      </c>
      <c r="H129">
        <f>IFERROR(VLOOKUP(A129,Usage!L:M,2,FALSE),0)</f>
        <v>1623</v>
      </c>
      <c r="I129">
        <v>3641</v>
      </c>
      <c r="J129" s="12">
        <f t="shared" si="6"/>
        <v>6.7517281803322948</v>
      </c>
      <c r="K129">
        <f t="shared" si="7"/>
        <v>1741.659634385391</v>
      </c>
      <c r="L129" s="2">
        <f t="shared" si="4"/>
        <v>-1899.340365614609</v>
      </c>
      <c r="M129" s="2">
        <f t="shared" si="5"/>
        <v>-4.946198868788044</v>
      </c>
    </row>
    <row r="130" spans="1:13">
      <c r="A130" s="2">
        <v>6</v>
      </c>
      <c r="B130" s="2">
        <v>51</v>
      </c>
      <c r="C130" s="2" t="s">
        <v>133</v>
      </c>
      <c r="D130">
        <v>1</v>
      </c>
      <c r="E130" s="2" t="s">
        <v>0</v>
      </c>
      <c r="F130" s="3">
        <v>351.44</v>
      </c>
      <c r="G130" s="4">
        <v>120</v>
      </c>
      <c r="H130">
        <f>IFERROR(VLOOKUP(A130,Usage!L:M,2,FALSE),0)</f>
        <v>144</v>
      </c>
      <c r="I130">
        <v>720</v>
      </c>
      <c r="J130" s="12">
        <f t="shared" si="6"/>
        <v>0.59904427477994482</v>
      </c>
      <c r="K130">
        <f t="shared" si="7"/>
        <v>154.52802671071859</v>
      </c>
      <c r="L130" s="2">
        <f t="shared" si="4"/>
        <v>-565.47197328928144</v>
      </c>
      <c r="M130" s="2">
        <f t="shared" si="5"/>
        <v>-4.7122664440773452</v>
      </c>
    </row>
    <row r="131" spans="1:13">
      <c r="A131" s="2">
        <v>1146</v>
      </c>
      <c r="B131" s="2">
        <v>51</v>
      </c>
      <c r="C131" s="2" t="s">
        <v>134</v>
      </c>
      <c r="D131">
        <v>1</v>
      </c>
      <c r="E131" s="2" t="s">
        <v>0</v>
      </c>
      <c r="F131" s="3">
        <v>462.27</v>
      </c>
      <c r="G131" s="4">
        <v>120</v>
      </c>
      <c r="H131">
        <f>IFERROR(VLOOKUP(A131,Usage!L:M,2,FALSE),0)</f>
        <v>479</v>
      </c>
      <c r="I131">
        <v>1186</v>
      </c>
      <c r="J131" s="12">
        <f t="shared" si="6"/>
        <v>1.9926542195805108</v>
      </c>
      <c r="K131">
        <f t="shared" si="7"/>
        <v>514.02031107245978</v>
      </c>
      <c r="L131" s="2">
        <f t="shared" si="4"/>
        <v>-671.97968892754022</v>
      </c>
      <c r="M131" s="2">
        <f t="shared" si="5"/>
        <v>-5.599830741062835</v>
      </c>
    </row>
    <row r="132" spans="1:13">
      <c r="A132" s="2">
        <v>591</v>
      </c>
      <c r="B132" s="2">
        <v>51</v>
      </c>
      <c r="C132" s="2" t="s">
        <v>135</v>
      </c>
      <c r="D132">
        <v>1</v>
      </c>
      <c r="E132" s="2" t="s">
        <v>0</v>
      </c>
      <c r="F132" s="3">
        <v>97.31</v>
      </c>
      <c r="G132" s="4">
        <v>105</v>
      </c>
      <c r="H132">
        <f>IFERROR(VLOOKUP(A132,Usage!L:M,2,FALSE),0)</f>
        <v>194</v>
      </c>
      <c r="I132">
        <v>215</v>
      </c>
      <c r="J132" s="12">
        <f t="shared" si="6"/>
        <v>0.80704575907853682</v>
      </c>
      <c r="K132">
        <f t="shared" si="7"/>
        <v>208.18359154082924</v>
      </c>
      <c r="L132" s="2">
        <f t="shared" si="4"/>
        <v>-6.8164084591707592</v>
      </c>
      <c r="M132" s="2">
        <f t="shared" si="5"/>
        <v>-6.4918175801626274E-2</v>
      </c>
    </row>
    <row r="133" spans="1:13">
      <c r="A133" s="2">
        <v>300</v>
      </c>
      <c r="B133" s="2">
        <v>51</v>
      </c>
      <c r="C133" s="2" t="s">
        <v>136</v>
      </c>
      <c r="D133">
        <v>2</v>
      </c>
      <c r="E133" s="2" t="s">
        <v>0</v>
      </c>
      <c r="F133" s="3">
        <v>69.760000000000005</v>
      </c>
      <c r="G133" s="4">
        <v>2000</v>
      </c>
      <c r="H133">
        <f>IFERROR(VLOOKUP(A133,Usage!L:M,2,FALSE),0)</f>
        <v>0</v>
      </c>
      <c r="I133">
        <v>0</v>
      </c>
      <c r="J133" s="12">
        <f t="shared" si="6"/>
        <v>0</v>
      </c>
      <c r="K133">
        <f t="shared" si="7"/>
        <v>0</v>
      </c>
      <c r="L133" s="2">
        <f t="shared" si="4"/>
        <v>0</v>
      </c>
      <c r="M133" s="2">
        <f t="shared" si="5"/>
        <v>0</v>
      </c>
    </row>
    <row r="134" spans="1:13">
      <c r="A134" s="2">
        <v>5664</v>
      </c>
      <c r="B134" s="2">
        <v>51</v>
      </c>
      <c r="C134" s="2" t="s">
        <v>137</v>
      </c>
      <c r="D134">
        <v>2</v>
      </c>
      <c r="E134" s="2" t="s">
        <v>0</v>
      </c>
      <c r="F134" s="3">
        <v>135.36000000000001</v>
      </c>
      <c r="G134" s="4">
        <v>1650</v>
      </c>
      <c r="H134">
        <f>IFERROR(VLOOKUP(A134,Usage!L:M,2,FALSE),0)</f>
        <v>14</v>
      </c>
      <c r="I134">
        <v>630</v>
      </c>
      <c r="J134" s="12">
        <f t="shared" si="6"/>
        <v>5.8240415603605745E-2</v>
      </c>
      <c r="K134">
        <f t="shared" si="7"/>
        <v>15.023558152430976</v>
      </c>
      <c r="L134" s="2">
        <f t="shared" si="4"/>
        <v>-614.97644184756905</v>
      </c>
      <c r="M134" s="2">
        <f t="shared" si="5"/>
        <v>-0.37271299505913275</v>
      </c>
    </row>
    <row r="135" spans="1:13">
      <c r="A135" s="2">
        <v>187</v>
      </c>
      <c r="B135" s="2">
        <v>51</v>
      </c>
      <c r="C135" s="2" t="s">
        <v>138</v>
      </c>
      <c r="D135">
        <v>2</v>
      </c>
      <c r="E135" s="2" t="s">
        <v>0</v>
      </c>
      <c r="F135" s="3">
        <v>177.1</v>
      </c>
      <c r="G135" s="4">
        <v>490</v>
      </c>
      <c r="H135">
        <f>IFERROR(VLOOKUP(A135,Usage!L:M,2,FALSE),0)</f>
        <v>70</v>
      </c>
      <c r="I135">
        <v>113</v>
      </c>
      <c r="J135" s="12">
        <f t="shared" si="6"/>
        <v>0.29120207801802872</v>
      </c>
      <c r="K135">
        <f t="shared" si="7"/>
        <v>75.117790762154868</v>
      </c>
      <c r="L135" s="2">
        <f t="shared" si="4"/>
        <v>-37.882209237845132</v>
      </c>
      <c r="M135" s="2">
        <f t="shared" si="5"/>
        <v>-7.731063109764312E-2</v>
      </c>
    </row>
    <row r="136" spans="1:13">
      <c r="A136" s="2">
        <v>4551</v>
      </c>
      <c r="B136" s="2">
        <v>51</v>
      </c>
      <c r="C136" s="2" t="s">
        <v>139</v>
      </c>
      <c r="D136">
        <v>2</v>
      </c>
      <c r="E136" s="2" t="s">
        <v>0</v>
      </c>
      <c r="F136" s="3">
        <v>49.85</v>
      </c>
      <c r="G136" s="4">
        <v>1000</v>
      </c>
      <c r="H136">
        <f>IFERROR(VLOOKUP(A136,Usage!L:M,2,FALSE),0)</f>
        <v>412</v>
      </c>
      <c r="I136">
        <v>1067</v>
      </c>
      <c r="J136" s="12">
        <f t="shared" si="6"/>
        <v>1.7139322306203977</v>
      </c>
      <c r="K136">
        <f t="shared" si="7"/>
        <v>442.12185420011156</v>
      </c>
      <c r="L136" s="2">
        <f t="shared" si="4"/>
        <v>-624.87814579988844</v>
      </c>
      <c r="M136" s="2">
        <f t="shared" si="5"/>
        <v>-0.62487814579988843</v>
      </c>
    </row>
    <row r="137" spans="1:13">
      <c r="A137" s="2">
        <v>3034</v>
      </c>
      <c r="B137" s="2">
        <v>51</v>
      </c>
      <c r="C137" s="2" t="s">
        <v>140</v>
      </c>
      <c r="D137">
        <v>2</v>
      </c>
      <c r="E137" s="2" t="s">
        <v>0</v>
      </c>
      <c r="F137" s="3">
        <v>248.46</v>
      </c>
      <c r="G137" s="4">
        <v>700</v>
      </c>
      <c r="H137">
        <f>IFERROR(VLOOKUP(A137,Usage!L:M,2,FALSE),0)</f>
        <v>183</v>
      </c>
      <c r="I137">
        <v>1730</v>
      </c>
      <c r="J137" s="12">
        <f t="shared" si="6"/>
        <v>0.76128543253284653</v>
      </c>
      <c r="K137">
        <f t="shared" si="7"/>
        <v>196.37936727820488</v>
      </c>
      <c r="L137" s="2">
        <f t="shared" si="4"/>
        <v>-1533.6206327217951</v>
      </c>
      <c r="M137" s="2">
        <f t="shared" si="5"/>
        <v>-2.1908866181739932</v>
      </c>
    </row>
    <row r="138" spans="1:13">
      <c r="A138" s="2">
        <v>93</v>
      </c>
      <c r="B138" s="2">
        <v>51</v>
      </c>
      <c r="C138" s="2" t="s">
        <v>141</v>
      </c>
      <c r="D138">
        <v>1</v>
      </c>
      <c r="E138" s="2" t="s">
        <v>0</v>
      </c>
      <c r="F138" s="3">
        <v>360.34</v>
      </c>
      <c r="G138" s="4">
        <v>168</v>
      </c>
      <c r="H138">
        <f>IFERROR(VLOOKUP(A138,Usage!L:M,2,FALSE),0)</f>
        <v>0</v>
      </c>
      <c r="I138">
        <v>14</v>
      </c>
      <c r="J138" s="12">
        <f t="shared" si="6"/>
        <v>0</v>
      </c>
      <c r="K138">
        <f t="shared" si="7"/>
        <v>0</v>
      </c>
      <c r="L138" s="2">
        <f t="shared" si="4"/>
        <v>-14</v>
      </c>
      <c r="M138" s="2">
        <f t="shared" si="5"/>
        <v>-8.3333333333333329E-2</v>
      </c>
    </row>
    <row r="139" spans="1:13">
      <c r="A139" s="2">
        <v>821</v>
      </c>
      <c r="B139" s="2">
        <v>51</v>
      </c>
      <c r="C139" s="2" t="s">
        <v>142</v>
      </c>
      <c r="D139">
        <v>2</v>
      </c>
      <c r="E139" s="2" t="s">
        <v>0</v>
      </c>
      <c r="F139" s="3">
        <v>145.18</v>
      </c>
      <c r="G139" s="4">
        <v>1000</v>
      </c>
      <c r="H139">
        <f>IFERROR(VLOOKUP(A139,Usage!L:M,2,FALSE),0)</f>
        <v>2105</v>
      </c>
      <c r="I139">
        <v>325</v>
      </c>
      <c r="J139" s="12">
        <f t="shared" si="6"/>
        <v>8.7568624889707216</v>
      </c>
      <c r="K139">
        <f t="shared" si="7"/>
        <v>2258.8992793476573</v>
      </c>
      <c r="L139" s="2">
        <f t="shared" si="4"/>
        <v>1933.8992793476573</v>
      </c>
      <c r="M139" s="2">
        <f t="shared" si="5"/>
        <v>1.9338992793476573</v>
      </c>
    </row>
    <row r="140" spans="1:13">
      <c r="A140" s="2">
        <v>1007</v>
      </c>
      <c r="B140" s="2">
        <v>51</v>
      </c>
      <c r="C140" s="2" t="s">
        <v>143</v>
      </c>
      <c r="D140">
        <v>1</v>
      </c>
      <c r="E140" s="2" t="s">
        <v>0</v>
      </c>
      <c r="F140" s="3">
        <v>384.63</v>
      </c>
      <c r="G140" s="4">
        <v>10</v>
      </c>
      <c r="H140">
        <f>IFERROR(VLOOKUP(A140,Usage!L:M,2,FALSE),0)</f>
        <v>13.160000000000002</v>
      </c>
      <c r="I140">
        <v>20.84</v>
      </c>
      <c r="J140" s="12">
        <f t="shared" si="6"/>
        <v>5.4745990667389409E-2</v>
      </c>
      <c r="K140">
        <f t="shared" si="7"/>
        <v>14.122144663285118</v>
      </c>
      <c r="L140" s="2">
        <f t="shared" ref="L140:L203" si="8">K140-I140</f>
        <v>-6.7178553367148819</v>
      </c>
      <c r="M140" s="2">
        <f t="shared" ref="M140:M203" si="9">L140/G140</f>
        <v>-0.67178553367148819</v>
      </c>
    </row>
    <row r="141" spans="1:13">
      <c r="A141" s="2">
        <v>118</v>
      </c>
      <c r="B141" s="2">
        <v>51</v>
      </c>
      <c r="C141" s="2" t="s">
        <v>144</v>
      </c>
      <c r="D141">
        <v>2</v>
      </c>
      <c r="E141" s="2" t="s">
        <v>0</v>
      </c>
      <c r="F141" s="3">
        <v>127.25</v>
      </c>
      <c r="G141" s="4">
        <v>4200</v>
      </c>
      <c r="H141">
        <f>IFERROR(VLOOKUP(A141,Usage!L:M,2,FALSE),0)</f>
        <v>0</v>
      </c>
      <c r="I141">
        <v>0</v>
      </c>
      <c r="J141" s="12">
        <f t="shared" ref="J141:J204" si="10">H141/($D$5/1000)</f>
        <v>0</v>
      </c>
      <c r="K141">
        <f t="shared" ref="K141:K204" si="11">J141*($D$8/1000)</f>
        <v>0</v>
      </c>
      <c r="L141" s="2">
        <f t="shared" si="8"/>
        <v>0</v>
      </c>
      <c r="M141" s="2">
        <f t="shared" si="9"/>
        <v>0</v>
      </c>
    </row>
    <row r="142" spans="1:13">
      <c r="A142" s="2">
        <v>1637</v>
      </c>
      <c r="B142" s="2">
        <v>51</v>
      </c>
      <c r="C142" s="2" t="s">
        <v>145</v>
      </c>
      <c r="D142">
        <v>1</v>
      </c>
      <c r="E142" s="2" t="s">
        <v>0</v>
      </c>
      <c r="F142" s="3">
        <v>340.43</v>
      </c>
      <c r="G142" s="4">
        <v>320</v>
      </c>
      <c r="H142">
        <f>IFERROR(VLOOKUP(A142,Usage!L:M,2,FALSE),0)</f>
        <v>5204</v>
      </c>
      <c r="I142">
        <v>4598</v>
      </c>
      <c r="J142" s="12">
        <f t="shared" si="10"/>
        <v>21.648794485797449</v>
      </c>
      <c r="K142">
        <f t="shared" si="11"/>
        <v>5584.4711875179137</v>
      </c>
      <c r="L142" s="2">
        <f t="shared" si="8"/>
        <v>986.47118751791368</v>
      </c>
      <c r="M142" s="2">
        <f t="shared" si="9"/>
        <v>3.0827224609934802</v>
      </c>
    </row>
    <row r="143" spans="1:13">
      <c r="A143" s="2">
        <v>99929</v>
      </c>
      <c r="B143" s="2">
        <v>51</v>
      </c>
      <c r="C143" s="2" t="s">
        <v>146</v>
      </c>
      <c r="D143">
        <v>3</v>
      </c>
      <c r="E143" s="2"/>
      <c r="F143" s="3">
        <v>33.619999999999997</v>
      </c>
      <c r="G143" s="4">
        <v>1000</v>
      </c>
      <c r="H143">
        <f>IFERROR(VLOOKUP(A143,Usage!L:M,2,FALSE),0)</f>
        <v>0</v>
      </c>
      <c r="I143">
        <v>0</v>
      </c>
      <c r="J143" s="12">
        <f t="shared" si="10"/>
        <v>0</v>
      </c>
      <c r="K143">
        <f t="shared" si="11"/>
        <v>0</v>
      </c>
      <c r="L143" s="2">
        <f t="shared" si="8"/>
        <v>0</v>
      </c>
      <c r="M143" s="2">
        <f t="shared" si="9"/>
        <v>0</v>
      </c>
    </row>
    <row r="144" spans="1:13">
      <c r="A144" s="2">
        <v>10264</v>
      </c>
      <c r="B144" s="2">
        <v>51</v>
      </c>
      <c r="C144" s="2" t="s">
        <v>147</v>
      </c>
      <c r="D144">
        <v>1</v>
      </c>
      <c r="E144" s="2" t="s">
        <v>0</v>
      </c>
      <c r="F144" s="3">
        <v>415.41</v>
      </c>
      <c r="G144" s="4">
        <v>8</v>
      </c>
      <c r="H144">
        <f>IFERROR(VLOOKUP(A144,Usage!L:M,2,FALSE),0)</f>
        <v>1.4700000000000002</v>
      </c>
      <c r="I144">
        <v>6.51</v>
      </c>
      <c r="J144" s="12">
        <f t="shared" si="10"/>
        <v>6.1152436383786037E-3</v>
      </c>
      <c r="K144">
        <f t="shared" si="11"/>
        <v>1.5774736060052525</v>
      </c>
      <c r="L144" s="2">
        <f t="shared" si="8"/>
        <v>-4.9325263939947472</v>
      </c>
      <c r="M144" s="2">
        <f t="shared" si="9"/>
        <v>-0.6165657992493434</v>
      </c>
    </row>
    <row r="145" spans="1:13">
      <c r="A145" s="2">
        <v>4853</v>
      </c>
      <c r="B145" s="2">
        <v>51</v>
      </c>
      <c r="C145" s="2" t="s">
        <v>148</v>
      </c>
      <c r="D145">
        <v>1</v>
      </c>
      <c r="E145" s="2" t="s">
        <v>0</v>
      </c>
      <c r="F145" s="3">
        <v>417.9</v>
      </c>
      <c r="G145" s="4">
        <v>216</v>
      </c>
      <c r="H145">
        <f>IFERROR(VLOOKUP(A145,Usage!L:M,2,FALSE),0)</f>
        <v>822</v>
      </c>
      <c r="I145">
        <v>1306</v>
      </c>
      <c r="J145" s="12">
        <f t="shared" si="10"/>
        <v>3.4195444018688517</v>
      </c>
      <c r="K145">
        <f t="shared" si="11"/>
        <v>882.09748580701876</v>
      </c>
      <c r="L145" s="2">
        <f t="shared" si="8"/>
        <v>-423.90251419298124</v>
      </c>
      <c r="M145" s="2">
        <f t="shared" si="9"/>
        <v>-1.9625116397823206</v>
      </c>
    </row>
    <row r="146" spans="1:13">
      <c r="A146" s="2">
        <v>736</v>
      </c>
      <c r="B146" s="2">
        <v>51</v>
      </c>
      <c r="C146" s="2" t="s">
        <v>149</v>
      </c>
      <c r="D146">
        <v>2</v>
      </c>
      <c r="E146" s="2" t="s">
        <v>0</v>
      </c>
      <c r="F146" s="3">
        <v>145.6</v>
      </c>
      <c r="G146" s="4">
        <v>1000</v>
      </c>
      <c r="H146">
        <f>IFERROR(VLOOKUP(A146,Usage!L:M,2,FALSE),0)</f>
        <v>509</v>
      </c>
      <c r="I146">
        <v>250</v>
      </c>
      <c r="J146" s="12">
        <f t="shared" si="10"/>
        <v>2.1174551101596659</v>
      </c>
      <c r="K146">
        <f t="shared" si="11"/>
        <v>546.21364997052615</v>
      </c>
      <c r="L146" s="2">
        <f t="shared" si="8"/>
        <v>296.21364997052615</v>
      </c>
      <c r="M146" s="2">
        <f t="shared" si="9"/>
        <v>0.29621364997052613</v>
      </c>
    </row>
    <row r="147" spans="1:13">
      <c r="A147" s="2">
        <v>7333</v>
      </c>
      <c r="B147" s="2">
        <v>51</v>
      </c>
      <c r="C147" s="2" t="s">
        <v>150</v>
      </c>
      <c r="D147">
        <v>2</v>
      </c>
      <c r="E147" s="2" t="s">
        <v>0</v>
      </c>
      <c r="F147" s="3">
        <v>128.94999999999999</v>
      </c>
      <c r="G147" s="4">
        <v>1000</v>
      </c>
      <c r="H147">
        <f>IFERROR(VLOOKUP(A147,Usage!L:M,2,FALSE),0)</f>
        <v>2138</v>
      </c>
      <c r="I147">
        <v>3530</v>
      </c>
      <c r="J147" s="12">
        <f t="shared" si="10"/>
        <v>8.8941434686077923</v>
      </c>
      <c r="K147">
        <f t="shared" si="11"/>
        <v>2294.3119521355306</v>
      </c>
      <c r="L147" s="2">
        <f t="shared" si="8"/>
        <v>-1235.6880478644694</v>
      </c>
      <c r="M147" s="2">
        <f t="shared" si="9"/>
        <v>-1.2356880478644694</v>
      </c>
    </row>
    <row r="148" spans="1:13">
      <c r="A148" s="2">
        <v>40076</v>
      </c>
      <c r="B148" s="2">
        <v>51</v>
      </c>
      <c r="C148" s="2" t="s">
        <v>151</v>
      </c>
      <c r="D148">
        <v>2</v>
      </c>
      <c r="E148" s="2" t="s">
        <v>0</v>
      </c>
      <c r="F148" s="3">
        <v>239.33</v>
      </c>
      <c r="G148" s="4">
        <v>960</v>
      </c>
      <c r="H148">
        <f>IFERROR(VLOOKUP(A148,Usage!L:M,2,FALSE),0)</f>
        <v>1557</v>
      </c>
      <c r="I148">
        <v>1360</v>
      </c>
      <c r="J148" s="12">
        <f t="shared" si="10"/>
        <v>6.4771662210581535</v>
      </c>
      <c r="K148">
        <f t="shared" si="11"/>
        <v>1670.8342888096449</v>
      </c>
      <c r="L148" s="2">
        <f t="shared" si="8"/>
        <v>310.83428880964493</v>
      </c>
      <c r="M148" s="2">
        <f t="shared" si="9"/>
        <v>0.32378571751004681</v>
      </c>
    </row>
    <row r="149" spans="1:13">
      <c r="A149" s="2">
        <v>40077</v>
      </c>
      <c r="B149" s="2">
        <v>51</v>
      </c>
      <c r="C149" s="2" t="s">
        <v>152</v>
      </c>
      <c r="D149">
        <v>2</v>
      </c>
      <c r="E149" s="2" t="s">
        <v>0</v>
      </c>
      <c r="F149" s="3">
        <v>235.65</v>
      </c>
      <c r="G149" s="4">
        <v>960</v>
      </c>
      <c r="H149">
        <f>IFERROR(VLOOKUP(A149,Usage!L:M,2,FALSE),0)</f>
        <v>88</v>
      </c>
      <c r="I149">
        <v>496</v>
      </c>
      <c r="J149" s="12">
        <f t="shared" si="10"/>
        <v>0.36608261236552181</v>
      </c>
      <c r="K149">
        <f t="shared" si="11"/>
        <v>94.433794100994703</v>
      </c>
      <c r="L149" s="2">
        <f t="shared" si="8"/>
        <v>-401.5662058990053</v>
      </c>
      <c r="M149" s="2">
        <f t="shared" si="9"/>
        <v>-0.41829813114479719</v>
      </c>
    </row>
    <row r="150" spans="1:13">
      <c r="A150" s="2">
        <v>40078</v>
      </c>
      <c r="B150" s="2">
        <v>51</v>
      </c>
      <c r="C150" s="2" t="s">
        <v>153</v>
      </c>
      <c r="D150">
        <v>2</v>
      </c>
      <c r="E150" s="2" t="s">
        <v>0</v>
      </c>
      <c r="F150" s="3">
        <v>234.68</v>
      </c>
      <c r="G150" s="4">
        <v>960</v>
      </c>
      <c r="H150">
        <f>IFERROR(VLOOKUP(A150,Usage!L:M,2,FALSE),0)</f>
        <v>31</v>
      </c>
      <c r="I150">
        <v>189</v>
      </c>
      <c r="J150" s="12">
        <f t="shared" si="10"/>
        <v>0.12896092026512701</v>
      </c>
      <c r="K150">
        <f t="shared" si="11"/>
        <v>33.266450194668586</v>
      </c>
      <c r="L150" s="2">
        <f t="shared" si="8"/>
        <v>-155.73354980533142</v>
      </c>
      <c r="M150" s="2">
        <f t="shared" si="9"/>
        <v>-0.16222244771388689</v>
      </c>
    </row>
    <row r="151" spans="1:13">
      <c r="A151" s="2">
        <v>40079</v>
      </c>
      <c r="B151" s="2">
        <v>51</v>
      </c>
      <c r="C151" s="2" t="s">
        <v>154</v>
      </c>
      <c r="D151">
        <v>2</v>
      </c>
      <c r="E151" s="2" t="s">
        <v>0</v>
      </c>
      <c r="F151" s="3">
        <v>236.46</v>
      </c>
      <c r="G151" s="4">
        <v>960</v>
      </c>
      <c r="H151">
        <f>IFERROR(VLOOKUP(A151,Usage!L:M,2,FALSE),0)</f>
        <v>0</v>
      </c>
      <c r="I151">
        <v>960</v>
      </c>
      <c r="J151" s="12">
        <f t="shared" si="10"/>
        <v>0</v>
      </c>
      <c r="K151">
        <f t="shared" si="11"/>
        <v>0</v>
      </c>
      <c r="L151" s="2">
        <f t="shared" si="8"/>
        <v>-960</v>
      </c>
      <c r="M151" s="2">
        <f t="shared" si="9"/>
        <v>-1</v>
      </c>
    </row>
    <row r="152" spans="1:13">
      <c r="A152" s="2">
        <v>808</v>
      </c>
      <c r="B152" s="2">
        <v>51</v>
      </c>
      <c r="C152" s="2" t="s">
        <v>155</v>
      </c>
      <c r="D152">
        <v>4</v>
      </c>
      <c r="E152" s="2" t="s">
        <v>0</v>
      </c>
      <c r="F152" s="3">
        <v>0.93</v>
      </c>
      <c r="G152" s="4">
        <v>1</v>
      </c>
      <c r="H152">
        <f>IFERROR(VLOOKUP(A152,Usage!L:M,2,FALSE),0)</f>
        <v>153</v>
      </c>
      <c r="I152">
        <v>1180</v>
      </c>
      <c r="J152" s="12">
        <f t="shared" si="10"/>
        <v>0.63648454195369142</v>
      </c>
      <c r="K152">
        <f t="shared" si="11"/>
        <v>164.18602838013854</v>
      </c>
      <c r="L152" s="2">
        <f t="shared" si="8"/>
        <v>-1015.8139716198615</v>
      </c>
      <c r="M152" s="2">
        <f t="shared" si="9"/>
        <v>-1015.8139716198615</v>
      </c>
    </row>
    <row r="153" spans="1:13">
      <c r="A153" s="2">
        <v>7206</v>
      </c>
      <c r="B153" s="2">
        <v>51</v>
      </c>
      <c r="C153" s="2" t="s">
        <v>156</v>
      </c>
      <c r="D153">
        <v>1</v>
      </c>
      <c r="E153" s="2" t="s">
        <v>0</v>
      </c>
      <c r="F153" s="3">
        <v>370.8</v>
      </c>
      <c r="G153" s="4">
        <v>120</v>
      </c>
      <c r="H153">
        <f>IFERROR(VLOOKUP(A153,Usage!L:M,2,FALSE),0)</f>
        <v>584</v>
      </c>
      <c r="I153">
        <v>230</v>
      </c>
      <c r="J153" s="12">
        <f t="shared" si="10"/>
        <v>2.429457336607554</v>
      </c>
      <c r="K153">
        <f t="shared" si="11"/>
        <v>626.69699721569214</v>
      </c>
      <c r="L153" s="2">
        <f t="shared" si="8"/>
        <v>396.69699721569214</v>
      </c>
      <c r="M153" s="2">
        <f t="shared" si="9"/>
        <v>3.3058083101307676</v>
      </c>
    </row>
    <row r="154" spans="1:13">
      <c r="A154" s="2">
        <v>2787</v>
      </c>
      <c r="B154" s="2">
        <v>51</v>
      </c>
      <c r="C154" s="2" t="s">
        <v>157</v>
      </c>
      <c r="D154">
        <v>1</v>
      </c>
      <c r="E154" s="2" t="s">
        <v>0</v>
      </c>
      <c r="F154" s="3">
        <v>1.4</v>
      </c>
      <c r="G154" s="4">
        <v>1</v>
      </c>
      <c r="H154">
        <f>IFERROR(VLOOKUP(A154,Usage!L:M,2,FALSE),0)</f>
        <v>38</v>
      </c>
      <c r="I154">
        <v>81</v>
      </c>
      <c r="J154" s="12">
        <f t="shared" si="10"/>
        <v>0.15808112806692989</v>
      </c>
      <c r="K154">
        <f t="shared" si="11"/>
        <v>40.778229270884076</v>
      </c>
      <c r="L154" s="2">
        <f t="shared" si="8"/>
        <v>-40.221770729115924</v>
      </c>
      <c r="M154" s="2">
        <f t="shared" si="9"/>
        <v>-40.221770729115924</v>
      </c>
    </row>
    <row r="155" spans="1:13">
      <c r="A155" s="2">
        <v>6811</v>
      </c>
      <c r="B155" s="2">
        <v>51</v>
      </c>
      <c r="C155" s="2" t="s">
        <v>158</v>
      </c>
      <c r="D155">
        <v>1</v>
      </c>
      <c r="E155" s="2" t="s">
        <v>0</v>
      </c>
      <c r="F155" s="3">
        <v>196.08</v>
      </c>
      <c r="G155" s="4">
        <v>300</v>
      </c>
      <c r="H155">
        <f>IFERROR(VLOOKUP(A155,Usage!L:M,2,FALSE),0)</f>
        <v>1906</v>
      </c>
      <c r="I155">
        <v>2976</v>
      </c>
      <c r="J155" s="12">
        <f t="shared" si="10"/>
        <v>7.9290165814623252</v>
      </c>
      <c r="K155">
        <f t="shared" si="11"/>
        <v>2045.3501313238171</v>
      </c>
      <c r="L155" s="2">
        <f t="shared" si="8"/>
        <v>-930.6498686761829</v>
      </c>
      <c r="M155" s="2">
        <f t="shared" si="9"/>
        <v>-3.1021662289206096</v>
      </c>
    </row>
    <row r="156" spans="1:13">
      <c r="A156" s="2">
        <v>803</v>
      </c>
      <c r="B156" s="2">
        <v>51</v>
      </c>
      <c r="C156" s="2" t="s">
        <v>159</v>
      </c>
      <c r="D156">
        <v>4</v>
      </c>
      <c r="E156" s="2" t="s">
        <v>0</v>
      </c>
      <c r="F156" s="3">
        <v>903.34</v>
      </c>
      <c r="G156" s="4">
        <v>50</v>
      </c>
      <c r="H156">
        <f>IFERROR(VLOOKUP(A156,Usage!L:M,2,FALSE),0)</f>
        <v>0</v>
      </c>
      <c r="I156">
        <v>0</v>
      </c>
      <c r="J156" s="12">
        <f t="shared" si="10"/>
        <v>0</v>
      </c>
      <c r="K156">
        <f t="shared" si="11"/>
        <v>0</v>
      </c>
      <c r="L156" s="2">
        <f t="shared" si="8"/>
        <v>0</v>
      </c>
      <c r="M156" s="2">
        <f t="shared" si="9"/>
        <v>0</v>
      </c>
    </row>
    <row r="157" spans="1:13">
      <c r="A157" s="2">
        <v>804</v>
      </c>
      <c r="B157" s="2">
        <v>51</v>
      </c>
      <c r="C157" s="2" t="s">
        <v>160</v>
      </c>
      <c r="D157">
        <v>4</v>
      </c>
      <c r="E157" s="2" t="s">
        <v>0</v>
      </c>
      <c r="F157" s="3">
        <v>937.07</v>
      </c>
      <c r="G157" s="4">
        <v>50</v>
      </c>
      <c r="H157">
        <f>IFERROR(VLOOKUP(A157,Usage!L:M,2,FALSE),0)</f>
        <v>0</v>
      </c>
      <c r="I157">
        <v>0</v>
      </c>
      <c r="J157" s="12">
        <f t="shared" si="10"/>
        <v>0</v>
      </c>
      <c r="K157">
        <f t="shared" si="11"/>
        <v>0</v>
      </c>
      <c r="L157" s="2">
        <f t="shared" si="8"/>
        <v>0</v>
      </c>
      <c r="M157" s="2">
        <f t="shared" si="9"/>
        <v>0</v>
      </c>
    </row>
    <row r="158" spans="1:13">
      <c r="A158" s="2">
        <v>1131</v>
      </c>
      <c r="B158" s="2">
        <v>51</v>
      </c>
      <c r="C158" s="2" t="s">
        <v>161</v>
      </c>
      <c r="D158">
        <v>3</v>
      </c>
      <c r="E158" s="2" t="s">
        <v>0</v>
      </c>
      <c r="F158" s="3">
        <v>89.74</v>
      </c>
      <c r="G158" s="4">
        <v>288</v>
      </c>
      <c r="H158">
        <f>IFERROR(VLOOKUP(A158,Usage!L:M,2,FALSE),0)</f>
        <v>0</v>
      </c>
      <c r="I158">
        <v>0</v>
      </c>
      <c r="J158" s="12">
        <f t="shared" si="10"/>
        <v>0</v>
      </c>
      <c r="K158">
        <f t="shared" si="11"/>
        <v>0</v>
      </c>
      <c r="L158" s="2">
        <f t="shared" si="8"/>
        <v>0</v>
      </c>
      <c r="M158" s="2">
        <f t="shared" si="9"/>
        <v>0</v>
      </c>
    </row>
    <row r="159" spans="1:13">
      <c r="A159" s="2">
        <v>8541</v>
      </c>
      <c r="B159" s="2">
        <v>51</v>
      </c>
      <c r="C159" s="2" t="s">
        <v>162</v>
      </c>
      <c r="D159">
        <v>2</v>
      </c>
      <c r="E159" s="2" t="s">
        <v>0</v>
      </c>
      <c r="F159" s="3">
        <v>142.19999999999999</v>
      </c>
      <c r="G159" s="4">
        <v>1000</v>
      </c>
      <c r="H159">
        <f>IFERROR(VLOOKUP(A159,Usage!L:M,2,FALSE),0)</f>
        <v>32</v>
      </c>
      <c r="I159">
        <v>861</v>
      </c>
      <c r="J159" s="12">
        <f t="shared" si="10"/>
        <v>0.13312094995109885</v>
      </c>
      <c r="K159">
        <f t="shared" si="11"/>
        <v>34.3395614912708</v>
      </c>
      <c r="L159" s="2">
        <f t="shared" si="8"/>
        <v>-826.66043850872916</v>
      </c>
      <c r="M159" s="2">
        <f t="shared" si="9"/>
        <v>-0.82666043850872917</v>
      </c>
    </row>
    <row r="160" spans="1:13">
      <c r="A160" s="2">
        <v>3584</v>
      </c>
      <c r="B160" s="2">
        <v>51</v>
      </c>
      <c r="C160" s="2" t="s">
        <v>163</v>
      </c>
      <c r="D160">
        <v>1</v>
      </c>
      <c r="E160" s="2" t="s">
        <v>43</v>
      </c>
      <c r="F160" s="3">
        <v>224.82</v>
      </c>
      <c r="G160" s="4">
        <v>363.32</v>
      </c>
      <c r="H160">
        <f>IFERROR(VLOOKUP(A160,Usage!L:M,2,FALSE),0)</f>
        <v>134.68</v>
      </c>
      <c r="I160">
        <v>3791</v>
      </c>
      <c r="J160" s="12">
        <f t="shared" si="10"/>
        <v>0.56027279810668729</v>
      </c>
      <c r="K160">
        <f t="shared" si="11"/>
        <v>144.52662942638599</v>
      </c>
      <c r="L160" s="2">
        <f t="shared" si="8"/>
        <v>-3646.4733705736139</v>
      </c>
      <c r="M160" s="2">
        <f t="shared" si="9"/>
        <v>-10.036533553268782</v>
      </c>
    </row>
    <row r="161" spans="1:13">
      <c r="A161" s="2">
        <v>4111</v>
      </c>
      <c r="B161" s="2">
        <v>51</v>
      </c>
      <c r="C161" s="2" t="s">
        <v>164</v>
      </c>
      <c r="D161">
        <v>1</v>
      </c>
      <c r="E161" s="2" t="s">
        <v>33</v>
      </c>
      <c r="F161" s="3">
        <v>97.06</v>
      </c>
      <c r="G161" s="4">
        <v>100</v>
      </c>
      <c r="H161">
        <f>IFERROR(VLOOKUP(A161,Usage!L:M,2,FALSE),0)</f>
        <v>37</v>
      </c>
      <c r="I161">
        <v>27</v>
      </c>
      <c r="J161" s="12">
        <f t="shared" si="10"/>
        <v>0.15392109838095805</v>
      </c>
      <c r="K161">
        <f t="shared" si="11"/>
        <v>39.705117974281862</v>
      </c>
      <c r="L161" s="2">
        <f t="shared" si="8"/>
        <v>12.705117974281862</v>
      </c>
      <c r="M161" s="2">
        <f t="shared" si="9"/>
        <v>0.12705117974281863</v>
      </c>
    </row>
    <row r="162" spans="1:13">
      <c r="A162" s="2">
        <v>102</v>
      </c>
      <c r="B162" s="2">
        <v>51</v>
      </c>
      <c r="C162" s="2" t="s">
        <v>165</v>
      </c>
      <c r="D162">
        <v>2</v>
      </c>
      <c r="E162" s="2" t="s">
        <v>0</v>
      </c>
      <c r="F162" s="3">
        <v>84.68</v>
      </c>
      <c r="G162" s="4">
        <v>400</v>
      </c>
      <c r="H162">
        <f>IFERROR(VLOOKUP(A162,Usage!L:M,2,FALSE),0)</f>
        <v>0</v>
      </c>
      <c r="I162">
        <v>0</v>
      </c>
      <c r="J162" s="12">
        <f t="shared" si="10"/>
        <v>0</v>
      </c>
      <c r="K162">
        <f t="shared" si="11"/>
        <v>0</v>
      </c>
      <c r="L162" s="2">
        <f t="shared" si="8"/>
        <v>0</v>
      </c>
      <c r="M162" s="2">
        <f t="shared" si="9"/>
        <v>0</v>
      </c>
    </row>
    <row r="163" spans="1:13">
      <c r="A163" s="2">
        <v>210</v>
      </c>
      <c r="B163" s="2">
        <v>51</v>
      </c>
      <c r="C163" s="2" t="s">
        <v>166</v>
      </c>
      <c r="D163">
        <v>1</v>
      </c>
      <c r="E163" s="2" t="s">
        <v>0</v>
      </c>
      <c r="F163" s="3">
        <v>32.26</v>
      </c>
      <c r="G163" s="4">
        <v>18</v>
      </c>
      <c r="H163">
        <f>IFERROR(VLOOKUP(A163,Usage!L:M,2,FALSE),0)</f>
        <v>12</v>
      </c>
      <c r="I163">
        <v>234</v>
      </c>
      <c r="J163" s="12">
        <f t="shared" si="10"/>
        <v>4.9920356231662071E-2</v>
      </c>
      <c r="K163">
        <f t="shared" si="11"/>
        <v>12.877335559226552</v>
      </c>
      <c r="L163" s="2">
        <f t="shared" si="8"/>
        <v>-221.12266444077346</v>
      </c>
      <c r="M163" s="2">
        <f t="shared" si="9"/>
        <v>-12.284592468931859</v>
      </c>
    </row>
    <row r="164" spans="1:13">
      <c r="A164" s="2">
        <v>3143</v>
      </c>
      <c r="B164" s="2">
        <v>51</v>
      </c>
      <c r="C164" s="2" t="s">
        <v>167</v>
      </c>
      <c r="D164">
        <v>1</v>
      </c>
      <c r="E164" s="2" t="s">
        <v>26</v>
      </c>
      <c r="F164" s="3">
        <v>128.49</v>
      </c>
      <c r="G164" s="4">
        <v>10</v>
      </c>
      <c r="H164">
        <f>IFERROR(VLOOKUP(A164,Usage!L:M,2,FALSE),0)</f>
        <v>0</v>
      </c>
      <c r="I164">
        <v>0</v>
      </c>
      <c r="J164" s="12">
        <f t="shared" si="10"/>
        <v>0</v>
      </c>
      <c r="K164">
        <f t="shared" si="11"/>
        <v>0</v>
      </c>
      <c r="L164" s="2">
        <f t="shared" si="8"/>
        <v>0</v>
      </c>
      <c r="M164" s="2">
        <f t="shared" si="9"/>
        <v>0</v>
      </c>
    </row>
    <row r="165" spans="1:13">
      <c r="A165" s="2">
        <v>1125</v>
      </c>
      <c r="B165" s="2">
        <v>51</v>
      </c>
      <c r="C165" s="2" t="s">
        <v>168</v>
      </c>
      <c r="D165">
        <v>2</v>
      </c>
      <c r="E165" s="2" t="s">
        <v>0</v>
      </c>
      <c r="F165" s="3">
        <v>174.76</v>
      </c>
      <c r="G165" s="4">
        <v>1200</v>
      </c>
      <c r="H165">
        <f>IFERROR(VLOOKUP(A165,Usage!L:M,2,FALSE),0)</f>
        <v>466</v>
      </c>
      <c r="I165">
        <v>560</v>
      </c>
      <c r="J165" s="12">
        <f t="shared" si="10"/>
        <v>1.9385738336628771</v>
      </c>
      <c r="K165">
        <f t="shared" si="11"/>
        <v>500.06986421663106</v>
      </c>
      <c r="L165" s="2">
        <f t="shared" si="8"/>
        <v>-59.930135783368939</v>
      </c>
      <c r="M165" s="2">
        <f t="shared" si="9"/>
        <v>-4.9941779819474119E-2</v>
      </c>
    </row>
    <row r="166" spans="1:13">
      <c r="A166" s="2">
        <v>8951</v>
      </c>
      <c r="B166" s="2">
        <v>51</v>
      </c>
      <c r="C166" s="2" t="s">
        <v>169</v>
      </c>
      <c r="D166">
        <v>1</v>
      </c>
      <c r="E166" s="2" t="s">
        <v>17</v>
      </c>
      <c r="F166" s="3">
        <v>59.68</v>
      </c>
      <c r="G166" s="4">
        <v>12</v>
      </c>
      <c r="H166">
        <f>IFERROR(VLOOKUP(A166,Usage!L:M,2,FALSE),0)</f>
        <v>0</v>
      </c>
      <c r="I166">
        <v>0</v>
      </c>
      <c r="J166" s="12">
        <f t="shared" si="10"/>
        <v>0</v>
      </c>
      <c r="K166">
        <f t="shared" si="11"/>
        <v>0</v>
      </c>
      <c r="L166" s="2">
        <f t="shared" si="8"/>
        <v>0</v>
      </c>
      <c r="M166" s="2">
        <f t="shared" si="9"/>
        <v>0</v>
      </c>
    </row>
    <row r="167" spans="1:13">
      <c r="A167" s="2">
        <v>1242</v>
      </c>
      <c r="B167" s="2">
        <v>51</v>
      </c>
      <c r="C167" s="2" t="s">
        <v>170</v>
      </c>
      <c r="D167">
        <v>1</v>
      </c>
      <c r="E167" s="2" t="s">
        <v>0</v>
      </c>
      <c r="F167" s="3">
        <v>299.62</v>
      </c>
      <c r="G167" s="4">
        <v>304</v>
      </c>
      <c r="H167">
        <f>IFERROR(VLOOKUP(A167,Usage!L:M,2,FALSE),0)</f>
        <v>1625</v>
      </c>
      <c r="I167">
        <v>912</v>
      </c>
      <c r="J167" s="12">
        <f t="shared" si="10"/>
        <v>6.7600482397042381</v>
      </c>
      <c r="K167">
        <f t="shared" si="11"/>
        <v>1743.8058569785953</v>
      </c>
      <c r="L167" s="2">
        <f t="shared" si="8"/>
        <v>831.80585697859533</v>
      </c>
      <c r="M167" s="2">
        <f t="shared" si="9"/>
        <v>2.7362034769032739</v>
      </c>
    </row>
    <row r="168" spans="1:13">
      <c r="A168" s="2">
        <v>3647</v>
      </c>
      <c r="B168" s="2">
        <v>51</v>
      </c>
      <c r="C168" s="2" t="s">
        <v>171</v>
      </c>
      <c r="D168">
        <v>1</v>
      </c>
      <c r="E168" s="2" t="s">
        <v>0</v>
      </c>
      <c r="F168" s="3">
        <v>392.8</v>
      </c>
      <c r="G168" s="4">
        <v>416</v>
      </c>
      <c r="H168">
        <f>IFERROR(VLOOKUP(A168,Usage!L:M,2,FALSE),0)</f>
        <v>0</v>
      </c>
      <c r="I168">
        <v>0</v>
      </c>
      <c r="J168" s="12">
        <f t="shared" si="10"/>
        <v>0</v>
      </c>
      <c r="K168">
        <f t="shared" si="11"/>
        <v>0</v>
      </c>
      <c r="L168" s="2">
        <f t="shared" si="8"/>
        <v>0</v>
      </c>
      <c r="M168" s="2">
        <f t="shared" si="9"/>
        <v>0</v>
      </c>
    </row>
    <row r="169" spans="1:13">
      <c r="A169" s="2">
        <v>3648</v>
      </c>
      <c r="B169" s="2">
        <v>51</v>
      </c>
      <c r="C169" s="2" t="s">
        <v>172</v>
      </c>
      <c r="D169">
        <v>1</v>
      </c>
      <c r="E169" s="2" t="s">
        <v>0</v>
      </c>
      <c r="F169" s="3">
        <v>392.7</v>
      </c>
      <c r="G169" s="4">
        <v>296</v>
      </c>
      <c r="H169">
        <f>IFERROR(VLOOKUP(A169,Usage!L:M,2,FALSE),0)</f>
        <v>0</v>
      </c>
      <c r="I169">
        <v>0</v>
      </c>
      <c r="J169" s="12">
        <f t="shared" si="10"/>
        <v>0</v>
      </c>
      <c r="K169">
        <f t="shared" si="11"/>
        <v>0</v>
      </c>
      <c r="L169" s="2">
        <f t="shared" si="8"/>
        <v>0</v>
      </c>
      <c r="M169" s="2">
        <f t="shared" si="9"/>
        <v>0</v>
      </c>
    </row>
    <row r="170" spans="1:13">
      <c r="A170" s="2">
        <v>894</v>
      </c>
      <c r="B170" s="2">
        <v>51</v>
      </c>
      <c r="C170" s="2" t="s">
        <v>173</v>
      </c>
      <c r="D170">
        <v>2</v>
      </c>
      <c r="E170" s="2" t="s">
        <v>0</v>
      </c>
      <c r="F170" s="3">
        <v>204.17</v>
      </c>
      <c r="G170" s="4">
        <v>2000</v>
      </c>
      <c r="H170">
        <f>IFERROR(VLOOKUP(A170,Usage!L:M,2,FALSE),0)</f>
        <v>0</v>
      </c>
      <c r="I170">
        <v>2038</v>
      </c>
      <c r="J170" s="12">
        <f t="shared" si="10"/>
        <v>0</v>
      </c>
      <c r="K170">
        <f t="shared" si="11"/>
        <v>0</v>
      </c>
      <c r="L170" s="2">
        <f t="shared" si="8"/>
        <v>-2038</v>
      </c>
      <c r="M170" s="2">
        <f t="shared" si="9"/>
        <v>-1.0189999999999999</v>
      </c>
    </row>
    <row r="171" spans="1:13">
      <c r="A171" s="2">
        <v>99906</v>
      </c>
      <c r="B171" s="2">
        <v>51</v>
      </c>
      <c r="C171" s="2" t="s">
        <v>174</v>
      </c>
      <c r="D171">
        <v>1</v>
      </c>
      <c r="E171" s="2" t="s">
        <v>0</v>
      </c>
      <c r="F171" s="3">
        <v>139.65</v>
      </c>
      <c r="G171" s="4">
        <v>48</v>
      </c>
      <c r="H171">
        <f>IFERROR(VLOOKUP(A171,Usage!L:M,2,FALSE),0)</f>
        <v>41</v>
      </c>
      <c r="I171">
        <v>103</v>
      </c>
      <c r="J171" s="12">
        <f t="shared" si="10"/>
        <v>0.1705612171248454</v>
      </c>
      <c r="K171">
        <f t="shared" si="11"/>
        <v>43.997563160690717</v>
      </c>
      <c r="L171" s="2">
        <f t="shared" si="8"/>
        <v>-59.002436839309283</v>
      </c>
      <c r="M171" s="2">
        <f t="shared" si="9"/>
        <v>-1.2292174341522768</v>
      </c>
    </row>
    <row r="172" spans="1:13">
      <c r="A172" s="2">
        <v>99907</v>
      </c>
      <c r="B172" s="2">
        <v>51</v>
      </c>
      <c r="C172" s="2" t="s">
        <v>175</v>
      </c>
      <c r="D172">
        <v>1</v>
      </c>
      <c r="E172" s="2" t="s">
        <v>0</v>
      </c>
      <c r="F172" s="3">
        <v>147.97999999999999</v>
      </c>
      <c r="G172" s="4">
        <v>48</v>
      </c>
      <c r="H172">
        <f>IFERROR(VLOOKUP(A172,Usage!L:M,2,FALSE),0)</f>
        <v>57</v>
      </c>
      <c r="I172">
        <v>29</v>
      </c>
      <c r="J172" s="12">
        <f t="shared" si="10"/>
        <v>0.23712169210039483</v>
      </c>
      <c r="K172">
        <f t="shared" si="11"/>
        <v>61.167343906326117</v>
      </c>
      <c r="L172" s="2">
        <f t="shared" si="8"/>
        <v>32.167343906326117</v>
      </c>
      <c r="M172" s="2">
        <f t="shared" si="9"/>
        <v>0.67015299804846074</v>
      </c>
    </row>
    <row r="173" spans="1:13">
      <c r="A173" s="2">
        <v>86</v>
      </c>
      <c r="B173" s="2">
        <v>51</v>
      </c>
      <c r="C173" s="2" t="s">
        <v>176</v>
      </c>
      <c r="D173">
        <v>1</v>
      </c>
      <c r="E173" s="2" t="s">
        <v>0</v>
      </c>
      <c r="F173" s="3">
        <v>62.23</v>
      </c>
      <c r="G173" s="4">
        <v>120</v>
      </c>
      <c r="H173">
        <f>IFERROR(VLOOKUP(A173,Usage!L:M,2,FALSE),0)</f>
        <v>727</v>
      </c>
      <c r="I173">
        <v>579</v>
      </c>
      <c r="J173" s="12">
        <f t="shared" si="10"/>
        <v>3.0243415817015271</v>
      </c>
      <c r="K173">
        <f t="shared" si="11"/>
        <v>780.15191262980852</v>
      </c>
      <c r="L173" s="2">
        <f t="shared" si="8"/>
        <v>201.15191262980852</v>
      </c>
      <c r="M173" s="2">
        <f t="shared" si="9"/>
        <v>1.6762659385817378</v>
      </c>
    </row>
    <row r="174" spans="1:13">
      <c r="A174" s="2">
        <v>10550</v>
      </c>
      <c r="B174" s="2">
        <v>51</v>
      </c>
      <c r="C174" s="2" t="s">
        <v>177</v>
      </c>
      <c r="D174">
        <v>2</v>
      </c>
      <c r="E174" s="2" t="s">
        <v>0</v>
      </c>
      <c r="F174" s="3">
        <v>123.05</v>
      </c>
      <c r="G174" s="4">
        <v>400</v>
      </c>
      <c r="H174">
        <f>IFERROR(VLOOKUP(A174,Usage!L:M,2,FALSE),0)</f>
        <v>470</v>
      </c>
      <c r="I174">
        <v>67</v>
      </c>
      <c r="J174" s="12">
        <f t="shared" si="10"/>
        <v>1.9552139524067644</v>
      </c>
      <c r="K174">
        <f t="shared" si="11"/>
        <v>504.36230940303989</v>
      </c>
      <c r="L174" s="2">
        <f t="shared" si="8"/>
        <v>437.36230940303989</v>
      </c>
      <c r="M174" s="2">
        <f t="shared" si="9"/>
        <v>1.0934057735075997</v>
      </c>
    </row>
    <row r="175" spans="1:13">
      <c r="A175" s="2">
        <v>99988</v>
      </c>
      <c r="B175" s="2">
        <v>51</v>
      </c>
      <c r="C175" s="2" t="s">
        <v>178</v>
      </c>
      <c r="D175">
        <v>4</v>
      </c>
      <c r="E175" s="2" t="s">
        <v>0</v>
      </c>
      <c r="F175" s="3">
        <v>8.94</v>
      </c>
      <c r="G175" s="4">
        <v>300</v>
      </c>
      <c r="H175">
        <f>IFERROR(VLOOKUP(A175,Usage!L:M,2,FALSE),0)</f>
        <v>0</v>
      </c>
      <c r="I175">
        <v>0</v>
      </c>
      <c r="J175" s="12">
        <f t="shared" si="10"/>
        <v>0</v>
      </c>
      <c r="K175">
        <f t="shared" si="11"/>
        <v>0</v>
      </c>
      <c r="L175" s="2">
        <f t="shared" si="8"/>
        <v>0</v>
      </c>
      <c r="M175" s="2">
        <f t="shared" si="9"/>
        <v>0</v>
      </c>
    </row>
    <row r="176" spans="1:13">
      <c r="A176" s="2">
        <v>99989</v>
      </c>
      <c r="B176" s="2">
        <v>51</v>
      </c>
      <c r="C176" s="2" t="s">
        <v>179</v>
      </c>
      <c r="D176">
        <v>4</v>
      </c>
      <c r="E176" s="2" t="s">
        <v>0</v>
      </c>
      <c r="F176" s="3">
        <v>9.25</v>
      </c>
      <c r="G176" s="4">
        <v>2000</v>
      </c>
      <c r="H176">
        <f>IFERROR(VLOOKUP(A176,Usage!L:M,2,FALSE),0)</f>
        <v>0</v>
      </c>
      <c r="I176">
        <v>0</v>
      </c>
      <c r="J176" s="12">
        <f t="shared" si="10"/>
        <v>0</v>
      </c>
      <c r="K176">
        <f t="shared" si="11"/>
        <v>0</v>
      </c>
      <c r="L176" s="2">
        <f t="shared" si="8"/>
        <v>0</v>
      </c>
      <c r="M176" s="2">
        <f t="shared" si="9"/>
        <v>0</v>
      </c>
    </row>
    <row r="177" spans="1:13">
      <c r="A177" s="2">
        <v>10294</v>
      </c>
      <c r="B177" s="2">
        <v>51</v>
      </c>
      <c r="C177" s="2" t="s">
        <v>180</v>
      </c>
      <c r="D177">
        <v>4</v>
      </c>
      <c r="E177" s="2" t="s">
        <v>0</v>
      </c>
      <c r="F177" s="3">
        <v>298.58999999999997</v>
      </c>
      <c r="G177" s="4">
        <v>1000</v>
      </c>
      <c r="H177">
        <f>IFERROR(VLOOKUP(A177,Usage!L:M,2,FALSE),0)</f>
        <v>0</v>
      </c>
      <c r="I177">
        <v>6000</v>
      </c>
      <c r="J177" s="12">
        <f t="shared" si="10"/>
        <v>0</v>
      </c>
      <c r="K177">
        <f t="shared" si="11"/>
        <v>0</v>
      </c>
      <c r="L177" s="2">
        <f t="shared" si="8"/>
        <v>-6000</v>
      </c>
      <c r="M177" s="2">
        <f t="shared" si="9"/>
        <v>-6</v>
      </c>
    </row>
    <row r="178" spans="1:13">
      <c r="A178" s="2">
        <v>99977</v>
      </c>
      <c r="B178" s="2">
        <v>51</v>
      </c>
      <c r="C178" s="2" t="s">
        <v>181</v>
      </c>
      <c r="D178">
        <v>4</v>
      </c>
      <c r="E178" s="2" t="s">
        <v>0</v>
      </c>
      <c r="F178" s="3">
        <v>329.49</v>
      </c>
      <c r="G178" s="4">
        <v>600</v>
      </c>
      <c r="H178">
        <f>IFERROR(VLOOKUP(A178,Usage!L:M,2,FALSE),0)</f>
        <v>0</v>
      </c>
      <c r="I178">
        <v>678</v>
      </c>
      <c r="J178" s="12">
        <f t="shared" si="10"/>
        <v>0</v>
      </c>
      <c r="K178">
        <f t="shared" si="11"/>
        <v>0</v>
      </c>
      <c r="L178" s="2">
        <f t="shared" si="8"/>
        <v>-678</v>
      </c>
      <c r="M178" s="2">
        <f t="shared" si="9"/>
        <v>-1.1299999999999999</v>
      </c>
    </row>
    <row r="179" spans="1:13">
      <c r="A179" s="2">
        <v>99978</v>
      </c>
      <c r="B179" s="2">
        <v>51</v>
      </c>
      <c r="C179" s="2" t="s">
        <v>182</v>
      </c>
      <c r="D179">
        <v>4</v>
      </c>
      <c r="E179" s="2" t="s">
        <v>0</v>
      </c>
      <c r="F179" s="3">
        <v>329.49</v>
      </c>
      <c r="G179" s="4">
        <v>600</v>
      </c>
      <c r="H179">
        <f>IFERROR(VLOOKUP(A179,Usage!L:M,2,FALSE),0)</f>
        <v>0</v>
      </c>
      <c r="I179">
        <v>688</v>
      </c>
      <c r="J179" s="12">
        <f t="shared" si="10"/>
        <v>0</v>
      </c>
      <c r="K179">
        <f t="shared" si="11"/>
        <v>0</v>
      </c>
      <c r="L179" s="2">
        <f t="shared" si="8"/>
        <v>-688</v>
      </c>
      <c r="M179" s="2">
        <f t="shared" si="9"/>
        <v>-1.1466666666666667</v>
      </c>
    </row>
    <row r="180" spans="1:13">
      <c r="A180" s="2">
        <v>99979</v>
      </c>
      <c r="B180" s="2">
        <v>51</v>
      </c>
      <c r="C180" s="2" t="s">
        <v>183</v>
      </c>
      <c r="D180">
        <v>4</v>
      </c>
      <c r="E180" s="2" t="s">
        <v>0</v>
      </c>
      <c r="F180" s="3">
        <v>251.1</v>
      </c>
      <c r="G180" s="4">
        <v>2400</v>
      </c>
      <c r="H180">
        <f>IFERROR(VLOOKUP(A180,Usage!L:M,2,FALSE),0)</f>
        <v>0</v>
      </c>
      <c r="I180">
        <v>1110</v>
      </c>
      <c r="J180" s="12">
        <f t="shared" si="10"/>
        <v>0</v>
      </c>
      <c r="K180">
        <f t="shared" si="11"/>
        <v>0</v>
      </c>
      <c r="L180" s="2">
        <f t="shared" si="8"/>
        <v>-1110</v>
      </c>
      <c r="M180" s="2">
        <f t="shared" si="9"/>
        <v>-0.46250000000000002</v>
      </c>
    </row>
    <row r="181" spans="1:13">
      <c r="A181" s="2">
        <v>99980</v>
      </c>
      <c r="B181" s="2">
        <v>51</v>
      </c>
      <c r="C181" s="2" t="s">
        <v>184</v>
      </c>
      <c r="D181">
        <v>4</v>
      </c>
      <c r="E181" s="2" t="s">
        <v>0</v>
      </c>
      <c r="F181" s="3">
        <v>251.1</v>
      </c>
      <c r="G181" s="4">
        <v>2400</v>
      </c>
      <c r="H181">
        <f>IFERROR(VLOOKUP(A181,Usage!L:M,2,FALSE),0)</f>
        <v>0</v>
      </c>
      <c r="I181">
        <v>1112</v>
      </c>
      <c r="J181" s="12">
        <f t="shared" si="10"/>
        <v>0</v>
      </c>
      <c r="K181">
        <f t="shared" si="11"/>
        <v>0</v>
      </c>
      <c r="L181" s="2">
        <f t="shared" si="8"/>
        <v>-1112</v>
      </c>
      <c r="M181" s="2">
        <f t="shared" si="9"/>
        <v>-0.46333333333333332</v>
      </c>
    </row>
    <row r="182" spans="1:13">
      <c r="A182" s="2">
        <v>99981</v>
      </c>
      <c r="B182" s="2">
        <v>51</v>
      </c>
      <c r="C182" s="2" t="s">
        <v>185</v>
      </c>
      <c r="D182">
        <v>4</v>
      </c>
      <c r="E182" s="2" t="s">
        <v>0</v>
      </c>
      <c r="F182" s="3">
        <v>1486.22</v>
      </c>
      <c r="G182" s="4">
        <v>20000</v>
      </c>
      <c r="H182">
        <f>IFERROR(VLOOKUP(A182,Usage!L:M,2,FALSE),0)</f>
        <v>0</v>
      </c>
      <c r="I182">
        <v>0</v>
      </c>
      <c r="J182" s="12">
        <f t="shared" si="10"/>
        <v>0</v>
      </c>
      <c r="K182">
        <f t="shared" si="11"/>
        <v>0</v>
      </c>
      <c r="L182" s="2">
        <f t="shared" si="8"/>
        <v>0</v>
      </c>
      <c r="M182" s="2">
        <f t="shared" si="9"/>
        <v>0</v>
      </c>
    </row>
    <row r="183" spans="1:13">
      <c r="A183" s="2">
        <v>99982</v>
      </c>
      <c r="B183" s="2">
        <v>51</v>
      </c>
      <c r="C183" s="2" t="s">
        <v>186</v>
      </c>
      <c r="D183">
        <v>4</v>
      </c>
      <c r="E183" s="2" t="s">
        <v>0</v>
      </c>
      <c r="F183" s="3">
        <v>1486.22</v>
      </c>
      <c r="G183" s="4">
        <v>20000</v>
      </c>
      <c r="H183">
        <f>IFERROR(VLOOKUP(A183,Usage!L:M,2,FALSE),0)</f>
        <v>0</v>
      </c>
      <c r="I183">
        <v>0</v>
      </c>
      <c r="J183" s="12">
        <f t="shared" si="10"/>
        <v>0</v>
      </c>
      <c r="K183">
        <f t="shared" si="11"/>
        <v>0</v>
      </c>
      <c r="L183" s="2">
        <f t="shared" si="8"/>
        <v>0</v>
      </c>
      <c r="M183" s="2">
        <f t="shared" si="9"/>
        <v>0</v>
      </c>
    </row>
    <row r="184" spans="1:13">
      <c r="A184" s="2">
        <v>99983</v>
      </c>
      <c r="B184" s="2">
        <v>51</v>
      </c>
      <c r="C184" s="2" t="s">
        <v>187</v>
      </c>
      <c r="D184">
        <v>4</v>
      </c>
      <c r="E184" s="2" t="s">
        <v>0</v>
      </c>
      <c r="F184" s="3">
        <v>443.59</v>
      </c>
      <c r="G184" s="4">
        <v>2000</v>
      </c>
      <c r="H184">
        <f>IFERROR(VLOOKUP(A184,Usage!L:M,2,FALSE),0)</f>
        <v>0</v>
      </c>
      <c r="I184">
        <v>2000</v>
      </c>
      <c r="J184" s="12">
        <f t="shared" si="10"/>
        <v>0</v>
      </c>
      <c r="K184">
        <f t="shared" si="11"/>
        <v>0</v>
      </c>
      <c r="L184" s="2">
        <f t="shared" si="8"/>
        <v>-2000</v>
      </c>
      <c r="M184" s="2">
        <f t="shared" si="9"/>
        <v>-1</v>
      </c>
    </row>
    <row r="185" spans="1:13">
      <c r="A185" s="2">
        <v>99984</v>
      </c>
      <c r="B185" s="2">
        <v>51</v>
      </c>
      <c r="C185" s="2" t="s">
        <v>188</v>
      </c>
      <c r="D185">
        <v>4</v>
      </c>
      <c r="E185" s="2" t="s">
        <v>0</v>
      </c>
      <c r="F185" s="3">
        <v>443.59</v>
      </c>
      <c r="G185" s="4">
        <v>2000</v>
      </c>
      <c r="H185">
        <f>IFERROR(VLOOKUP(A185,Usage!L:M,2,FALSE),0)</f>
        <v>0</v>
      </c>
      <c r="I185">
        <v>2000</v>
      </c>
      <c r="J185" s="12">
        <f t="shared" si="10"/>
        <v>0</v>
      </c>
      <c r="K185">
        <f t="shared" si="11"/>
        <v>0</v>
      </c>
      <c r="L185" s="2">
        <f t="shared" si="8"/>
        <v>-2000</v>
      </c>
      <c r="M185" s="2">
        <f t="shared" si="9"/>
        <v>-1</v>
      </c>
    </row>
    <row r="186" spans="1:13">
      <c r="A186" s="2">
        <v>99985</v>
      </c>
      <c r="B186" s="2">
        <v>51</v>
      </c>
      <c r="C186" s="2" t="s">
        <v>189</v>
      </c>
      <c r="D186">
        <v>4</v>
      </c>
      <c r="E186" s="2" t="s">
        <v>0</v>
      </c>
      <c r="F186" s="3">
        <v>134.13</v>
      </c>
      <c r="G186" s="4">
        <v>600</v>
      </c>
      <c r="H186">
        <f>IFERROR(VLOOKUP(A186,Usage!L:M,2,FALSE),0)</f>
        <v>0</v>
      </c>
      <c r="I186">
        <v>0</v>
      </c>
      <c r="J186" s="12">
        <f t="shared" si="10"/>
        <v>0</v>
      </c>
      <c r="K186">
        <f t="shared" si="11"/>
        <v>0</v>
      </c>
      <c r="L186" s="2">
        <f t="shared" si="8"/>
        <v>0</v>
      </c>
      <c r="M186" s="2">
        <f t="shared" si="9"/>
        <v>0</v>
      </c>
    </row>
    <row r="187" spans="1:13">
      <c r="A187" s="2">
        <v>99990</v>
      </c>
      <c r="B187" s="2">
        <v>51</v>
      </c>
      <c r="C187" s="2" t="s">
        <v>190</v>
      </c>
      <c r="D187">
        <v>4</v>
      </c>
      <c r="E187" s="2" t="s">
        <v>0</v>
      </c>
      <c r="F187" s="3">
        <v>232.14</v>
      </c>
      <c r="G187" s="4">
        <v>600</v>
      </c>
      <c r="H187">
        <f>IFERROR(VLOOKUP(A187,Usage!L:M,2,FALSE),0)</f>
        <v>0</v>
      </c>
      <c r="I187">
        <v>0</v>
      </c>
      <c r="J187" s="12">
        <f t="shared" si="10"/>
        <v>0</v>
      </c>
      <c r="K187">
        <f t="shared" si="11"/>
        <v>0</v>
      </c>
      <c r="L187" s="2">
        <f t="shared" si="8"/>
        <v>0</v>
      </c>
      <c r="M187" s="2">
        <f t="shared" si="9"/>
        <v>0</v>
      </c>
    </row>
    <row r="188" spans="1:13">
      <c r="A188" s="2">
        <v>99991</v>
      </c>
      <c r="B188" s="2">
        <v>51</v>
      </c>
      <c r="C188" s="2" t="s">
        <v>191</v>
      </c>
      <c r="D188">
        <v>4</v>
      </c>
      <c r="E188" s="2" t="s">
        <v>0</v>
      </c>
      <c r="F188" s="3">
        <v>603.32000000000005</v>
      </c>
      <c r="G188" s="4">
        <v>4000</v>
      </c>
      <c r="H188">
        <f>IFERROR(VLOOKUP(A188,Usage!L:M,2,FALSE),0)</f>
        <v>0</v>
      </c>
      <c r="I188">
        <v>0</v>
      </c>
      <c r="J188" s="12">
        <f t="shared" si="10"/>
        <v>0</v>
      </c>
      <c r="K188">
        <f t="shared" si="11"/>
        <v>0</v>
      </c>
      <c r="L188" s="2">
        <f t="shared" si="8"/>
        <v>0</v>
      </c>
      <c r="M188" s="2">
        <f t="shared" si="9"/>
        <v>0</v>
      </c>
    </row>
    <row r="189" spans="1:13">
      <c r="A189" s="2">
        <v>99992</v>
      </c>
      <c r="B189" s="2">
        <v>51</v>
      </c>
      <c r="C189" s="2" t="s">
        <v>192</v>
      </c>
      <c r="D189">
        <v>4</v>
      </c>
      <c r="E189" s="2" t="s">
        <v>0</v>
      </c>
      <c r="F189" s="3">
        <v>603.32000000000005</v>
      </c>
      <c r="G189" s="4">
        <v>4000</v>
      </c>
      <c r="H189">
        <f>IFERROR(VLOOKUP(A189,Usage!L:M,2,FALSE),0)</f>
        <v>0</v>
      </c>
      <c r="I189">
        <v>0</v>
      </c>
      <c r="J189" s="12">
        <f t="shared" si="10"/>
        <v>0</v>
      </c>
      <c r="K189">
        <f t="shared" si="11"/>
        <v>0</v>
      </c>
      <c r="L189" s="2">
        <f t="shared" si="8"/>
        <v>0</v>
      </c>
      <c r="M189" s="2">
        <f t="shared" si="9"/>
        <v>0</v>
      </c>
    </row>
    <row r="190" spans="1:13">
      <c r="A190" s="2">
        <v>99993</v>
      </c>
      <c r="B190" s="2">
        <v>51</v>
      </c>
      <c r="C190" s="2" t="s">
        <v>193</v>
      </c>
      <c r="D190">
        <v>4</v>
      </c>
      <c r="E190" s="2" t="s">
        <v>0</v>
      </c>
      <c r="F190" s="3">
        <v>121.17</v>
      </c>
      <c r="G190" s="4">
        <v>250</v>
      </c>
      <c r="H190">
        <f>IFERROR(VLOOKUP(A190,Usage!L:M,2,FALSE),0)</f>
        <v>0</v>
      </c>
      <c r="I190">
        <v>0</v>
      </c>
      <c r="J190" s="12">
        <f t="shared" si="10"/>
        <v>0</v>
      </c>
      <c r="K190">
        <f t="shared" si="11"/>
        <v>0</v>
      </c>
      <c r="L190" s="2">
        <f t="shared" si="8"/>
        <v>0</v>
      </c>
      <c r="M190" s="2">
        <f t="shared" si="9"/>
        <v>0</v>
      </c>
    </row>
    <row r="191" spans="1:13">
      <c r="A191" s="2">
        <v>99994</v>
      </c>
      <c r="B191" s="2">
        <v>51</v>
      </c>
      <c r="C191" s="2" t="s">
        <v>194</v>
      </c>
      <c r="D191">
        <v>4</v>
      </c>
      <c r="E191" s="2" t="s">
        <v>0</v>
      </c>
      <c r="F191" s="3">
        <v>121.33</v>
      </c>
      <c r="G191" s="4">
        <v>250</v>
      </c>
      <c r="H191">
        <f>IFERROR(VLOOKUP(A191,Usage!L:M,2,FALSE),0)</f>
        <v>0</v>
      </c>
      <c r="I191">
        <v>0</v>
      </c>
      <c r="J191" s="12">
        <f t="shared" si="10"/>
        <v>0</v>
      </c>
      <c r="K191">
        <f t="shared" si="11"/>
        <v>0</v>
      </c>
      <c r="L191" s="2">
        <f t="shared" si="8"/>
        <v>0</v>
      </c>
      <c r="M191" s="2">
        <f t="shared" si="9"/>
        <v>0</v>
      </c>
    </row>
    <row r="192" spans="1:13">
      <c r="A192" s="2">
        <v>99995</v>
      </c>
      <c r="B192" s="2">
        <v>51</v>
      </c>
      <c r="C192" s="2" t="s">
        <v>195</v>
      </c>
      <c r="D192">
        <v>4</v>
      </c>
      <c r="E192" s="2" t="s">
        <v>0</v>
      </c>
      <c r="F192" s="3">
        <v>243.22</v>
      </c>
      <c r="G192" s="4">
        <v>1000</v>
      </c>
      <c r="H192">
        <f>IFERROR(VLOOKUP(A192,Usage!L:M,2,FALSE),0)</f>
        <v>0</v>
      </c>
      <c r="I192">
        <v>0</v>
      </c>
      <c r="J192" s="12">
        <f t="shared" si="10"/>
        <v>0</v>
      </c>
      <c r="K192">
        <f t="shared" si="11"/>
        <v>0</v>
      </c>
      <c r="L192" s="2">
        <f t="shared" si="8"/>
        <v>0</v>
      </c>
      <c r="M192" s="2">
        <f t="shared" si="9"/>
        <v>0</v>
      </c>
    </row>
    <row r="193" spans="1:13">
      <c r="A193" s="2">
        <v>1863</v>
      </c>
      <c r="B193" s="2">
        <v>51</v>
      </c>
      <c r="C193" s="2" t="s">
        <v>196</v>
      </c>
      <c r="D193">
        <v>1</v>
      </c>
      <c r="E193" s="2" t="s">
        <v>0</v>
      </c>
      <c r="F193" s="3">
        <v>447.17</v>
      </c>
      <c r="G193" s="4">
        <v>150</v>
      </c>
      <c r="H193">
        <f>IFERROR(VLOOKUP(A193,Usage!L:M,2,FALSE),0)</f>
        <v>0</v>
      </c>
      <c r="I193">
        <v>0</v>
      </c>
      <c r="J193" s="12">
        <f t="shared" si="10"/>
        <v>0</v>
      </c>
      <c r="K193">
        <f t="shared" si="11"/>
        <v>0</v>
      </c>
      <c r="L193" s="2">
        <f t="shared" si="8"/>
        <v>0</v>
      </c>
      <c r="M193" s="2">
        <f t="shared" si="9"/>
        <v>0</v>
      </c>
    </row>
    <row r="194" spans="1:13">
      <c r="A194" s="2">
        <v>13201</v>
      </c>
      <c r="B194" s="2">
        <v>51</v>
      </c>
      <c r="C194" s="2" t="s">
        <v>197</v>
      </c>
      <c r="D194">
        <v>2</v>
      </c>
      <c r="E194" s="2" t="s">
        <v>0</v>
      </c>
      <c r="F194" s="3">
        <v>42.61</v>
      </c>
      <c r="G194" s="4">
        <v>1000</v>
      </c>
      <c r="H194">
        <f>IFERROR(VLOOKUP(A194,Usage!L:M,2,FALSE),0)</f>
        <v>88</v>
      </c>
      <c r="I194">
        <v>375</v>
      </c>
      <c r="J194" s="12">
        <f t="shared" si="10"/>
        <v>0.36608261236552181</v>
      </c>
      <c r="K194">
        <f t="shared" si="11"/>
        <v>94.433794100994703</v>
      </c>
      <c r="L194" s="2">
        <f t="shared" si="8"/>
        <v>-280.5662058990053</v>
      </c>
      <c r="M194" s="2">
        <f t="shared" si="9"/>
        <v>-0.28056620589900527</v>
      </c>
    </row>
    <row r="195" spans="1:13">
      <c r="A195" s="2">
        <v>5054</v>
      </c>
      <c r="B195" s="2">
        <v>51</v>
      </c>
      <c r="C195" s="2" t="s">
        <v>198</v>
      </c>
      <c r="D195">
        <v>1</v>
      </c>
      <c r="E195" s="2" t="s">
        <v>17</v>
      </c>
      <c r="F195" s="3">
        <v>154.25</v>
      </c>
      <c r="G195" s="4">
        <v>10</v>
      </c>
      <c r="H195">
        <f>IFERROR(VLOOKUP(A195,Usage!L:M,2,FALSE),0)</f>
        <v>93.28</v>
      </c>
      <c r="I195">
        <v>99</v>
      </c>
      <c r="J195" s="12">
        <f t="shared" si="10"/>
        <v>0.38804756910745314</v>
      </c>
      <c r="K195">
        <f t="shared" si="11"/>
        <v>100.09982174705438</v>
      </c>
      <c r="L195" s="2">
        <f t="shared" si="8"/>
        <v>1.0998217470543779</v>
      </c>
      <c r="M195" s="2">
        <f t="shared" si="9"/>
        <v>0.10998217470543778</v>
      </c>
    </row>
    <row r="196" spans="1:13">
      <c r="A196" s="2">
        <v>7301</v>
      </c>
      <c r="B196" s="2">
        <v>51</v>
      </c>
      <c r="C196" s="2" t="s">
        <v>199</v>
      </c>
      <c r="D196">
        <v>2</v>
      </c>
      <c r="E196" s="2" t="s">
        <v>0</v>
      </c>
      <c r="F196" s="3">
        <v>75.150000000000006</v>
      </c>
      <c r="G196" s="4">
        <v>1000</v>
      </c>
      <c r="H196">
        <f>IFERROR(VLOOKUP(A196,Usage!L:M,2,FALSE),0)</f>
        <v>704</v>
      </c>
      <c r="I196">
        <v>1100</v>
      </c>
      <c r="J196" s="12">
        <f t="shared" si="10"/>
        <v>2.9286608989241745</v>
      </c>
      <c r="K196">
        <f t="shared" si="11"/>
        <v>755.47035280795762</v>
      </c>
      <c r="L196" s="2">
        <f t="shared" si="8"/>
        <v>-344.52964719204238</v>
      </c>
      <c r="M196" s="2">
        <f t="shared" si="9"/>
        <v>-0.34452964719204238</v>
      </c>
    </row>
    <row r="197" spans="1:13">
      <c r="A197" s="2">
        <v>1870</v>
      </c>
      <c r="B197" s="2">
        <v>51</v>
      </c>
      <c r="C197" s="2" t="s">
        <v>200</v>
      </c>
      <c r="D197">
        <v>1</v>
      </c>
      <c r="E197" s="2" t="s">
        <v>201</v>
      </c>
      <c r="F197" s="3">
        <v>96.61</v>
      </c>
      <c r="G197" s="4">
        <v>10</v>
      </c>
      <c r="H197">
        <f>IFERROR(VLOOKUP(A197,Usage!L:M,2,FALSE),0)</f>
        <v>0</v>
      </c>
      <c r="I197">
        <v>0</v>
      </c>
      <c r="J197" s="12">
        <f t="shared" si="10"/>
        <v>0</v>
      </c>
      <c r="K197">
        <f t="shared" si="11"/>
        <v>0</v>
      </c>
      <c r="L197" s="2">
        <f t="shared" si="8"/>
        <v>0</v>
      </c>
      <c r="M197" s="2">
        <f t="shared" si="9"/>
        <v>0</v>
      </c>
    </row>
    <row r="198" spans="1:13">
      <c r="A198" s="2">
        <v>3868</v>
      </c>
      <c r="B198" s="2">
        <v>51</v>
      </c>
      <c r="C198" s="2" t="s">
        <v>202</v>
      </c>
      <c r="D198">
        <v>1</v>
      </c>
      <c r="E198" s="2" t="s">
        <v>0</v>
      </c>
      <c r="F198" s="3">
        <v>70.64</v>
      </c>
      <c r="G198" s="4">
        <v>72</v>
      </c>
      <c r="H198">
        <f>IFERROR(VLOOKUP(A198,Usage!L:M,2,FALSE),0)</f>
        <v>0</v>
      </c>
      <c r="I198">
        <v>0</v>
      </c>
      <c r="J198" s="12">
        <f t="shared" si="10"/>
        <v>0</v>
      </c>
      <c r="K198">
        <f t="shared" si="11"/>
        <v>0</v>
      </c>
      <c r="L198" s="2">
        <f t="shared" si="8"/>
        <v>0</v>
      </c>
      <c r="M198" s="2">
        <f t="shared" si="9"/>
        <v>0</v>
      </c>
    </row>
    <row r="199" spans="1:13">
      <c r="A199" s="2">
        <v>14069</v>
      </c>
      <c r="B199" s="2">
        <v>51</v>
      </c>
      <c r="C199" s="2" t="s">
        <v>203</v>
      </c>
      <c r="D199">
        <v>2</v>
      </c>
      <c r="E199" s="2" t="s">
        <v>0</v>
      </c>
      <c r="F199" s="3">
        <v>72.16</v>
      </c>
      <c r="G199" s="4">
        <v>1000</v>
      </c>
      <c r="H199">
        <f>IFERROR(VLOOKUP(A199,Usage!L:M,2,FALSE),0)</f>
        <v>0</v>
      </c>
      <c r="I199">
        <v>0</v>
      </c>
      <c r="J199" s="12">
        <f t="shared" si="10"/>
        <v>0</v>
      </c>
      <c r="K199">
        <f t="shared" si="11"/>
        <v>0</v>
      </c>
      <c r="L199" s="2">
        <f t="shared" si="8"/>
        <v>0</v>
      </c>
      <c r="M199" s="2">
        <f t="shared" si="9"/>
        <v>0</v>
      </c>
    </row>
    <row r="200" spans="1:13">
      <c r="A200" s="2">
        <v>1244</v>
      </c>
      <c r="B200" s="2">
        <v>51</v>
      </c>
      <c r="C200" s="2" t="s">
        <v>204</v>
      </c>
      <c r="D200">
        <v>1</v>
      </c>
      <c r="E200" s="2" t="s">
        <v>0</v>
      </c>
      <c r="F200" s="3">
        <v>505.93</v>
      </c>
      <c r="G200" s="4">
        <v>120</v>
      </c>
      <c r="H200">
        <f>IFERROR(VLOOKUP(A200,Usage!L:M,2,FALSE),0)</f>
        <v>0</v>
      </c>
      <c r="I200">
        <v>0</v>
      </c>
      <c r="J200" s="12">
        <f t="shared" si="10"/>
        <v>0</v>
      </c>
      <c r="K200">
        <f t="shared" si="11"/>
        <v>0</v>
      </c>
      <c r="L200" s="2">
        <f t="shared" si="8"/>
        <v>0</v>
      </c>
      <c r="M200" s="2">
        <f t="shared" si="9"/>
        <v>0</v>
      </c>
    </row>
    <row r="201" spans="1:13">
      <c r="A201" s="2">
        <v>91426</v>
      </c>
      <c r="B201" s="2">
        <v>51</v>
      </c>
      <c r="C201" s="2" t="s">
        <v>205</v>
      </c>
      <c r="D201">
        <v>4</v>
      </c>
      <c r="E201" s="2" t="s">
        <v>0</v>
      </c>
      <c r="F201" s="3">
        <v>349.54</v>
      </c>
      <c r="G201" s="4">
        <v>1500</v>
      </c>
      <c r="H201">
        <f>IFERROR(VLOOKUP(A201,Usage!L:M,2,FALSE),0)</f>
        <v>0</v>
      </c>
      <c r="I201">
        <v>0</v>
      </c>
      <c r="J201" s="12">
        <f t="shared" si="10"/>
        <v>0</v>
      </c>
      <c r="K201">
        <f t="shared" si="11"/>
        <v>0</v>
      </c>
      <c r="L201" s="2">
        <f t="shared" si="8"/>
        <v>0</v>
      </c>
      <c r="M201" s="2">
        <f t="shared" si="9"/>
        <v>0</v>
      </c>
    </row>
    <row r="202" spans="1:13">
      <c r="A202" s="2">
        <v>91427</v>
      </c>
      <c r="B202" s="2">
        <v>51</v>
      </c>
      <c r="C202" s="2" t="s">
        <v>206</v>
      </c>
      <c r="D202">
        <v>4</v>
      </c>
      <c r="E202" s="2" t="s">
        <v>0</v>
      </c>
      <c r="F202" s="3">
        <v>349.54</v>
      </c>
      <c r="G202" s="4">
        <v>1500</v>
      </c>
      <c r="H202">
        <f>IFERROR(VLOOKUP(A202,Usage!L:M,2,FALSE),0)</f>
        <v>0</v>
      </c>
      <c r="I202">
        <v>0</v>
      </c>
      <c r="J202" s="12">
        <f t="shared" si="10"/>
        <v>0</v>
      </c>
      <c r="K202">
        <f t="shared" si="11"/>
        <v>0</v>
      </c>
      <c r="L202" s="2">
        <f t="shared" si="8"/>
        <v>0</v>
      </c>
      <c r="M202" s="2">
        <f t="shared" si="9"/>
        <v>0</v>
      </c>
    </row>
    <row r="203" spans="1:13">
      <c r="A203" s="2">
        <v>2550</v>
      </c>
      <c r="B203" s="2">
        <v>51</v>
      </c>
      <c r="C203" s="2" t="s">
        <v>207</v>
      </c>
      <c r="D203">
        <v>4</v>
      </c>
      <c r="E203" s="2" t="s">
        <v>0</v>
      </c>
      <c r="F203" s="3">
        <v>332.39</v>
      </c>
      <c r="G203" s="4">
        <v>150</v>
      </c>
      <c r="H203">
        <f>IFERROR(VLOOKUP(A203,Usage!L:M,2,FALSE),0)</f>
        <v>93</v>
      </c>
      <c r="I203">
        <v>271</v>
      </c>
      <c r="J203" s="12">
        <f t="shared" si="10"/>
        <v>0.38688276079538103</v>
      </c>
      <c r="K203">
        <f t="shared" si="11"/>
        <v>99.799350584005765</v>
      </c>
      <c r="L203" s="2">
        <f t="shared" si="8"/>
        <v>-171.20064941599423</v>
      </c>
      <c r="M203" s="2">
        <f t="shared" si="9"/>
        <v>-1.141337662773295</v>
      </c>
    </row>
    <row r="204" spans="1:13">
      <c r="A204" s="2">
        <v>406</v>
      </c>
      <c r="B204" s="2">
        <v>51</v>
      </c>
      <c r="C204" s="2" t="s">
        <v>208</v>
      </c>
      <c r="D204">
        <v>1</v>
      </c>
      <c r="E204" s="2" t="s">
        <v>201</v>
      </c>
      <c r="F204" s="3">
        <v>140.76</v>
      </c>
      <c r="G204" s="4">
        <v>12</v>
      </c>
      <c r="H204">
        <f>IFERROR(VLOOKUP(A204,Usage!L:M,2,FALSE),0)</f>
        <v>1.4000000000000001</v>
      </c>
      <c r="I204">
        <v>18</v>
      </c>
      <c r="J204" s="12">
        <f t="shared" si="10"/>
        <v>5.8240415603605751E-3</v>
      </c>
      <c r="K204">
        <f t="shared" si="11"/>
        <v>1.5023558152430976</v>
      </c>
      <c r="L204" s="2">
        <f t="shared" ref="L204:L267" si="12">K204-I204</f>
        <v>-16.497644184756901</v>
      </c>
      <c r="M204" s="2">
        <f t="shared" ref="M204:M267" si="13">L204/G204</f>
        <v>-1.3748036820630751</v>
      </c>
    </row>
    <row r="205" spans="1:13">
      <c r="A205" s="2">
        <v>99914</v>
      </c>
      <c r="B205" s="2">
        <v>51</v>
      </c>
      <c r="C205" s="2" t="s">
        <v>209</v>
      </c>
      <c r="D205">
        <v>1</v>
      </c>
      <c r="E205" s="2" t="s">
        <v>0</v>
      </c>
      <c r="F205" s="3">
        <v>248.77</v>
      </c>
      <c r="G205" s="4">
        <v>60</v>
      </c>
      <c r="H205">
        <f>IFERROR(VLOOKUP(A205,Usage!L:M,2,FALSE),0)</f>
        <v>26</v>
      </c>
      <c r="I205">
        <v>20</v>
      </c>
      <c r="J205" s="12">
        <f t="shared" ref="J205:J268" si="14">H205/($D$5/1000)</f>
        <v>0.10816077183526782</v>
      </c>
      <c r="K205">
        <f t="shared" ref="K205:K268" si="15">J205*($D$8/1000)</f>
        <v>27.900893711657528</v>
      </c>
      <c r="L205" s="2">
        <f t="shared" si="12"/>
        <v>7.9008937116575275</v>
      </c>
      <c r="M205" s="2">
        <f t="shared" si="13"/>
        <v>0.13168156186095878</v>
      </c>
    </row>
    <row r="206" spans="1:13">
      <c r="A206" s="2">
        <v>99915</v>
      </c>
      <c r="B206" s="2">
        <v>51</v>
      </c>
      <c r="C206" s="2" t="s">
        <v>210</v>
      </c>
      <c r="D206">
        <v>1</v>
      </c>
      <c r="E206" s="2" t="s">
        <v>0</v>
      </c>
      <c r="F206" s="3">
        <v>167.67</v>
      </c>
      <c r="G206" s="4">
        <v>60</v>
      </c>
      <c r="H206">
        <f>IFERROR(VLOOKUP(A206,Usage!L:M,2,FALSE),0)</f>
        <v>0</v>
      </c>
      <c r="I206">
        <v>0</v>
      </c>
      <c r="J206" s="12">
        <f t="shared" si="14"/>
        <v>0</v>
      </c>
      <c r="K206">
        <f t="shared" si="15"/>
        <v>0</v>
      </c>
      <c r="L206" s="2">
        <f t="shared" si="12"/>
        <v>0</v>
      </c>
      <c r="M206" s="2">
        <f t="shared" si="13"/>
        <v>0</v>
      </c>
    </row>
    <row r="207" spans="1:13">
      <c r="A207" s="2">
        <v>99916</v>
      </c>
      <c r="B207" s="2">
        <v>51</v>
      </c>
      <c r="C207" s="2" t="s">
        <v>211</v>
      </c>
      <c r="D207">
        <v>1</v>
      </c>
      <c r="E207" s="2" t="s">
        <v>0</v>
      </c>
      <c r="F207" s="3">
        <v>173.77</v>
      </c>
      <c r="G207" s="4">
        <v>70</v>
      </c>
      <c r="H207">
        <f>IFERROR(VLOOKUP(A207,Usage!L:M,2,FALSE),0)</f>
        <v>10</v>
      </c>
      <c r="I207">
        <v>60</v>
      </c>
      <c r="J207" s="12">
        <f t="shared" si="14"/>
        <v>4.1600296859718389E-2</v>
      </c>
      <c r="K207">
        <f t="shared" si="15"/>
        <v>10.731112966022124</v>
      </c>
      <c r="L207" s="2">
        <f t="shared" si="12"/>
        <v>-49.268887033977876</v>
      </c>
      <c r="M207" s="2">
        <f t="shared" si="13"/>
        <v>-0.70384124334254106</v>
      </c>
    </row>
    <row r="208" spans="1:13">
      <c r="A208" s="2">
        <v>7422</v>
      </c>
      <c r="B208" s="2">
        <v>51</v>
      </c>
      <c r="C208" s="2" t="s">
        <v>212</v>
      </c>
      <c r="D208">
        <v>1</v>
      </c>
      <c r="E208" s="2" t="s">
        <v>201</v>
      </c>
      <c r="F208" s="3">
        <v>278.74</v>
      </c>
      <c r="G208" s="4">
        <v>3</v>
      </c>
      <c r="H208">
        <f>IFERROR(VLOOKUP(A208,Usage!L:M,2,FALSE),0)</f>
        <v>0.70000000000000007</v>
      </c>
      <c r="I208">
        <v>3.8</v>
      </c>
      <c r="J208" s="12">
        <f t="shared" si="14"/>
        <v>2.9120207801802875E-3</v>
      </c>
      <c r="K208">
        <f t="shared" si="15"/>
        <v>0.75117790762154879</v>
      </c>
      <c r="L208" s="2">
        <f t="shared" si="12"/>
        <v>-3.048822092378451</v>
      </c>
      <c r="M208" s="2">
        <f t="shared" si="13"/>
        <v>-1.0162740307928171</v>
      </c>
    </row>
    <row r="209" spans="1:13">
      <c r="A209" s="2">
        <v>2601</v>
      </c>
      <c r="B209" s="2">
        <v>51</v>
      </c>
      <c r="C209" s="2" t="s">
        <v>213</v>
      </c>
      <c r="D209">
        <v>1</v>
      </c>
      <c r="E209" s="2" t="s">
        <v>201</v>
      </c>
      <c r="F209" s="3">
        <v>365.95</v>
      </c>
      <c r="G209" s="4">
        <v>3</v>
      </c>
      <c r="H209">
        <f>IFERROR(VLOOKUP(A209,Usage!L:M,2,FALSE),0)</f>
        <v>0.4</v>
      </c>
      <c r="I209">
        <v>2.9</v>
      </c>
      <c r="J209" s="12">
        <f t="shared" si="14"/>
        <v>1.6640118743887356E-3</v>
      </c>
      <c r="K209">
        <f t="shared" si="15"/>
        <v>0.42924451864088503</v>
      </c>
      <c r="L209" s="2">
        <f t="shared" si="12"/>
        <v>-2.4707554813591148</v>
      </c>
      <c r="M209" s="2">
        <f t="shared" si="13"/>
        <v>-0.82358516045303831</v>
      </c>
    </row>
    <row r="210" spans="1:13">
      <c r="A210" s="2">
        <v>7421</v>
      </c>
      <c r="B210" s="2">
        <v>51</v>
      </c>
      <c r="C210" s="2" t="s">
        <v>214</v>
      </c>
      <c r="D210">
        <v>1</v>
      </c>
      <c r="E210" s="2" t="s">
        <v>201</v>
      </c>
      <c r="F210" s="3">
        <v>271.17</v>
      </c>
      <c r="G210" s="4">
        <v>12</v>
      </c>
      <c r="H210">
        <f>IFERROR(VLOOKUP(A210,Usage!L:M,2,FALSE),0)</f>
        <v>0</v>
      </c>
      <c r="I210">
        <v>0</v>
      </c>
      <c r="J210" s="12">
        <f t="shared" si="14"/>
        <v>0</v>
      </c>
      <c r="K210">
        <f t="shared" si="15"/>
        <v>0</v>
      </c>
      <c r="L210" s="2">
        <f t="shared" si="12"/>
        <v>0</v>
      </c>
      <c r="M210" s="2">
        <f t="shared" si="13"/>
        <v>0</v>
      </c>
    </row>
    <row r="211" spans="1:13">
      <c r="A211" s="2">
        <v>3423</v>
      </c>
      <c r="B211" s="2">
        <v>51</v>
      </c>
      <c r="C211" s="2" t="s">
        <v>215</v>
      </c>
      <c r="D211">
        <v>1</v>
      </c>
      <c r="E211" s="2" t="s">
        <v>201</v>
      </c>
      <c r="F211" s="3">
        <v>528.54</v>
      </c>
      <c r="G211" s="4">
        <v>8</v>
      </c>
      <c r="H211">
        <f>IFERROR(VLOOKUP(A211,Usage!L:M,2,FALSE),0)</f>
        <v>0.78999999999999992</v>
      </c>
      <c r="I211">
        <v>2.89</v>
      </c>
      <c r="J211" s="12">
        <f t="shared" si="14"/>
        <v>3.2864234519177525E-3</v>
      </c>
      <c r="K211">
        <f t="shared" si="15"/>
        <v>0.84775792431574781</v>
      </c>
      <c r="L211" s="2">
        <f t="shared" si="12"/>
        <v>-2.0422420756842525</v>
      </c>
      <c r="M211" s="2">
        <f t="shared" si="13"/>
        <v>-0.25528025946053157</v>
      </c>
    </row>
    <row r="212" spans="1:13">
      <c r="A212" s="2">
        <v>99974</v>
      </c>
      <c r="B212" s="2">
        <v>51</v>
      </c>
      <c r="C212" s="2" t="s">
        <v>216</v>
      </c>
      <c r="D212">
        <v>1</v>
      </c>
      <c r="E212" s="2" t="s">
        <v>17</v>
      </c>
      <c r="F212" s="3">
        <v>424.9</v>
      </c>
      <c r="G212" s="4">
        <v>6</v>
      </c>
      <c r="H212">
        <f>IFERROR(VLOOKUP(A212,Usage!L:M,2,FALSE),0)</f>
        <v>0.9</v>
      </c>
      <c r="I212">
        <v>6.8</v>
      </c>
      <c r="J212" s="12">
        <f t="shared" si="14"/>
        <v>3.744026717374655E-3</v>
      </c>
      <c r="K212">
        <f t="shared" si="15"/>
        <v>0.96580016694199122</v>
      </c>
      <c r="L212" s="2">
        <f t="shared" si="12"/>
        <v>-5.8341998330580083</v>
      </c>
      <c r="M212" s="2">
        <f t="shared" si="13"/>
        <v>-0.97236663884300134</v>
      </c>
    </row>
    <row r="213" spans="1:13">
      <c r="A213" s="2">
        <v>45695</v>
      </c>
      <c r="B213" s="2">
        <v>51</v>
      </c>
      <c r="C213" s="2" t="s">
        <v>217</v>
      </c>
      <c r="D213">
        <v>2</v>
      </c>
      <c r="E213" s="2" t="s">
        <v>0</v>
      </c>
      <c r="F213" s="3">
        <v>224.33</v>
      </c>
      <c r="G213" s="4">
        <v>1000</v>
      </c>
      <c r="H213">
        <f>IFERROR(VLOOKUP(A213,Usage!L:M,2,FALSE),0)</f>
        <v>132</v>
      </c>
      <c r="I213">
        <v>473</v>
      </c>
      <c r="J213" s="12">
        <f t="shared" si="14"/>
        <v>0.5491239185482828</v>
      </c>
      <c r="K213">
        <f t="shared" si="15"/>
        <v>141.65069115149205</v>
      </c>
      <c r="L213" s="2">
        <f t="shared" si="12"/>
        <v>-331.34930884850792</v>
      </c>
      <c r="M213" s="2">
        <f t="shared" si="13"/>
        <v>-0.33134930884850794</v>
      </c>
    </row>
    <row r="214" spans="1:13">
      <c r="A214" s="2">
        <v>14198</v>
      </c>
      <c r="B214" s="2">
        <v>51</v>
      </c>
      <c r="C214" s="2" t="s">
        <v>218</v>
      </c>
      <c r="D214">
        <v>2</v>
      </c>
      <c r="E214" s="2" t="s">
        <v>0</v>
      </c>
      <c r="F214" s="3">
        <v>83.09</v>
      </c>
      <c r="G214" s="4">
        <v>1000</v>
      </c>
      <c r="H214">
        <f>IFERROR(VLOOKUP(A214,Usage!L:M,2,FALSE),0)</f>
        <v>23</v>
      </c>
      <c r="I214">
        <v>1677</v>
      </c>
      <c r="J214" s="12">
        <f t="shared" si="14"/>
        <v>9.5680682777352297E-2</v>
      </c>
      <c r="K214">
        <f t="shared" si="15"/>
        <v>24.68155982185089</v>
      </c>
      <c r="L214" s="2">
        <f t="shared" si="12"/>
        <v>-1652.3184401781491</v>
      </c>
      <c r="M214" s="2">
        <f t="shared" si="13"/>
        <v>-1.652318440178149</v>
      </c>
    </row>
    <row r="215" spans="1:13">
      <c r="A215" s="2">
        <v>24737</v>
      </c>
      <c r="B215" s="2">
        <v>51</v>
      </c>
      <c r="C215" s="2" t="s">
        <v>219</v>
      </c>
      <c r="D215">
        <v>2</v>
      </c>
      <c r="E215" s="2" t="s">
        <v>0</v>
      </c>
      <c r="F215" s="3">
        <v>148.27000000000001</v>
      </c>
      <c r="G215" s="4">
        <v>275</v>
      </c>
      <c r="H215">
        <f>IFERROR(VLOOKUP(A215,Usage!L:M,2,FALSE),0)</f>
        <v>0</v>
      </c>
      <c r="I215">
        <v>10</v>
      </c>
      <c r="J215" s="12">
        <f t="shared" si="14"/>
        <v>0</v>
      </c>
      <c r="K215">
        <f t="shared" si="15"/>
        <v>0</v>
      </c>
      <c r="L215" s="2">
        <f t="shared" si="12"/>
        <v>-10</v>
      </c>
      <c r="M215" s="2">
        <f t="shared" si="13"/>
        <v>-3.6363636363636362E-2</v>
      </c>
    </row>
    <row r="216" spans="1:13">
      <c r="A216" s="2">
        <v>24738</v>
      </c>
      <c r="B216" s="2">
        <v>51</v>
      </c>
      <c r="C216" s="2" t="s">
        <v>220</v>
      </c>
      <c r="D216">
        <v>2</v>
      </c>
      <c r="E216" s="2" t="s">
        <v>0</v>
      </c>
      <c r="F216" s="3">
        <v>193.95</v>
      </c>
      <c r="G216" s="4">
        <v>160</v>
      </c>
      <c r="H216">
        <f>IFERROR(VLOOKUP(A216,Usage!L:M,2,FALSE),0)</f>
        <v>0</v>
      </c>
      <c r="I216">
        <v>0</v>
      </c>
      <c r="J216" s="12">
        <f t="shared" si="14"/>
        <v>0</v>
      </c>
      <c r="K216">
        <f t="shared" si="15"/>
        <v>0</v>
      </c>
      <c r="L216" s="2">
        <f t="shared" si="12"/>
        <v>0</v>
      </c>
      <c r="M216" s="2">
        <f t="shared" si="13"/>
        <v>0</v>
      </c>
    </row>
    <row r="217" spans="1:13">
      <c r="A217" s="2">
        <v>22388</v>
      </c>
      <c r="B217" s="2">
        <v>51</v>
      </c>
      <c r="C217" s="2" t="s">
        <v>221</v>
      </c>
      <c r="D217">
        <v>2</v>
      </c>
      <c r="E217" s="2" t="s">
        <v>0</v>
      </c>
      <c r="F217" s="3">
        <v>138.97</v>
      </c>
      <c r="G217" s="4">
        <v>10000</v>
      </c>
      <c r="H217">
        <f>IFERROR(VLOOKUP(A217,Usage!L:M,2,FALSE),0)</f>
        <v>132</v>
      </c>
      <c r="I217">
        <v>7700</v>
      </c>
      <c r="J217" s="12">
        <f t="shared" si="14"/>
        <v>0.5491239185482828</v>
      </c>
      <c r="K217">
        <f t="shared" si="15"/>
        <v>141.65069115149205</v>
      </c>
      <c r="L217" s="2">
        <f t="shared" si="12"/>
        <v>-7558.3493088485084</v>
      </c>
      <c r="M217" s="2">
        <f t="shared" si="13"/>
        <v>-0.75583493088485088</v>
      </c>
    </row>
    <row r="218" spans="1:13">
      <c r="A218" s="2">
        <v>7311</v>
      </c>
      <c r="B218" s="2">
        <v>51</v>
      </c>
      <c r="C218" s="2" t="s">
        <v>222</v>
      </c>
      <c r="D218">
        <v>2</v>
      </c>
      <c r="E218" s="2" t="s">
        <v>0</v>
      </c>
      <c r="F218" s="3">
        <v>193.51</v>
      </c>
      <c r="G218" s="4">
        <v>400</v>
      </c>
      <c r="H218">
        <f>IFERROR(VLOOKUP(A218,Usage!L:M,2,FALSE),0)</f>
        <v>0</v>
      </c>
      <c r="I218">
        <v>0</v>
      </c>
      <c r="J218" s="12">
        <f t="shared" si="14"/>
        <v>0</v>
      </c>
      <c r="K218">
        <f t="shared" si="15"/>
        <v>0</v>
      </c>
      <c r="L218" s="2">
        <f t="shared" si="12"/>
        <v>0</v>
      </c>
      <c r="M218" s="2">
        <f t="shared" si="13"/>
        <v>0</v>
      </c>
    </row>
    <row r="219" spans="1:13">
      <c r="A219" s="2">
        <v>7312</v>
      </c>
      <c r="B219" s="2">
        <v>51</v>
      </c>
      <c r="C219" s="2" t="s">
        <v>223</v>
      </c>
      <c r="D219">
        <v>2</v>
      </c>
      <c r="E219" s="2" t="s">
        <v>0</v>
      </c>
      <c r="F219" s="3">
        <v>202.99</v>
      </c>
      <c r="G219" s="4">
        <v>175</v>
      </c>
      <c r="H219">
        <f>IFERROR(VLOOKUP(A219,Usage!L:M,2,FALSE),0)</f>
        <v>0</v>
      </c>
      <c r="I219">
        <v>225</v>
      </c>
      <c r="J219" s="12">
        <f t="shared" si="14"/>
        <v>0</v>
      </c>
      <c r="K219">
        <f t="shared" si="15"/>
        <v>0</v>
      </c>
      <c r="L219" s="2">
        <f t="shared" si="12"/>
        <v>-225</v>
      </c>
      <c r="M219" s="2">
        <f t="shared" si="13"/>
        <v>-1.2857142857142858</v>
      </c>
    </row>
    <row r="220" spans="1:13">
      <c r="A220" s="2">
        <v>7313</v>
      </c>
      <c r="B220" s="2">
        <v>51</v>
      </c>
      <c r="C220" s="2" t="s">
        <v>224</v>
      </c>
      <c r="D220">
        <v>2</v>
      </c>
      <c r="E220" s="2" t="s">
        <v>0</v>
      </c>
      <c r="F220" s="3">
        <v>105.35</v>
      </c>
      <c r="G220" s="4">
        <v>300</v>
      </c>
      <c r="H220">
        <f>IFERROR(VLOOKUP(A220,Usage!L:M,2,FALSE),0)</f>
        <v>9</v>
      </c>
      <c r="I220">
        <v>330</v>
      </c>
      <c r="J220" s="12">
        <f t="shared" si="14"/>
        <v>3.7440267173746551E-2</v>
      </c>
      <c r="K220">
        <f t="shared" si="15"/>
        <v>9.658001669419912</v>
      </c>
      <c r="L220" s="2">
        <f t="shared" si="12"/>
        <v>-320.34199833058011</v>
      </c>
      <c r="M220" s="2">
        <f t="shared" si="13"/>
        <v>-1.0678066611019337</v>
      </c>
    </row>
    <row r="221" spans="1:13">
      <c r="A221" s="2">
        <v>39852</v>
      </c>
      <c r="B221" s="2">
        <v>51</v>
      </c>
      <c r="C221" s="2" t="s">
        <v>225</v>
      </c>
      <c r="D221">
        <v>2</v>
      </c>
      <c r="E221" s="2" t="s">
        <v>0</v>
      </c>
      <c r="F221" s="3">
        <v>180.22</v>
      </c>
      <c r="G221" s="4">
        <v>4000</v>
      </c>
      <c r="H221">
        <f>IFERROR(VLOOKUP(A221,Usage!L:M,2,FALSE),0)</f>
        <v>0</v>
      </c>
      <c r="I221">
        <v>7000</v>
      </c>
      <c r="J221" s="12">
        <f t="shared" si="14"/>
        <v>0</v>
      </c>
      <c r="K221">
        <f t="shared" si="15"/>
        <v>0</v>
      </c>
      <c r="L221" s="2">
        <f t="shared" si="12"/>
        <v>-7000</v>
      </c>
      <c r="M221" s="2">
        <f t="shared" si="13"/>
        <v>-1.75</v>
      </c>
    </row>
    <row r="222" spans="1:13">
      <c r="A222" s="2">
        <v>5565</v>
      </c>
      <c r="B222" s="2">
        <v>51</v>
      </c>
      <c r="C222" s="2" t="s">
        <v>226</v>
      </c>
      <c r="D222">
        <v>2</v>
      </c>
      <c r="E222" s="2" t="s">
        <v>0</v>
      </c>
      <c r="F222" s="3">
        <v>165.56</v>
      </c>
      <c r="G222" s="4">
        <v>250</v>
      </c>
      <c r="H222">
        <f>IFERROR(VLOOKUP(A222,Usage!L:M,2,FALSE),0)</f>
        <v>0</v>
      </c>
      <c r="I222">
        <v>250</v>
      </c>
      <c r="J222" s="12">
        <f t="shared" si="14"/>
        <v>0</v>
      </c>
      <c r="K222">
        <f t="shared" si="15"/>
        <v>0</v>
      </c>
      <c r="L222" s="2">
        <f t="shared" si="12"/>
        <v>-250</v>
      </c>
      <c r="M222" s="2">
        <f t="shared" si="13"/>
        <v>-1</v>
      </c>
    </row>
    <row r="223" spans="1:13">
      <c r="A223" s="2">
        <v>13229</v>
      </c>
      <c r="B223" s="2">
        <v>51</v>
      </c>
      <c r="C223" s="2" t="s">
        <v>227</v>
      </c>
      <c r="D223">
        <v>2</v>
      </c>
      <c r="E223" s="2" t="s">
        <v>0</v>
      </c>
      <c r="F223" s="3">
        <v>142.49</v>
      </c>
      <c r="G223" s="4">
        <v>500</v>
      </c>
      <c r="H223">
        <f>IFERROR(VLOOKUP(A223,Usage!L:M,2,FALSE),0)</f>
        <v>0</v>
      </c>
      <c r="I223">
        <v>382.5</v>
      </c>
      <c r="J223" s="12">
        <f t="shared" si="14"/>
        <v>0</v>
      </c>
      <c r="K223">
        <f t="shared" si="15"/>
        <v>0</v>
      </c>
      <c r="L223" s="2">
        <f t="shared" si="12"/>
        <v>-382.5</v>
      </c>
      <c r="M223" s="2">
        <f t="shared" si="13"/>
        <v>-0.76500000000000001</v>
      </c>
    </row>
    <row r="224" spans="1:13">
      <c r="A224" s="2">
        <v>10958</v>
      </c>
      <c r="B224" s="2">
        <v>51</v>
      </c>
      <c r="C224" s="2" t="s">
        <v>228</v>
      </c>
      <c r="D224">
        <v>2</v>
      </c>
      <c r="E224" s="2" t="s">
        <v>0</v>
      </c>
      <c r="F224" s="3">
        <v>165.14</v>
      </c>
      <c r="G224" s="4">
        <v>2000</v>
      </c>
      <c r="H224">
        <f>IFERROR(VLOOKUP(A224,Usage!L:M,2,FALSE),0)</f>
        <v>120</v>
      </c>
      <c r="I224">
        <v>3580</v>
      </c>
      <c r="J224" s="12">
        <f t="shared" si="14"/>
        <v>0.49920356231662066</v>
      </c>
      <c r="K224">
        <f t="shared" si="15"/>
        <v>128.77335559226549</v>
      </c>
      <c r="L224" s="2">
        <f t="shared" si="12"/>
        <v>-3451.2266444077345</v>
      </c>
      <c r="M224" s="2">
        <f t="shared" si="13"/>
        <v>-1.7256133222038672</v>
      </c>
    </row>
    <row r="225" spans="1:13">
      <c r="A225" s="2">
        <v>99378</v>
      </c>
      <c r="B225" s="2">
        <v>51</v>
      </c>
      <c r="C225" s="2" t="s">
        <v>229</v>
      </c>
      <c r="D225">
        <v>1</v>
      </c>
      <c r="E225" s="2" t="s">
        <v>201</v>
      </c>
      <c r="F225" s="3">
        <v>238.48</v>
      </c>
      <c r="G225" s="4">
        <v>3</v>
      </c>
      <c r="H225">
        <f>IFERROR(VLOOKUP(A225,Usage!L:M,2,FALSE),0)</f>
        <v>0.6</v>
      </c>
      <c r="I225">
        <v>3.2</v>
      </c>
      <c r="J225" s="12">
        <f t="shared" si="14"/>
        <v>2.4960178115831034E-3</v>
      </c>
      <c r="K225">
        <f t="shared" si="15"/>
        <v>0.64386677796132752</v>
      </c>
      <c r="L225" s="2">
        <f t="shared" si="12"/>
        <v>-2.5561332220386728</v>
      </c>
      <c r="M225" s="2">
        <f t="shared" si="13"/>
        <v>-0.85204440734622422</v>
      </c>
    </row>
    <row r="226" spans="1:13">
      <c r="A226" s="2">
        <v>14430</v>
      </c>
      <c r="B226" s="2">
        <v>51</v>
      </c>
      <c r="C226" s="2" t="s">
        <v>230</v>
      </c>
      <c r="D226">
        <v>1</v>
      </c>
      <c r="E226" s="2" t="s">
        <v>201</v>
      </c>
      <c r="F226" s="3">
        <v>550.14</v>
      </c>
      <c r="G226" s="4">
        <v>10</v>
      </c>
      <c r="H226">
        <f>IFERROR(VLOOKUP(A226,Usage!L:M,2,FALSE),0)</f>
        <v>0.90000000000000013</v>
      </c>
      <c r="I226">
        <v>12.3</v>
      </c>
      <c r="J226" s="12">
        <f t="shared" si="14"/>
        <v>3.7440267173746555E-3</v>
      </c>
      <c r="K226">
        <f t="shared" si="15"/>
        <v>0.96580016694199133</v>
      </c>
      <c r="L226" s="2">
        <f t="shared" si="12"/>
        <v>-11.33419983305801</v>
      </c>
      <c r="M226" s="2">
        <f t="shared" si="13"/>
        <v>-1.133419983305801</v>
      </c>
    </row>
    <row r="227" spans="1:13">
      <c r="A227" s="2">
        <v>99249</v>
      </c>
      <c r="B227" s="2">
        <v>55</v>
      </c>
      <c r="C227" s="2" t="s">
        <v>231</v>
      </c>
      <c r="D227">
        <v>1</v>
      </c>
      <c r="E227" s="2" t="s">
        <v>26</v>
      </c>
      <c r="F227" s="3">
        <v>8.14</v>
      </c>
      <c r="G227" s="4">
        <v>1</v>
      </c>
      <c r="H227">
        <f>IFERROR(VLOOKUP(A227,Usage!L:M,2,FALSE),0)</f>
        <v>0</v>
      </c>
      <c r="I227">
        <v>2</v>
      </c>
      <c r="J227" s="12">
        <f t="shared" si="14"/>
        <v>0</v>
      </c>
      <c r="K227">
        <f t="shared" si="15"/>
        <v>0</v>
      </c>
      <c r="L227" s="2">
        <f t="shared" si="12"/>
        <v>-2</v>
      </c>
      <c r="M227" s="2">
        <f t="shared" si="13"/>
        <v>-2</v>
      </c>
    </row>
    <row r="228" spans="1:13">
      <c r="A228" s="2">
        <v>10598</v>
      </c>
      <c r="B228" s="2">
        <v>51</v>
      </c>
      <c r="C228" s="2" t="s">
        <v>232</v>
      </c>
      <c r="D228">
        <v>1</v>
      </c>
      <c r="E228" s="2" t="s">
        <v>17</v>
      </c>
      <c r="F228" s="3">
        <v>9.3659999999999997</v>
      </c>
      <c r="G228" s="4">
        <v>2</v>
      </c>
      <c r="H228">
        <f>IFERROR(VLOOKUP(A228,Usage!L:M,2,FALSE),0)</f>
        <v>122.00000000000001</v>
      </c>
      <c r="I228">
        <v>86</v>
      </c>
      <c r="J228" s="12">
        <f t="shared" si="14"/>
        <v>0.50752362168856446</v>
      </c>
      <c r="K228">
        <f t="shared" si="15"/>
        <v>130.91957818546996</v>
      </c>
      <c r="L228" s="2">
        <f t="shared" si="12"/>
        <v>44.919578185469959</v>
      </c>
      <c r="M228" s="2">
        <f t="shared" si="13"/>
        <v>22.459789092734979</v>
      </c>
    </row>
    <row r="229" spans="1:13">
      <c r="A229" s="2">
        <v>5939</v>
      </c>
      <c r="B229" s="2">
        <v>51</v>
      </c>
      <c r="C229" s="2" t="s">
        <v>233</v>
      </c>
      <c r="D229">
        <v>1</v>
      </c>
      <c r="E229" s="2" t="s">
        <v>17</v>
      </c>
      <c r="F229" s="3">
        <v>106.33</v>
      </c>
      <c r="G229" s="4">
        <v>3.78</v>
      </c>
      <c r="H229">
        <f>IFERROR(VLOOKUP(A229,Usage!L:M,2,FALSE),0)</f>
        <v>0</v>
      </c>
      <c r="I229">
        <v>0</v>
      </c>
      <c r="J229" s="12">
        <f t="shared" si="14"/>
        <v>0</v>
      </c>
      <c r="K229">
        <f t="shared" si="15"/>
        <v>0</v>
      </c>
      <c r="L229" s="2">
        <f t="shared" si="12"/>
        <v>0</v>
      </c>
      <c r="M229" s="2">
        <f t="shared" si="13"/>
        <v>0</v>
      </c>
    </row>
    <row r="230" spans="1:13">
      <c r="A230" s="2">
        <v>5935</v>
      </c>
      <c r="B230" s="2">
        <v>51</v>
      </c>
      <c r="C230" s="2" t="s">
        <v>234</v>
      </c>
      <c r="D230">
        <v>1</v>
      </c>
      <c r="E230" s="2" t="s">
        <v>17</v>
      </c>
      <c r="F230" s="3">
        <v>95.44</v>
      </c>
      <c r="G230" s="4">
        <v>3.78</v>
      </c>
      <c r="H230">
        <f>IFERROR(VLOOKUP(A230,Usage!L:M,2,FALSE),0)</f>
        <v>0</v>
      </c>
      <c r="I230">
        <v>0</v>
      </c>
      <c r="J230" s="12">
        <f t="shared" si="14"/>
        <v>0</v>
      </c>
      <c r="K230">
        <f t="shared" si="15"/>
        <v>0</v>
      </c>
      <c r="L230" s="2">
        <f t="shared" si="12"/>
        <v>0</v>
      </c>
      <c r="M230" s="2">
        <f t="shared" si="13"/>
        <v>0</v>
      </c>
    </row>
    <row r="231" spans="1:13">
      <c r="A231" s="2">
        <v>8886</v>
      </c>
      <c r="B231" s="2">
        <v>51</v>
      </c>
      <c r="C231" s="2" t="s">
        <v>235</v>
      </c>
      <c r="D231">
        <v>1</v>
      </c>
      <c r="E231" s="2" t="s">
        <v>17</v>
      </c>
      <c r="F231" s="3">
        <v>183.63</v>
      </c>
      <c r="G231" s="4">
        <v>3.78</v>
      </c>
      <c r="H231">
        <f>IFERROR(VLOOKUP(A231,Usage!L:M,2,FALSE),0)</f>
        <v>0</v>
      </c>
      <c r="I231">
        <v>0</v>
      </c>
      <c r="J231" s="12">
        <f t="shared" si="14"/>
        <v>0</v>
      </c>
      <c r="K231">
        <f t="shared" si="15"/>
        <v>0</v>
      </c>
      <c r="L231" s="2">
        <f t="shared" si="12"/>
        <v>0</v>
      </c>
      <c r="M231" s="2">
        <f t="shared" si="13"/>
        <v>0</v>
      </c>
    </row>
    <row r="232" spans="1:13">
      <c r="A232" s="2">
        <v>1494</v>
      </c>
      <c r="B232" s="2">
        <v>51</v>
      </c>
      <c r="C232" s="2" t="s">
        <v>236</v>
      </c>
      <c r="D232">
        <v>1</v>
      </c>
      <c r="E232" s="2" t="s">
        <v>17</v>
      </c>
      <c r="F232" s="3">
        <v>95.44</v>
      </c>
      <c r="G232" s="4">
        <v>3.78</v>
      </c>
      <c r="H232">
        <f>IFERROR(VLOOKUP(A232,Usage!L:M,2,FALSE),0)</f>
        <v>0</v>
      </c>
      <c r="I232">
        <v>0</v>
      </c>
      <c r="J232" s="12">
        <f t="shared" si="14"/>
        <v>0</v>
      </c>
      <c r="K232">
        <f t="shared" si="15"/>
        <v>0</v>
      </c>
      <c r="L232" s="2">
        <f t="shared" si="12"/>
        <v>0</v>
      </c>
      <c r="M232" s="2">
        <f t="shared" si="13"/>
        <v>0</v>
      </c>
    </row>
    <row r="233" spans="1:13">
      <c r="A233" s="2">
        <v>9110</v>
      </c>
      <c r="B233" s="2">
        <v>51</v>
      </c>
      <c r="C233" s="2" t="s">
        <v>237</v>
      </c>
      <c r="D233">
        <v>2</v>
      </c>
      <c r="E233" s="2" t="s">
        <v>0</v>
      </c>
      <c r="F233" s="3">
        <v>182.89</v>
      </c>
      <c r="G233" s="4">
        <v>5000</v>
      </c>
      <c r="H233">
        <f>IFERROR(VLOOKUP(A233,Usage!L:M,2,FALSE),0)</f>
        <v>607</v>
      </c>
      <c r="I233">
        <v>3000</v>
      </c>
      <c r="J233" s="12">
        <f t="shared" si="14"/>
        <v>2.5251380193849062</v>
      </c>
      <c r="K233">
        <f t="shared" si="15"/>
        <v>651.37855703754303</v>
      </c>
      <c r="L233" s="2">
        <f t="shared" si="12"/>
        <v>-2348.621442962457</v>
      </c>
      <c r="M233" s="2">
        <f t="shared" si="13"/>
        <v>-0.46972428859249138</v>
      </c>
    </row>
    <row r="234" spans="1:13">
      <c r="A234" s="2">
        <v>9456</v>
      </c>
      <c r="B234" s="2">
        <v>51</v>
      </c>
      <c r="C234" s="2" t="s">
        <v>238</v>
      </c>
      <c r="D234">
        <v>2</v>
      </c>
      <c r="E234" s="2" t="s">
        <v>0</v>
      </c>
      <c r="F234" s="3">
        <v>284.8</v>
      </c>
      <c r="G234" s="4">
        <v>2100</v>
      </c>
      <c r="H234">
        <f>IFERROR(VLOOKUP(A234,Usage!L:M,2,FALSE),0)</f>
        <v>0</v>
      </c>
      <c r="I234">
        <v>0</v>
      </c>
      <c r="J234" s="12">
        <f t="shared" si="14"/>
        <v>0</v>
      </c>
      <c r="K234">
        <f t="shared" si="15"/>
        <v>0</v>
      </c>
      <c r="L234" s="2">
        <f t="shared" si="12"/>
        <v>0</v>
      </c>
      <c r="M234" s="2">
        <f t="shared" si="13"/>
        <v>0</v>
      </c>
    </row>
    <row r="235" spans="1:13">
      <c r="A235" s="2">
        <v>410</v>
      </c>
      <c r="B235" s="2">
        <v>51</v>
      </c>
      <c r="C235" s="2" t="s">
        <v>239</v>
      </c>
      <c r="D235">
        <v>3</v>
      </c>
      <c r="E235" s="2" t="s">
        <v>0</v>
      </c>
      <c r="F235" s="3">
        <v>214.66</v>
      </c>
      <c r="G235" s="4">
        <v>500</v>
      </c>
      <c r="H235">
        <f>IFERROR(VLOOKUP(A235,Usage!L:M,2,FALSE),0)</f>
        <v>0</v>
      </c>
      <c r="I235">
        <v>1000</v>
      </c>
      <c r="J235" s="12">
        <f t="shared" si="14"/>
        <v>0</v>
      </c>
      <c r="K235">
        <f t="shared" si="15"/>
        <v>0</v>
      </c>
      <c r="L235" s="2">
        <f t="shared" si="12"/>
        <v>-1000</v>
      </c>
      <c r="M235" s="2">
        <f t="shared" si="13"/>
        <v>-2</v>
      </c>
    </row>
    <row r="236" spans="1:13">
      <c r="A236" s="2">
        <v>99996</v>
      </c>
      <c r="B236" s="2">
        <v>51</v>
      </c>
      <c r="C236" s="2" t="s">
        <v>240</v>
      </c>
      <c r="D236">
        <v>4</v>
      </c>
      <c r="E236" s="2" t="s">
        <v>0</v>
      </c>
      <c r="F236" s="3">
        <v>0</v>
      </c>
      <c r="G236" s="4">
        <v>1</v>
      </c>
      <c r="H236">
        <f>IFERROR(VLOOKUP(A236,Usage!L:M,2,FALSE),0)</f>
        <v>0</v>
      </c>
      <c r="I236">
        <v>0</v>
      </c>
      <c r="J236" s="12">
        <f t="shared" si="14"/>
        <v>0</v>
      </c>
      <c r="K236">
        <f t="shared" si="15"/>
        <v>0</v>
      </c>
      <c r="L236" s="2">
        <f t="shared" si="12"/>
        <v>0</v>
      </c>
      <c r="M236" s="2">
        <f t="shared" si="13"/>
        <v>0</v>
      </c>
    </row>
    <row r="237" spans="1:13">
      <c r="A237" s="2">
        <v>91428</v>
      </c>
      <c r="B237" s="2">
        <v>51</v>
      </c>
      <c r="C237" s="2" t="s">
        <v>241</v>
      </c>
      <c r="D237">
        <v>4</v>
      </c>
      <c r="E237" s="2" t="s">
        <v>0</v>
      </c>
      <c r="F237" s="3">
        <v>191.86</v>
      </c>
      <c r="G237" s="4">
        <v>250</v>
      </c>
      <c r="H237">
        <f>IFERROR(VLOOKUP(A237,Usage!L:M,2,FALSE),0)</f>
        <v>0</v>
      </c>
      <c r="I237">
        <v>0</v>
      </c>
      <c r="J237" s="12">
        <f t="shared" si="14"/>
        <v>0</v>
      </c>
      <c r="K237">
        <f t="shared" si="15"/>
        <v>0</v>
      </c>
      <c r="L237" s="2">
        <f t="shared" si="12"/>
        <v>0</v>
      </c>
      <c r="M237" s="2">
        <f t="shared" si="13"/>
        <v>0</v>
      </c>
    </row>
    <row r="238" spans="1:13">
      <c r="A238" s="2">
        <v>91429</v>
      </c>
      <c r="B238" s="2">
        <v>51</v>
      </c>
      <c r="C238" s="2" t="s">
        <v>242</v>
      </c>
      <c r="D238">
        <v>4</v>
      </c>
      <c r="E238" s="2" t="s">
        <v>0</v>
      </c>
      <c r="F238" s="3">
        <v>256.14999999999998</v>
      </c>
      <c r="G238" s="4">
        <v>1000</v>
      </c>
      <c r="H238">
        <f>IFERROR(VLOOKUP(A238,Usage!L:M,2,FALSE),0)</f>
        <v>0</v>
      </c>
      <c r="I238">
        <v>0</v>
      </c>
      <c r="J238" s="12">
        <f t="shared" si="14"/>
        <v>0</v>
      </c>
      <c r="K238">
        <f t="shared" si="15"/>
        <v>0</v>
      </c>
      <c r="L238" s="2">
        <f t="shared" si="12"/>
        <v>0</v>
      </c>
      <c r="M238" s="2">
        <f t="shared" si="13"/>
        <v>0</v>
      </c>
    </row>
    <row r="239" spans="1:13">
      <c r="A239" s="2">
        <v>91430</v>
      </c>
      <c r="B239" s="2">
        <v>51</v>
      </c>
      <c r="C239" s="2" t="s">
        <v>243</v>
      </c>
      <c r="D239">
        <v>4</v>
      </c>
      <c r="E239" s="2" t="s">
        <v>0</v>
      </c>
      <c r="F239" s="3">
        <v>255.43</v>
      </c>
      <c r="G239" s="4">
        <v>1000</v>
      </c>
      <c r="H239">
        <f>IFERROR(VLOOKUP(A239,Usage!L:M,2,FALSE),0)</f>
        <v>0</v>
      </c>
      <c r="I239">
        <v>0</v>
      </c>
      <c r="J239" s="12">
        <f t="shared" si="14"/>
        <v>0</v>
      </c>
      <c r="K239">
        <f t="shared" si="15"/>
        <v>0</v>
      </c>
      <c r="L239" s="2">
        <f t="shared" si="12"/>
        <v>0</v>
      </c>
      <c r="M239" s="2">
        <f t="shared" si="13"/>
        <v>0</v>
      </c>
    </row>
    <row r="240" spans="1:13">
      <c r="A240" s="2">
        <v>91431</v>
      </c>
      <c r="B240" s="2">
        <v>51</v>
      </c>
      <c r="C240" s="2" t="s">
        <v>244</v>
      </c>
      <c r="D240">
        <v>4</v>
      </c>
      <c r="E240" s="2" t="s">
        <v>0</v>
      </c>
      <c r="F240" s="3">
        <v>498.06</v>
      </c>
      <c r="G240" s="4">
        <v>1000</v>
      </c>
      <c r="H240">
        <f>IFERROR(VLOOKUP(A240,Usage!L:M,2,FALSE),0)</f>
        <v>0</v>
      </c>
      <c r="I240">
        <v>0</v>
      </c>
      <c r="J240" s="12">
        <f t="shared" si="14"/>
        <v>0</v>
      </c>
      <c r="K240">
        <f t="shared" si="15"/>
        <v>0</v>
      </c>
      <c r="L240" s="2">
        <f t="shared" si="12"/>
        <v>0</v>
      </c>
      <c r="M240" s="2">
        <f t="shared" si="13"/>
        <v>0</v>
      </c>
    </row>
    <row r="241" spans="1:13">
      <c r="A241" s="2">
        <v>91432</v>
      </c>
      <c r="B241" s="2">
        <v>51</v>
      </c>
      <c r="C241" s="2" t="s">
        <v>245</v>
      </c>
      <c r="D241">
        <v>4</v>
      </c>
      <c r="E241" s="2" t="s">
        <v>0</v>
      </c>
      <c r="F241" s="3">
        <v>284.39</v>
      </c>
      <c r="G241" s="4">
        <v>1000</v>
      </c>
      <c r="H241">
        <f>IFERROR(VLOOKUP(A241,Usage!L:M,2,FALSE),0)</f>
        <v>0</v>
      </c>
      <c r="I241">
        <v>467</v>
      </c>
      <c r="J241" s="12">
        <f t="shared" si="14"/>
        <v>0</v>
      </c>
      <c r="K241">
        <f t="shared" si="15"/>
        <v>0</v>
      </c>
      <c r="L241" s="2">
        <f t="shared" si="12"/>
        <v>-467</v>
      </c>
      <c r="M241" s="2">
        <f t="shared" si="13"/>
        <v>-0.46700000000000003</v>
      </c>
    </row>
    <row r="242" spans="1:13">
      <c r="A242" s="2">
        <v>91433</v>
      </c>
      <c r="B242" s="2">
        <v>51</v>
      </c>
      <c r="C242" s="2" t="s">
        <v>246</v>
      </c>
      <c r="D242">
        <v>4</v>
      </c>
      <c r="E242" s="2" t="s">
        <v>0</v>
      </c>
      <c r="F242" s="3">
        <v>377.09</v>
      </c>
      <c r="G242" s="4">
        <v>1500</v>
      </c>
      <c r="H242">
        <f>IFERROR(VLOOKUP(A242,Usage!L:M,2,FALSE),0)</f>
        <v>0</v>
      </c>
      <c r="I242">
        <v>0</v>
      </c>
      <c r="J242" s="12">
        <f t="shared" si="14"/>
        <v>0</v>
      </c>
      <c r="K242">
        <f t="shared" si="15"/>
        <v>0</v>
      </c>
      <c r="L242" s="2">
        <f t="shared" si="12"/>
        <v>0</v>
      </c>
      <c r="M242" s="2">
        <f t="shared" si="13"/>
        <v>0</v>
      </c>
    </row>
    <row r="243" spans="1:13">
      <c r="A243" s="2">
        <v>11883</v>
      </c>
      <c r="B243" s="2">
        <v>51</v>
      </c>
      <c r="C243" s="2" t="s">
        <v>247</v>
      </c>
      <c r="D243">
        <v>2</v>
      </c>
      <c r="E243" s="2" t="s">
        <v>0</v>
      </c>
      <c r="F243" s="3">
        <v>167.86</v>
      </c>
      <c r="G243" s="4">
        <v>270</v>
      </c>
      <c r="H243">
        <f>IFERROR(VLOOKUP(A243,Usage!L:M,2,FALSE),0)</f>
        <v>32</v>
      </c>
      <c r="I243">
        <v>280</v>
      </c>
      <c r="J243" s="12">
        <f t="shared" si="14"/>
        <v>0.13312094995109885</v>
      </c>
      <c r="K243">
        <f t="shared" si="15"/>
        <v>34.3395614912708</v>
      </c>
      <c r="L243" s="2">
        <f t="shared" si="12"/>
        <v>-245.66043850872921</v>
      </c>
      <c r="M243" s="2">
        <f t="shared" si="13"/>
        <v>-0.90985347595825639</v>
      </c>
    </row>
    <row r="244" spans="1:13">
      <c r="A244" s="2">
        <v>994</v>
      </c>
      <c r="B244" s="2">
        <v>51</v>
      </c>
      <c r="C244" s="2" t="s">
        <v>248</v>
      </c>
      <c r="D244">
        <v>1</v>
      </c>
      <c r="E244" s="2" t="s">
        <v>0</v>
      </c>
      <c r="F244" s="3">
        <v>54.38</v>
      </c>
      <c r="G244" s="4">
        <v>24</v>
      </c>
      <c r="H244">
        <f>IFERROR(VLOOKUP(A244,Usage!L:M,2,FALSE),0)</f>
        <v>0</v>
      </c>
      <c r="I244">
        <v>0</v>
      </c>
      <c r="J244" s="12">
        <f t="shared" si="14"/>
        <v>0</v>
      </c>
      <c r="K244">
        <f t="shared" si="15"/>
        <v>0</v>
      </c>
      <c r="L244" s="2">
        <f t="shared" si="12"/>
        <v>0</v>
      </c>
      <c r="M244" s="2">
        <f t="shared" si="13"/>
        <v>0</v>
      </c>
    </row>
    <row r="245" spans="1:13">
      <c r="A245" s="2">
        <v>995</v>
      </c>
      <c r="B245" s="2">
        <v>51</v>
      </c>
      <c r="C245" s="2" t="s">
        <v>249</v>
      </c>
      <c r="D245">
        <v>1</v>
      </c>
      <c r="E245" s="2" t="s">
        <v>0</v>
      </c>
      <c r="F245" s="3">
        <v>54.38</v>
      </c>
      <c r="G245" s="4">
        <v>24</v>
      </c>
      <c r="H245">
        <f>IFERROR(VLOOKUP(A245,Usage!L:M,2,FALSE),0)</f>
        <v>0</v>
      </c>
      <c r="I245">
        <v>0</v>
      </c>
      <c r="J245" s="12">
        <f t="shared" si="14"/>
        <v>0</v>
      </c>
      <c r="K245">
        <f t="shared" si="15"/>
        <v>0</v>
      </c>
      <c r="L245" s="2">
        <f t="shared" si="12"/>
        <v>0</v>
      </c>
      <c r="M245" s="2">
        <f t="shared" si="13"/>
        <v>0</v>
      </c>
    </row>
    <row r="246" spans="1:13">
      <c r="A246" s="2">
        <v>996</v>
      </c>
      <c r="B246" s="2">
        <v>51</v>
      </c>
      <c r="C246" s="2" t="s">
        <v>250</v>
      </c>
      <c r="D246">
        <v>1</v>
      </c>
      <c r="E246" s="2" t="s">
        <v>0</v>
      </c>
      <c r="F246" s="3">
        <v>54.38</v>
      </c>
      <c r="G246" s="4">
        <v>24</v>
      </c>
      <c r="H246">
        <f>IFERROR(VLOOKUP(A246,Usage!L:M,2,FALSE),0)</f>
        <v>0</v>
      </c>
      <c r="I246">
        <v>0</v>
      </c>
      <c r="J246" s="12">
        <f t="shared" si="14"/>
        <v>0</v>
      </c>
      <c r="K246">
        <f t="shared" si="15"/>
        <v>0</v>
      </c>
      <c r="L246" s="2">
        <f t="shared" si="12"/>
        <v>0</v>
      </c>
      <c r="M246" s="2">
        <f t="shared" si="13"/>
        <v>0</v>
      </c>
    </row>
    <row r="247" spans="1:13">
      <c r="A247" s="2">
        <v>997</v>
      </c>
      <c r="B247" s="2">
        <v>51</v>
      </c>
      <c r="C247" s="2" t="s">
        <v>251</v>
      </c>
      <c r="D247">
        <v>1</v>
      </c>
      <c r="E247" s="2" t="s">
        <v>0</v>
      </c>
      <c r="F247" s="3">
        <v>54.38</v>
      </c>
      <c r="G247" s="4">
        <v>24</v>
      </c>
      <c r="H247">
        <f>IFERROR(VLOOKUP(A247,Usage!L:M,2,FALSE),0)</f>
        <v>0</v>
      </c>
      <c r="I247">
        <v>0</v>
      </c>
      <c r="J247" s="12">
        <f t="shared" si="14"/>
        <v>0</v>
      </c>
      <c r="K247">
        <f t="shared" si="15"/>
        <v>0</v>
      </c>
      <c r="L247" s="2">
        <f t="shared" si="12"/>
        <v>0</v>
      </c>
      <c r="M247" s="2">
        <f t="shared" si="13"/>
        <v>0</v>
      </c>
    </row>
    <row r="248" spans="1:13">
      <c r="A248" s="2">
        <v>1812</v>
      </c>
      <c r="B248" s="2">
        <v>51</v>
      </c>
      <c r="C248" s="2" t="s">
        <v>252</v>
      </c>
      <c r="D248">
        <v>1</v>
      </c>
      <c r="E248" s="2" t="s">
        <v>0</v>
      </c>
      <c r="F248" s="3">
        <v>55.78</v>
      </c>
      <c r="G248" s="4">
        <v>1000</v>
      </c>
      <c r="H248">
        <f>IFERROR(VLOOKUP(A248,Usage!L:M,2,FALSE),0)</f>
        <v>0</v>
      </c>
      <c r="I248">
        <v>3170</v>
      </c>
      <c r="J248" s="12">
        <f t="shared" si="14"/>
        <v>0</v>
      </c>
      <c r="K248">
        <f t="shared" si="15"/>
        <v>0</v>
      </c>
      <c r="L248" s="2">
        <f t="shared" si="12"/>
        <v>-3170</v>
      </c>
      <c r="M248" s="2">
        <f t="shared" si="13"/>
        <v>-3.17</v>
      </c>
    </row>
    <row r="249" spans="1:13">
      <c r="A249" s="2">
        <v>8159</v>
      </c>
      <c r="B249" s="2">
        <v>51</v>
      </c>
      <c r="C249" s="2" t="s">
        <v>253</v>
      </c>
      <c r="D249">
        <v>4</v>
      </c>
      <c r="E249" s="2" t="s">
        <v>0</v>
      </c>
      <c r="F249" s="3">
        <v>39.26</v>
      </c>
      <c r="G249" s="4">
        <v>1</v>
      </c>
      <c r="H249">
        <f>IFERROR(VLOOKUP(A249,Usage!L:M,2,FALSE),0)</f>
        <v>0</v>
      </c>
      <c r="I249">
        <v>0</v>
      </c>
      <c r="J249" s="12">
        <f t="shared" si="14"/>
        <v>0</v>
      </c>
      <c r="K249">
        <f t="shared" si="15"/>
        <v>0</v>
      </c>
      <c r="L249" s="2">
        <f t="shared" si="12"/>
        <v>0</v>
      </c>
      <c r="M249" s="2">
        <f t="shared" si="13"/>
        <v>0</v>
      </c>
    </row>
    <row r="250" spans="1:13">
      <c r="A250" s="2">
        <v>10629</v>
      </c>
      <c r="B250" s="2">
        <v>51</v>
      </c>
      <c r="C250" s="2" t="s">
        <v>254</v>
      </c>
      <c r="D250">
        <v>2</v>
      </c>
      <c r="E250" s="2" t="s">
        <v>0</v>
      </c>
      <c r="F250" s="3">
        <v>97</v>
      </c>
      <c r="G250" s="4">
        <v>1000</v>
      </c>
      <c r="H250">
        <f>IFERROR(VLOOKUP(A250,Usage!L:M,2,FALSE),0)</f>
        <v>130</v>
      </c>
      <c r="I250">
        <v>1781</v>
      </c>
      <c r="J250" s="12">
        <f t="shared" si="14"/>
        <v>0.54080385917633911</v>
      </c>
      <c r="K250">
        <f t="shared" si="15"/>
        <v>139.50446855828764</v>
      </c>
      <c r="L250" s="2">
        <f t="shared" si="12"/>
        <v>-1641.4955314417123</v>
      </c>
      <c r="M250" s="2">
        <f t="shared" si="13"/>
        <v>-1.6414955314417123</v>
      </c>
    </row>
    <row r="251" spans="1:13">
      <c r="A251" s="2">
        <v>110</v>
      </c>
      <c r="B251" s="2">
        <v>51</v>
      </c>
      <c r="C251" s="2" t="s">
        <v>255</v>
      </c>
      <c r="D251">
        <v>2</v>
      </c>
      <c r="E251" s="2" t="s">
        <v>0</v>
      </c>
      <c r="F251" s="3">
        <v>421.33</v>
      </c>
      <c r="G251" s="4">
        <v>2000</v>
      </c>
      <c r="H251">
        <f>IFERROR(VLOOKUP(A251,Usage!L:M,2,FALSE),0)</f>
        <v>189</v>
      </c>
      <c r="I251">
        <v>1350</v>
      </c>
      <c r="J251" s="12">
        <f t="shared" si="14"/>
        <v>0.7862456106486776</v>
      </c>
      <c r="K251">
        <f t="shared" si="15"/>
        <v>202.81803505781818</v>
      </c>
      <c r="L251" s="2">
        <f t="shared" si="12"/>
        <v>-1147.1819649421818</v>
      </c>
      <c r="M251" s="2">
        <f t="shared" si="13"/>
        <v>-0.57359098247109086</v>
      </c>
    </row>
    <row r="252" spans="1:13">
      <c r="A252" s="2">
        <v>15394</v>
      </c>
      <c r="B252" s="2">
        <v>51</v>
      </c>
      <c r="C252" s="2" t="s">
        <v>256</v>
      </c>
      <c r="D252">
        <v>4</v>
      </c>
      <c r="E252" s="2" t="s">
        <v>0</v>
      </c>
      <c r="F252" s="3">
        <v>158.53</v>
      </c>
      <c r="G252" s="4">
        <v>600</v>
      </c>
      <c r="H252">
        <f>IFERROR(VLOOKUP(A252,Usage!L:M,2,FALSE),0)</f>
        <v>0</v>
      </c>
      <c r="I252">
        <v>0</v>
      </c>
      <c r="J252" s="12">
        <f t="shared" si="14"/>
        <v>0</v>
      </c>
      <c r="K252">
        <f t="shared" si="15"/>
        <v>0</v>
      </c>
      <c r="L252" s="2">
        <f t="shared" si="12"/>
        <v>0</v>
      </c>
      <c r="M252" s="2">
        <f t="shared" si="13"/>
        <v>0</v>
      </c>
    </row>
    <row r="253" spans="1:13">
      <c r="A253" s="2">
        <v>15395</v>
      </c>
      <c r="B253" s="2">
        <v>51</v>
      </c>
      <c r="C253" s="2" t="s">
        <v>257</v>
      </c>
      <c r="D253">
        <v>4</v>
      </c>
      <c r="E253" s="2" t="s">
        <v>0</v>
      </c>
      <c r="F253" s="3">
        <v>157.16999999999999</v>
      </c>
      <c r="G253" s="4">
        <v>600</v>
      </c>
      <c r="H253">
        <f>IFERROR(VLOOKUP(A253,Usage!L:M,2,FALSE),0)</f>
        <v>0</v>
      </c>
      <c r="I253">
        <v>0</v>
      </c>
      <c r="J253" s="12">
        <f t="shared" si="14"/>
        <v>0</v>
      </c>
      <c r="K253">
        <f t="shared" si="15"/>
        <v>0</v>
      </c>
      <c r="L253" s="2">
        <f t="shared" si="12"/>
        <v>0</v>
      </c>
      <c r="M253" s="2">
        <f t="shared" si="13"/>
        <v>0</v>
      </c>
    </row>
    <row r="254" spans="1:13">
      <c r="A254" s="2">
        <v>1541</v>
      </c>
      <c r="B254" s="2">
        <v>51</v>
      </c>
      <c r="C254" s="2" t="s">
        <v>258</v>
      </c>
      <c r="D254">
        <v>2</v>
      </c>
      <c r="E254" s="2" t="s">
        <v>0</v>
      </c>
      <c r="F254" s="3">
        <v>85.21</v>
      </c>
      <c r="G254" s="4">
        <v>1000</v>
      </c>
      <c r="H254">
        <f>IFERROR(VLOOKUP(A254,Usage!L:M,2,FALSE),0)</f>
        <v>14</v>
      </c>
      <c r="I254">
        <v>500</v>
      </c>
      <c r="J254" s="12">
        <f t="shared" si="14"/>
        <v>5.8240415603605745E-2</v>
      </c>
      <c r="K254">
        <f t="shared" si="15"/>
        <v>15.023558152430976</v>
      </c>
      <c r="L254" s="2">
        <f t="shared" si="12"/>
        <v>-484.97644184756905</v>
      </c>
      <c r="M254" s="2">
        <f t="shared" si="13"/>
        <v>-0.48497644184756905</v>
      </c>
    </row>
    <row r="255" spans="1:13">
      <c r="A255" s="2">
        <v>4422</v>
      </c>
      <c r="B255" s="2">
        <v>51</v>
      </c>
      <c r="C255" s="2" t="s">
        <v>259</v>
      </c>
      <c r="D255">
        <v>1</v>
      </c>
      <c r="E255" s="2" t="s">
        <v>0</v>
      </c>
      <c r="F255" s="3">
        <v>479.8</v>
      </c>
      <c r="G255" s="4">
        <v>1280</v>
      </c>
      <c r="H255">
        <f>IFERROR(VLOOKUP(A255,Usage!L:M,2,FALSE),0)</f>
        <v>0</v>
      </c>
      <c r="I255">
        <v>0</v>
      </c>
      <c r="J255" s="12">
        <f t="shared" si="14"/>
        <v>0</v>
      </c>
      <c r="K255">
        <f t="shared" si="15"/>
        <v>0</v>
      </c>
      <c r="L255" s="2">
        <f t="shared" si="12"/>
        <v>0</v>
      </c>
      <c r="M255" s="2">
        <f t="shared" si="13"/>
        <v>0</v>
      </c>
    </row>
    <row r="256" spans="1:13">
      <c r="A256" s="2">
        <v>731</v>
      </c>
      <c r="B256" s="2">
        <v>51</v>
      </c>
      <c r="C256" s="2" t="s">
        <v>260</v>
      </c>
      <c r="D256">
        <v>2</v>
      </c>
      <c r="E256" s="2" t="s">
        <v>0</v>
      </c>
      <c r="F256" s="3">
        <v>194.97</v>
      </c>
      <c r="G256" s="4">
        <v>5000</v>
      </c>
      <c r="H256">
        <f>IFERROR(VLOOKUP(A256,Usage!L:M,2,FALSE),0)</f>
        <v>0</v>
      </c>
      <c r="I256">
        <v>0</v>
      </c>
      <c r="J256" s="12">
        <f t="shared" si="14"/>
        <v>0</v>
      </c>
      <c r="K256">
        <f t="shared" si="15"/>
        <v>0</v>
      </c>
      <c r="L256" s="2">
        <f t="shared" si="12"/>
        <v>0</v>
      </c>
      <c r="M256" s="2">
        <f t="shared" si="13"/>
        <v>0</v>
      </c>
    </row>
    <row r="257" spans="1:13">
      <c r="A257" s="2">
        <v>93111</v>
      </c>
      <c r="B257" s="2">
        <v>51</v>
      </c>
      <c r="C257" s="2" t="s">
        <v>261</v>
      </c>
      <c r="D257">
        <v>1</v>
      </c>
      <c r="E257" s="2" t="s">
        <v>201</v>
      </c>
      <c r="F257" s="3">
        <v>96.37</v>
      </c>
      <c r="G257" s="4">
        <v>12</v>
      </c>
      <c r="H257">
        <f>IFERROR(VLOOKUP(A257,Usage!L:M,2,FALSE),0)</f>
        <v>0</v>
      </c>
      <c r="I257">
        <v>0</v>
      </c>
      <c r="J257" s="12">
        <f t="shared" si="14"/>
        <v>0</v>
      </c>
      <c r="K257">
        <f t="shared" si="15"/>
        <v>0</v>
      </c>
      <c r="L257" s="2">
        <f t="shared" si="12"/>
        <v>0</v>
      </c>
      <c r="M257" s="2">
        <f t="shared" si="13"/>
        <v>0</v>
      </c>
    </row>
    <row r="258" spans="1:13">
      <c r="A258" s="2">
        <v>2956</v>
      </c>
      <c r="B258" s="2">
        <v>51</v>
      </c>
      <c r="C258" s="2" t="s">
        <v>262</v>
      </c>
      <c r="D258">
        <v>1</v>
      </c>
      <c r="E258" s="2" t="s">
        <v>201</v>
      </c>
      <c r="F258" s="3">
        <v>235.89</v>
      </c>
      <c r="G258" s="4">
        <v>3</v>
      </c>
      <c r="H258">
        <f>IFERROR(VLOOKUP(A258,Usage!L:M,2,FALSE),0)</f>
        <v>0.30000000000000004</v>
      </c>
      <c r="I258">
        <v>2.5</v>
      </c>
      <c r="J258" s="12">
        <f t="shared" si="14"/>
        <v>1.2480089057915519E-3</v>
      </c>
      <c r="K258">
        <f t="shared" si="15"/>
        <v>0.32193338898066381</v>
      </c>
      <c r="L258" s="2">
        <f t="shared" si="12"/>
        <v>-2.1780666110193363</v>
      </c>
      <c r="M258" s="2">
        <f t="shared" si="13"/>
        <v>-0.7260222036731121</v>
      </c>
    </row>
    <row r="259" spans="1:13">
      <c r="A259" s="2">
        <v>14186</v>
      </c>
      <c r="B259" s="2">
        <v>51</v>
      </c>
      <c r="C259" s="2" t="s">
        <v>263</v>
      </c>
      <c r="D259">
        <v>2</v>
      </c>
      <c r="E259" s="2" t="s">
        <v>0</v>
      </c>
      <c r="F259" s="3">
        <v>395.12</v>
      </c>
      <c r="G259" s="4">
        <v>1000</v>
      </c>
      <c r="H259">
        <f>IFERROR(VLOOKUP(A259,Usage!L:M,2,FALSE),0)</f>
        <v>0</v>
      </c>
      <c r="I259">
        <v>1000</v>
      </c>
      <c r="J259" s="12">
        <f t="shared" si="14"/>
        <v>0</v>
      </c>
      <c r="K259">
        <f t="shared" si="15"/>
        <v>0</v>
      </c>
      <c r="L259" s="2">
        <f t="shared" si="12"/>
        <v>-1000</v>
      </c>
      <c r="M259" s="2">
        <f t="shared" si="13"/>
        <v>-1</v>
      </c>
    </row>
    <row r="260" spans="1:13">
      <c r="A260" s="2">
        <v>99216</v>
      </c>
      <c r="B260" s="2">
        <v>51</v>
      </c>
      <c r="C260" s="2" t="s">
        <v>264</v>
      </c>
      <c r="D260">
        <v>2</v>
      </c>
      <c r="E260" s="2" t="s">
        <v>0</v>
      </c>
      <c r="F260" s="3">
        <v>536.08000000000004</v>
      </c>
      <c r="G260" s="4">
        <v>1000</v>
      </c>
      <c r="H260">
        <f>IFERROR(VLOOKUP(A260,Usage!L:M,2,FALSE),0)</f>
        <v>0</v>
      </c>
      <c r="I260">
        <v>1000</v>
      </c>
      <c r="J260" s="12">
        <f t="shared" si="14"/>
        <v>0</v>
      </c>
      <c r="K260">
        <f t="shared" si="15"/>
        <v>0</v>
      </c>
      <c r="L260" s="2">
        <f t="shared" si="12"/>
        <v>-1000</v>
      </c>
      <c r="M260" s="2">
        <f t="shared" si="13"/>
        <v>-1</v>
      </c>
    </row>
    <row r="261" spans="1:13">
      <c r="A261" s="2">
        <v>15982</v>
      </c>
      <c r="B261" s="2">
        <v>51</v>
      </c>
      <c r="C261" s="2" t="s">
        <v>265</v>
      </c>
      <c r="D261">
        <v>1</v>
      </c>
      <c r="E261" s="2" t="s">
        <v>201</v>
      </c>
      <c r="F261" s="3">
        <v>165.98</v>
      </c>
      <c r="G261" s="4">
        <v>24</v>
      </c>
      <c r="H261">
        <f>IFERROR(VLOOKUP(A261,Usage!L:M,2,FALSE),0)</f>
        <v>10</v>
      </c>
      <c r="I261">
        <v>85</v>
      </c>
      <c r="J261" s="12">
        <f t="shared" si="14"/>
        <v>4.1600296859718389E-2</v>
      </c>
      <c r="K261">
        <f t="shared" si="15"/>
        <v>10.731112966022124</v>
      </c>
      <c r="L261" s="2">
        <f t="shared" si="12"/>
        <v>-74.268887033977876</v>
      </c>
      <c r="M261" s="2">
        <f t="shared" si="13"/>
        <v>-3.0945369597490782</v>
      </c>
    </row>
    <row r="262" spans="1:13">
      <c r="A262" s="2">
        <v>99078</v>
      </c>
      <c r="B262" s="2">
        <v>51</v>
      </c>
      <c r="C262" s="2" t="s">
        <v>266</v>
      </c>
      <c r="D262">
        <v>4</v>
      </c>
      <c r="E262" s="2" t="s">
        <v>0</v>
      </c>
      <c r="F262" s="3">
        <v>225.67</v>
      </c>
      <c r="G262" s="4">
        <v>1000</v>
      </c>
      <c r="H262">
        <f>IFERROR(VLOOKUP(A262,Usage!L:M,2,FALSE),0)</f>
        <v>0</v>
      </c>
      <c r="I262">
        <v>0</v>
      </c>
      <c r="J262" s="12">
        <f t="shared" si="14"/>
        <v>0</v>
      </c>
      <c r="K262">
        <f t="shared" si="15"/>
        <v>0</v>
      </c>
      <c r="L262" s="2">
        <f t="shared" si="12"/>
        <v>0</v>
      </c>
      <c r="M262" s="2">
        <f t="shared" si="13"/>
        <v>0</v>
      </c>
    </row>
    <row r="263" spans="1:13">
      <c r="A263" s="2">
        <v>37089</v>
      </c>
      <c r="B263" s="2">
        <v>51</v>
      </c>
      <c r="C263" s="2" t="s">
        <v>267</v>
      </c>
      <c r="D263">
        <v>4</v>
      </c>
      <c r="E263" s="2"/>
      <c r="F263" s="3">
        <v>17.36</v>
      </c>
      <c r="G263" s="4">
        <v>1</v>
      </c>
      <c r="H263">
        <f>IFERROR(VLOOKUP(A263,Usage!L:M,2,FALSE),0)</f>
        <v>0</v>
      </c>
      <c r="I263">
        <v>0</v>
      </c>
      <c r="J263" s="12">
        <f t="shared" si="14"/>
        <v>0</v>
      </c>
      <c r="K263">
        <f t="shared" si="15"/>
        <v>0</v>
      </c>
      <c r="L263" s="2">
        <f t="shared" si="12"/>
        <v>0</v>
      </c>
      <c r="M263" s="2">
        <f t="shared" si="13"/>
        <v>0</v>
      </c>
    </row>
    <row r="264" spans="1:13">
      <c r="A264" s="2">
        <v>34120</v>
      </c>
      <c r="B264" s="2">
        <v>51</v>
      </c>
      <c r="C264" s="2" t="s">
        <v>268</v>
      </c>
      <c r="D264">
        <v>2</v>
      </c>
      <c r="E264" s="2" t="s">
        <v>0</v>
      </c>
      <c r="F264" s="3">
        <v>143.94</v>
      </c>
      <c r="G264" s="4">
        <v>450</v>
      </c>
      <c r="H264">
        <f>IFERROR(VLOOKUP(A264,Usage!L:M,2,FALSE),0)</f>
        <v>0</v>
      </c>
      <c r="I264">
        <v>0</v>
      </c>
      <c r="J264" s="12">
        <f t="shared" si="14"/>
        <v>0</v>
      </c>
      <c r="K264">
        <f t="shared" si="15"/>
        <v>0</v>
      </c>
      <c r="L264" s="2">
        <f t="shared" si="12"/>
        <v>0</v>
      </c>
      <c r="M264" s="2">
        <f t="shared" si="13"/>
        <v>0</v>
      </c>
    </row>
    <row r="265" spans="1:13">
      <c r="A265" s="2">
        <v>16564</v>
      </c>
      <c r="B265" s="2">
        <v>52</v>
      </c>
      <c r="C265" s="2" t="s">
        <v>269</v>
      </c>
      <c r="D265">
        <v>1</v>
      </c>
      <c r="E265" s="2" t="s">
        <v>0</v>
      </c>
      <c r="F265" s="3">
        <v>99.94</v>
      </c>
      <c r="G265" s="4">
        <v>192</v>
      </c>
      <c r="H265">
        <f>IFERROR(VLOOKUP(A265,Usage!L:M,2,FALSE),0)</f>
        <v>0</v>
      </c>
      <c r="I265">
        <v>0</v>
      </c>
      <c r="J265" s="12">
        <f t="shared" si="14"/>
        <v>0</v>
      </c>
      <c r="K265">
        <f t="shared" si="15"/>
        <v>0</v>
      </c>
      <c r="L265" s="2">
        <f t="shared" si="12"/>
        <v>0</v>
      </c>
      <c r="M265" s="2">
        <f t="shared" si="13"/>
        <v>0</v>
      </c>
    </row>
    <row r="266" spans="1:13">
      <c r="A266" s="2">
        <v>13322</v>
      </c>
      <c r="B266" s="2">
        <v>51</v>
      </c>
      <c r="C266" s="2" t="s">
        <v>270</v>
      </c>
      <c r="D266">
        <v>1</v>
      </c>
      <c r="E266" s="2" t="s">
        <v>0</v>
      </c>
      <c r="F266" s="3">
        <v>237.07</v>
      </c>
      <c r="G266" s="4">
        <v>640</v>
      </c>
      <c r="H266">
        <f>IFERROR(VLOOKUP(A266,Usage!L:M,2,FALSE),0)</f>
        <v>0</v>
      </c>
      <c r="I266">
        <v>0</v>
      </c>
      <c r="J266" s="12">
        <f t="shared" si="14"/>
        <v>0</v>
      </c>
      <c r="K266">
        <f t="shared" si="15"/>
        <v>0</v>
      </c>
      <c r="L266" s="2">
        <f t="shared" si="12"/>
        <v>0</v>
      </c>
      <c r="M266" s="2">
        <f t="shared" si="13"/>
        <v>0</v>
      </c>
    </row>
    <row r="267" spans="1:13">
      <c r="A267" s="2">
        <v>13540</v>
      </c>
      <c r="B267" s="2">
        <v>51</v>
      </c>
      <c r="C267" s="2" t="s">
        <v>271</v>
      </c>
      <c r="D267">
        <v>2</v>
      </c>
      <c r="E267" s="2" t="s">
        <v>0</v>
      </c>
      <c r="F267" s="3">
        <v>136.91</v>
      </c>
      <c r="G267" s="4">
        <v>460</v>
      </c>
      <c r="H267">
        <f>IFERROR(VLOOKUP(A267,Usage!L:M,2,FALSE),0)</f>
        <v>0</v>
      </c>
      <c r="I267">
        <v>0</v>
      </c>
      <c r="J267" s="12">
        <f t="shared" si="14"/>
        <v>0</v>
      </c>
      <c r="K267">
        <f t="shared" si="15"/>
        <v>0</v>
      </c>
      <c r="L267" s="2">
        <f t="shared" si="12"/>
        <v>0</v>
      </c>
      <c r="M267" s="2">
        <f t="shared" si="13"/>
        <v>0</v>
      </c>
    </row>
    <row r="268" spans="1:13">
      <c r="A268" s="2">
        <v>13837</v>
      </c>
      <c r="B268" s="2">
        <v>51</v>
      </c>
      <c r="C268" s="2" t="s">
        <v>272</v>
      </c>
      <c r="D268">
        <v>1</v>
      </c>
      <c r="E268" s="2" t="s">
        <v>15</v>
      </c>
      <c r="F268" s="3">
        <v>209.69</v>
      </c>
      <c r="G268" s="4">
        <v>24</v>
      </c>
      <c r="H268">
        <f>IFERROR(VLOOKUP(A268,Usage!L:M,2,FALSE),0)</f>
        <v>0</v>
      </c>
      <c r="I268">
        <v>0</v>
      </c>
      <c r="J268" s="12">
        <f t="shared" si="14"/>
        <v>0</v>
      </c>
      <c r="K268">
        <f t="shared" si="15"/>
        <v>0</v>
      </c>
      <c r="L268" s="2">
        <f t="shared" ref="L268:L331" si="16">K268-I268</f>
        <v>0</v>
      </c>
      <c r="M268" s="2">
        <f t="shared" ref="M268:M331" si="17">L268/G268</f>
        <v>0</v>
      </c>
    </row>
    <row r="269" spans="1:13">
      <c r="A269" s="2">
        <v>10597</v>
      </c>
      <c r="B269" s="2">
        <v>51</v>
      </c>
      <c r="C269" s="2" t="s">
        <v>273</v>
      </c>
      <c r="D269">
        <v>1</v>
      </c>
      <c r="E269" s="2" t="s">
        <v>17</v>
      </c>
      <c r="F269" s="3">
        <v>6.73</v>
      </c>
      <c r="G269" s="4">
        <v>2</v>
      </c>
      <c r="H269">
        <f>IFERROR(VLOOKUP(A269,Usage!L:M,2,FALSE),0)</f>
        <v>12.4</v>
      </c>
      <c r="I269">
        <v>17</v>
      </c>
      <c r="J269" s="12">
        <f t="shared" ref="J269:J332" si="18">H269/($D$5/1000)</f>
        <v>5.1584368106050806E-2</v>
      </c>
      <c r="K269">
        <f t="shared" ref="K269:K332" si="19">J269*($D$8/1000)</f>
        <v>13.306580077867435</v>
      </c>
      <c r="L269" s="2">
        <f t="shared" si="16"/>
        <v>-3.6934199221325645</v>
      </c>
      <c r="M269" s="2">
        <f t="shared" si="17"/>
        <v>-1.8467099610662823</v>
      </c>
    </row>
    <row r="270" spans="1:13">
      <c r="A270" s="2">
        <v>10596</v>
      </c>
      <c r="B270" s="2">
        <v>51</v>
      </c>
      <c r="C270" s="2" t="s">
        <v>274</v>
      </c>
      <c r="D270">
        <v>1</v>
      </c>
      <c r="E270" s="2" t="s">
        <v>17</v>
      </c>
      <c r="F270" s="3">
        <v>7.75</v>
      </c>
      <c r="G270" s="4">
        <v>1</v>
      </c>
      <c r="H270">
        <f>IFERROR(VLOOKUP(A270,Usage!L:M,2,FALSE),0)</f>
        <v>7</v>
      </c>
      <c r="I270">
        <v>8</v>
      </c>
      <c r="J270" s="12">
        <f t="shared" si="18"/>
        <v>2.9120207801802873E-2</v>
      </c>
      <c r="K270">
        <f t="shared" si="19"/>
        <v>7.5117790762154879</v>
      </c>
      <c r="L270" s="2">
        <f t="shared" si="16"/>
        <v>-0.4882209237845121</v>
      </c>
      <c r="M270" s="2">
        <f t="shared" si="17"/>
        <v>-0.4882209237845121</v>
      </c>
    </row>
    <row r="271" spans="1:13">
      <c r="A271" s="2">
        <v>10595</v>
      </c>
      <c r="B271" s="2">
        <v>51</v>
      </c>
      <c r="C271" s="2" t="s">
        <v>275</v>
      </c>
      <c r="D271">
        <v>1</v>
      </c>
      <c r="E271" s="2" t="s">
        <v>201</v>
      </c>
      <c r="F271" s="3">
        <v>256.33999999999997</v>
      </c>
      <c r="G271" s="4">
        <v>12</v>
      </c>
      <c r="H271">
        <f>IFERROR(VLOOKUP(A271,Usage!L:M,2,FALSE),0)</f>
        <v>4</v>
      </c>
      <c r="I271">
        <v>10</v>
      </c>
      <c r="J271" s="12">
        <f t="shared" si="18"/>
        <v>1.6640118743887357E-2</v>
      </c>
      <c r="K271">
        <f t="shared" si="19"/>
        <v>4.29244518640885</v>
      </c>
      <c r="L271" s="2">
        <f t="shared" si="16"/>
        <v>-5.70755481359115</v>
      </c>
      <c r="M271" s="2">
        <f t="shared" si="17"/>
        <v>-0.47562956779926252</v>
      </c>
    </row>
    <row r="272" spans="1:13">
      <c r="A272" s="2">
        <v>10594</v>
      </c>
      <c r="B272" s="2">
        <v>51</v>
      </c>
      <c r="C272" s="2" t="s">
        <v>276</v>
      </c>
      <c r="D272">
        <v>1</v>
      </c>
      <c r="E272" s="2" t="s">
        <v>17</v>
      </c>
      <c r="F272" s="3">
        <v>273.76</v>
      </c>
      <c r="G272" s="4">
        <v>12</v>
      </c>
      <c r="H272">
        <f>IFERROR(VLOOKUP(A272,Usage!L:M,2,FALSE),0)</f>
        <v>3</v>
      </c>
      <c r="I272">
        <v>8</v>
      </c>
      <c r="J272" s="12">
        <f t="shared" si="18"/>
        <v>1.2480089057915518E-2</v>
      </c>
      <c r="K272">
        <f t="shared" si="19"/>
        <v>3.2193338898066379</v>
      </c>
      <c r="L272" s="2">
        <f t="shared" si="16"/>
        <v>-4.7806661101933621</v>
      </c>
      <c r="M272" s="2">
        <f t="shared" si="17"/>
        <v>-0.39838884251611351</v>
      </c>
    </row>
    <row r="273" spans="1:13">
      <c r="A273" s="2">
        <v>99969</v>
      </c>
      <c r="B273" s="2">
        <v>51</v>
      </c>
      <c r="C273" s="2" t="s">
        <v>277</v>
      </c>
      <c r="D273">
        <v>1</v>
      </c>
      <c r="E273" s="2" t="s">
        <v>0</v>
      </c>
      <c r="F273" s="3">
        <v>146.16</v>
      </c>
      <c r="G273" s="4">
        <v>44</v>
      </c>
      <c r="H273">
        <f>IFERROR(VLOOKUP(A273,Usage!L:M,2,FALSE),0)</f>
        <v>0</v>
      </c>
      <c r="I273">
        <v>0</v>
      </c>
      <c r="J273" s="12">
        <f t="shared" si="18"/>
        <v>0</v>
      </c>
      <c r="K273">
        <f t="shared" si="19"/>
        <v>0</v>
      </c>
      <c r="L273" s="2">
        <f t="shared" si="16"/>
        <v>0</v>
      </c>
      <c r="M273" s="2">
        <f t="shared" si="17"/>
        <v>0</v>
      </c>
    </row>
    <row r="274" spans="1:13">
      <c r="A274" s="2">
        <v>99970</v>
      </c>
      <c r="B274" s="2">
        <v>51</v>
      </c>
      <c r="C274" s="2" t="s">
        <v>278</v>
      </c>
      <c r="D274">
        <v>1</v>
      </c>
      <c r="E274" s="2" t="s">
        <v>0</v>
      </c>
      <c r="F274" s="3">
        <v>118.84</v>
      </c>
      <c r="G274" s="4">
        <v>36</v>
      </c>
      <c r="H274">
        <f>IFERROR(VLOOKUP(A274,Usage!L:M,2,FALSE),0)</f>
        <v>4</v>
      </c>
      <c r="I274">
        <v>4</v>
      </c>
      <c r="J274" s="12">
        <f t="shared" si="18"/>
        <v>1.6640118743887357E-2</v>
      </c>
      <c r="K274">
        <f t="shared" si="19"/>
        <v>4.29244518640885</v>
      </c>
      <c r="L274" s="2">
        <f t="shared" si="16"/>
        <v>0.29244518640884998</v>
      </c>
      <c r="M274" s="2">
        <f t="shared" si="17"/>
        <v>8.1234774002458335E-3</v>
      </c>
    </row>
    <row r="275" spans="1:13">
      <c r="A275" s="2">
        <v>99971</v>
      </c>
      <c r="B275" s="2">
        <v>51</v>
      </c>
      <c r="C275" s="2" t="s">
        <v>279</v>
      </c>
      <c r="D275">
        <v>1</v>
      </c>
      <c r="E275" s="2" t="s">
        <v>0</v>
      </c>
      <c r="F275" s="3">
        <v>133.06</v>
      </c>
      <c r="G275" s="4">
        <v>45</v>
      </c>
      <c r="H275">
        <f>IFERROR(VLOOKUP(A275,Usage!L:M,2,FALSE),0)</f>
        <v>21</v>
      </c>
      <c r="I275">
        <v>11</v>
      </c>
      <c r="J275" s="12">
        <f t="shared" si="18"/>
        <v>8.7360623405408622E-2</v>
      </c>
      <c r="K275">
        <f t="shared" si="19"/>
        <v>22.535337228646465</v>
      </c>
      <c r="L275" s="2">
        <f t="shared" si="16"/>
        <v>11.535337228646465</v>
      </c>
      <c r="M275" s="2">
        <f t="shared" si="17"/>
        <v>0.2563408273032548</v>
      </c>
    </row>
    <row r="276" spans="1:13">
      <c r="A276" s="2">
        <v>99972</v>
      </c>
      <c r="B276" s="2">
        <v>51</v>
      </c>
      <c r="C276" s="2" t="s">
        <v>280</v>
      </c>
      <c r="D276">
        <v>1</v>
      </c>
      <c r="E276" s="2" t="s">
        <v>0</v>
      </c>
      <c r="F276" s="3">
        <v>121.71</v>
      </c>
      <c r="G276" s="4">
        <v>45</v>
      </c>
      <c r="H276">
        <f>IFERROR(VLOOKUP(A276,Usage!L:M,2,FALSE),0)</f>
        <v>0</v>
      </c>
      <c r="I276">
        <v>0</v>
      </c>
      <c r="J276" s="12">
        <f t="shared" si="18"/>
        <v>0</v>
      </c>
      <c r="K276">
        <f t="shared" si="19"/>
        <v>0</v>
      </c>
      <c r="L276" s="2">
        <f t="shared" si="16"/>
        <v>0</v>
      </c>
      <c r="M276" s="2">
        <f t="shared" si="17"/>
        <v>0</v>
      </c>
    </row>
    <row r="277" spans="1:13">
      <c r="A277" s="2">
        <v>17362</v>
      </c>
      <c r="B277" s="2">
        <v>51</v>
      </c>
      <c r="C277" s="2" t="s">
        <v>281</v>
      </c>
      <c r="D277">
        <v>3</v>
      </c>
      <c r="E277" s="2" t="s">
        <v>0</v>
      </c>
      <c r="F277" s="3">
        <v>211.54</v>
      </c>
      <c r="G277" s="4">
        <v>288</v>
      </c>
      <c r="H277">
        <f>IFERROR(VLOOKUP(A277,Usage!L:M,2,FALSE),0)</f>
        <v>0</v>
      </c>
      <c r="I277">
        <v>0</v>
      </c>
      <c r="J277" s="12">
        <f t="shared" si="18"/>
        <v>0</v>
      </c>
      <c r="K277">
        <f t="shared" si="19"/>
        <v>0</v>
      </c>
      <c r="L277" s="2">
        <f t="shared" si="16"/>
        <v>0</v>
      </c>
      <c r="M277" s="2">
        <f t="shared" si="17"/>
        <v>0</v>
      </c>
    </row>
    <row r="278" spans="1:13">
      <c r="A278" s="2">
        <v>17363</v>
      </c>
      <c r="B278" s="2">
        <v>51</v>
      </c>
      <c r="C278" s="2" t="s">
        <v>282</v>
      </c>
      <c r="D278">
        <v>3</v>
      </c>
      <c r="E278" s="2" t="s">
        <v>0</v>
      </c>
      <c r="F278" s="3">
        <v>141.16999999999999</v>
      </c>
      <c r="G278" s="4">
        <v>288</v>
      </c>
      <c r="H278">
        <f>IFERROR(VLOOKUP(A278,Usage!L:M,2,FALSE),0)</f>
        <v>0</v>
      </c>
      <c r="I278">
        <v>2</v>
      </c>
      <c r="J278" s="12">
        <f t="shared" si="18"/>
        <v>0</v>
      </c>
      <c r="K278">
        <f t="shared" si="19"/>
        <v>0</v>
      </c>
      <c r="L278" s="2">
        <f t="shared" si="16"/>
        <v>-2</v>
      </c>
      <c r="M278" s="2">
        <f t="shared" si="17"/>
        <v>-6.9444444444444441E-3</v>
      </c>
    </row>
    <row r="279" spans="1:13">
      <c r="A279" s="2">
        <v>17091</v>
      </c>
      <c r="B279" s="2">
        <v>51</v>
      </c>
      <c r="C279" s="2" t="s">
        <v>283</v>
      </c>
      <c r="D279">
        <v>1</v>
      </c>
      <c r="E279" s="2" t="s">
        <v>201</v>
      </c>
      <c r="F279" s="3">
        <v>532.11</v>
      </c>
      <c r="G279" s="4">
        <v>20</v>
      </c>
      <c r="H279">
        <f>IFERROR(VLOOKUP(A279,Usage!L:M,2,FALSE),0)</f>
        <v>0</v>
      </c>
      <c r="I279">
        <v>0</v>
      </c>
      <c r="J279" s="12">
        <f t="shared" si="18"/>
        <v>0</v>
      </c>
      <c r="K279">
        <f t="shared" si="19"/>
        <v>0</v>
      </c>
      <c r="L279" s="2">
        <f t="shared" si="16"/>
        <v>0</v>
      </c>
      <c r="M279" s="2">
        <f t="shared" si="17"/>
        <v>0</v>
      </c>
    </row>
    <row r="280" spans="1:13">
      <c r="A280" s="2">
        <v>17482</v>
      </c>
      <c r="B280" s="2">
        <v>51</v>
      </c>
      <c r="C280" s="2" t="s">
        <v>284</v>
      </c>
      <c r="D280">
        <v>4</v>
      </c>
      <c r="E280" s="2" t="s">
        <v>0</v>
      </c>
      <c r="F280" s="3">
        <v>560.46</v>
      </c>
      <c r="G280" s="4">
        <v>1500</v>
      </c>
      <c r="H280">
        <f>IFERROR(VLOOKUP(A280,Usage!L:M,2,FALSE),0)</f>
        <v>0</v>
      </c>
      <c r="I280">
        <v>0</v>
      </c>
      <c r="J280" s="12">
        <f t="shared" si="18"/>
        <v>0</v>
      </c>
      <c r="K280">
        <f t="shared" si="19"/>
        <v>0</v>
      </c>
      <c r="L280" s="2">
        <f t="shared" si="16"/>
        <v>0</v>
      </c>
      <c r="M280" s="2">
        <f t="shared" si="17"/>
        <v>0</v>
      </c>
    </row>
    <row r="281" spans="1:13">
      <c r="A281" s="2">
        <v>2591</v>
      </c>
      <c r="B281" s="2">
        <v>51</v>
      </c>
      <c r="C281" s="2" t="s">
        <v>285</v>
      </c>
      <c r="D281">
        <v>3</v>
      </c>
      <c r="E281" s="2" t="s">
        <v>17</v>
      </c>
      <c r="F281" s="3">
        <v>128.15</v>
      </c>
      <c r="G281" s="4">
        <v>16</v>
      </c>
      <c r="H281">
        <f>IFERROR(VLOOKUP(A281,Usage!L:M,2,FALSE),0)</f>
        <v>61</v>
      </c>
      <c r="I281">
        <v>224</v>
      </c>
      <c r="J281" s="12">
        <f t="shared" si="18"/>
        <v>0.25376181084428218</v>
      </c>
      <c r="K281">
        <f t="shared" si="19"/>
        <v>65.459789092734965</v>
      </c>
      <c r="L281" s="2">
        <f t="shared" si="16"/>
        <v>-158.54021090726502</v>
      </c>
      <c r="M281" s="2">
        <f t="shared" si="17"/>
        <v>-9.9087631817040638</v>
      </c>
    </row>
    <row r="282" spans="1:13">
      <c r="A282" s="2">
        <v>17383</v>
      </c>
      <c r="B282" s="2">
        <v>51</v>
      </c>
      <c r="C282" s="2" t="s">
        <v>286</v>
      </c>
      <c r="D282">
        <v>4</v>
      </c>
      <c r="E282" s="2" t="s">
        <v>0</v>
      </c>
      <c r="F282" s="3">
        <v>846.26</v>
      </c>
      <c r="G282" s="4">
        <v>24</v>
      </c>
      <c r="H282">
        <f>IFERROR(VLOOKUP(A282,Usage!L:M,2,FALSE),0)</f>
        <v>0</v>
      </c>
      <c r="I282">
        <v>0</v>
      </c>
      <c r="J282" s="12">
        <f t="shared" si="18"/>
        <v>0</v>
      </c>
      <c r="K282">
        <f t="shared" si="19"/>
        <v>0</v>
      </c>
      <c r="L282" s="2">
        <f t="shared" si="16"/>
        <v>0</v>
      </c>
      <c r="M282" s="2">
        <f t="shared" si="17"/>
        <v>0</v>
      </c>
    </row>
    <row r="283" spans="1:13">
      <c r="A283" s="2">
        <v>17384</v>
      </c>
      <c r="B283" s="2">
        <v>51</v>
      </c>
      <c r="C283" s="2" t="s">
        <v>287</v>
      </c>
      <c r="D283">
        <v>4</v>
      </c>
      <c r="E283" s="2" t="s">
        <v>0</v>
      </c>
      <c r="F283" s="3">
        <v>911.15</v>
      </c>
      <c r="G283" s="4">
        <v>24</v>
      </c>
      <c r="H283">
        <f>IFERROR(VLOOKUP(A283,Usage!L:M,2,FALSE),0)</f>
        <v>0</v>
      </c>
      <c r="I283">
        <v>0</v>
      </c>
      <c r="J283" s="12">
        <f t="shared" si="18"/>
        <v>0</v>
      </c>
      <c r="K283">
        <f t="shared" si="19"/>
        <v>0</v>
      </c>
      <c r="L283" s="2">
        <f t="shared" si="16"/>
        <v>0</v>
      </c>
      <c r="M283" s="2">
        <f t="shared" si="17"/>
        <v>0</v>
      </c>
    </row>
    <row r="284" spans="1:13">
      <c r="A284" s="2">
        <v>17385</v>
      </c>
      <c r="B284" s="2">
        <v>51</v>
      </c>
      <c r="C284" s="2" t="s">
        <v>288</v>
      </c>
      <c r="D284">
        <v>4</v>
      </c>
      <c r="E284" s="2" t="s">
        <v>0</v>
      </c>
      <c r="F284" s="3">
        <v>934.94</v>
      </c>
      <c r="G284" s="4">
        <v>24</v>
      </c>
      <c r="H284">
        <f>IFERROR(VLOOKUP(A284,Usage!L:M,2,FALSE),0)</f>
        <v>3</v>
      </c>
      <c r="I284">
        <v>9</v>
      </c>
      <c r="J284" s="12">
        <f t="shared" si="18"/>
        <v>1.2480089057915518E-2</v>
      </c>
      <c r="K284">
        <f t="shared" si="19"/>
        <v>3.2193338898066379</v>
      </c>
      <c r="L284" s="2">
        <f t="shared" si="16"/>
        <v>-5.7806661101933621</v>
      </c>
      <c r="M284" s="2">
        <f t="shared" si="17"/>
        <v>-0.24086108792472341</v>
      </c>
    </row>
    <row r="285" spans="1:13">
      <c r="A285" s="2">
        <v>6053</v>
      </c>
      <c r="B285" s="2">
        <v>52</v>
      </c>
      <c r="C285" s="2" t="s">
        <v>289</v>
      </c>
      <c r="D285">
        <v>1</v>
      </c>
      <c r="E285" s="2" t="s">
        <v>0</v>
      </c>
      <c r="F285" s="3">
        <v>102.43</v>
      </c>
      <c r="G285" s="4">
        <v>120</v>
      </c>
      <c r="H285">
        <f>IFERROR(VLOOKUP(A285,Usage!L:M,2,FALSE),0)</f>
        <v>0</v>
      </c>
      <c r="I285">
        <v>0</v>
      </c>
      <c r="J285" s="12">
        <f t="shared" si="18"/>
        <v>0</v>
      </c>
      <c r="K285">
        <f t="shared" si="19"/>
        <v>0</v>
      </c>
      <c r="L285" s="2">
        <f t="shared" si="16"/>
        <v>0</v>
      </c>
      <c r="M285" s="2">
        <f t="shared" si="17"/>
        <v>0</v>
      </c>
    </row>
    <row r="286" spans="1:13">
      <c r="A286" s="2">
        <v>5444</v>
      </c>
      <c r="B286" s="2">
        <v>51</v>
      </c>
      <c r="C286" s="2" t="s">
        <v>290</v>
      </c>
      <c r="D286">
        <v>2</v>
      </c>
      <c r="E286" s="2" t="s">
        <v>0</v>
      </c>
      <c r="F286" s="3">
        <v>222.98</v>
      </c>
      <c r="G286" s="4">
        <v>1000</v>
      </c>
      <c r="H286">
        <f>IFERROR(VLOOKUP(A286,Usage!L:M,2,FALSE),0)</f>
        <v>0</v>
      </c>
      <c r="I286">
        <v>0</v>
      </c>
      <c r="J286" s="12">
        <f t="shared" si="18"/>
        <v>0</v>
      </c>
      <c r="K286">
        <f t="shared" si="19"/>
        <v>0</v>
      </c>
      <c r="L286" s="2">
        <f t="shared" si="16"/>
        <v>0</v>
      </c>
      <c r="M286" s="2">
        <f t="shared" si="17"/>
        <v>0</v>
      </c>
    </row>
    <row r="287" spans="1:13">
      <c r="A287" s="2">
        <v>13537</v>
      </c>
      <c r="B287" s="2">
        <v>51</v>
      </c>
      <c r="C287" s="2" t="s">
        <v>291</v>
      </c>
      <c r="D287">
        <v>2</v>
      </c>
      <c r="E287" s="2" t="s">
        <v>0</v>
      </c>
      <c r="F287" s="3">
        <v>168.51</v>
      </c>
      <c r="G287" s="4">
        <v>460</v>
      </c>
      <c r="H287">
        <f>IFERROR(VLOOKUP(A287,Usage!L:M,2,FALSE),0)</f>
        <v>0</v>
      </c>
      <c r="I287">
        <v>0</v>
      </c>
      <c r="J287" s="12">
        <f t="shared" si="18"/>
        <v>0</v>
      </c>
      <c r="K287">
        <f t="shared" si="19"/>
        <v>0</v>
      </c>
      <c r="L287" s="2">
        <f t="shared" si="16"/>
        <v>0</v>
      </c>
      <c r="M287" s="2">
        <f t="shared" si="17"/>
        <v>0</v>
      </c>
    </row>
    <row r="288" spans="1:13">
      <c r="A288" s="2">
        <v>17588</v>
      </c>
      <c r="B288" s="2">
        <v>51</v>
      </c>
      <c r="C288" s="2" t="s">
        <v>292</v>
      </c>
      <c r="D288">
        <v>4</v>
      </c>
      <c r="E288" s="2" t="s">
        <v>0</v>
      </c>
      <c r="F288" s="3">
        <v>2456.4299999999998</v>
      </c>
      <c r="G288" s="4">
        <v>1200</v>
      </c>
      <c r="H288">
        <f>IFERROR(VLOOKUP(A288,Usage!L:M,2,FALSE),0)</f>
        <v>0</v>
      </c>
      <c r="I288">
        <v>0</v>
      </c>
      <c r="J288" s="12">
        <f t="shared" si="18"/>
        <v>0</v>
      </c>
      <c r="K288">
        <f t="shared" si="19"/>
        <v>0</v>
      </c>
      <c r="L288" s="2">
        <f t="shared" si="16"/>
        <v>0</v>
      </c>
      <c r="M288" s="2">
        <f t="shared" si="17"/>
        <v>0</v>
      </c>
    </row>
    <row r="289" spans="1:13">
      <c r="A289" s="2">
        <v>17849</v>
      </c>
      <c r="B289" s="2">
        <v>51</v>
      </c>
      <c r="C289" s="2" t="s">
        <v>293</v>
      </c>
      <c r="D289">
        <v>4</v>
      </c>
      <c r="E289" s="2" t="s">
        <v>0</v>
      </c>
      <c r="F289" s="3">
        <v>561.72</v>
      </c>
      <c r="G289" s="4">
        <v>1500</v>
      </c>
      <c r="H289">
        <f>IFERROR(VLOOKUP(A289,Usage!L:M,2,FALSE),0)</f>
        <v>0</v>
      </c>
      <c r="I289">
        <v>0</v>
      </c>
      <c r="J289" s="12">
        <f t="shared" si="18"/>
        <v>0</v>
      </c>
      <c r="K289">
        <f t="shared" si="19"/>
        <v>0</v>
      </c>
      <c r="L289" s="2">
        <f t="shared" si="16"/>
        <v>0</v>
      </c>
      <c r="M289" s="2">
        <f t="shared" si="17"/>
        <v>0</v>
      </c>
    </row>
    <row r="290" spans="1:13">
      <c r="A290" s="2">
        <v>4607</v>
      </c>
      <c r="B290" s="2">
        <v>51</v>
      </c>
      <c r="C290" s="2" t="s">
        <v>294</v>
      </c>
      <c r="D290">
        <v>2</v>
      </c>
      <c r="E290" s="2" t="s">
        <v>0</v>
      </c>
      <c r="F290" s="3">
        <v>274.26</v>
      </c>
      <c r="G290" s="4">
        <v>1500</v>
      </c>
      <c r="H290">
        <f>IFERROR(VLOOKUP(A290,Usage!L:M,2,FALSE),0)</f>
        <v>176</v>
      </c>
      <c r="I290">
        <v>4200</v>
      </c>
      <c r="J290" s="12">
        <f t="shared" si="18"/>
        <v>0.73216522473104362</v>
      </c>
      <c r="K290">
        <f t="shared" si="19"/>
        <v>188.86758820198941</v>
      </c>
      <c r="L290" s="2">
        <f t="shared" si="16"/>
        <v>-4011.1324117980107</v>
      </c>
      <c r="M290" s="2">
        <f t="shared" si="17"/>
        <v>-2.6740882745320071</v>
      </c>
    </row>
    <row r="291" spans="1:13">
      <c r="A291" s="2">
        <v>17774</v>
      </c>
      <c r="B291" s="2">
        <v>51</v>
      </c>
      <c r="C291" s="2" t="s">
        <v>295</v>
      </c>
      <c r="D291">
        <v>1</v>
      </c>
      <c r="E291" s="2" t="s">
        <v>0</v>
      </c>
      <c r="F291" s="3">
        <v>321.93</v>
      </c>
      <c r="G291" s="4">
        <v>2000</v>
      </c>
      <c r="H291">
        <f>IFERROR(VLOOKUP(A291,Usage!L:M,2,FALSE),0)</f>
        <v>0</v>
      </c>
      <c r="I291">
        <v>0</v>
      </c>
      <c r="J291" s="12">
        <f t="shared" si="18"/>
        <v>0</v>
      </c>
      <c r="K291">
        <f t="shared" si="19"/>
        <v>0</v>
      </c>
      <c r="L291" s="2">
        <f t="shared" si="16"/>
        <v>0</v>
      </c>
      <c r="M291" s="2">
        <f t="shared" si="17"/>
        <v>0</v>
      </c>
    </row>
    <row r="292" spans="1:13">
      <c r="A292" s="2">
        <v>7969</v>
      </c>
      <c r="B292" s="2">
        <v>51</v>
      </c>
      <c r="C292" s="2" t="s">
        <v>296</v>
      </c>
      <c r="D292">
        <v>1</v>
      </c>
      <c r="E292" s="2" t="s">
        <v>0</v>
      </c>
      <c r="F292" s="3">
        <v>127.66</v>
      </c>
      <c r="G292" s="4">
        <v>25</v>
      </c>
      <c r="H292">
        <f>IFERROR(VLOOKUP(A292,Usage!L:M,2,FALSE),0)</f>
        <v>0</v>
      </c>
      <c r="I292">
        <v>0</v>
      </c>
      <c r="J292" s="12">
        <f t="shared" si="18"/>
        <v>0</v>
      </c>
      <c r="K292">
        <f t="shared" si="19"/>
        <v>0</v>
      </c>
      <c r="L292" s="2">
        <f t="shared" si="16"/>
        <v>0</v>
      </c>
      <c r="M292" s="2">
        <f t="shared" si="17"/>
        <v>0</v>
      </c>
    </row>
    <row r="293" spans="1:13">
      <c r="A293" s="2">
        <v>4027</v>
      </c>
      <c r="B293" s="2">
        <v>51</v>
      </c>
      <c r="C293" s="2" t="s">
        <v>297</v>
      </c>
      <c r="D293">
        <v>1</v>
      </c>
      <c r="E293" s="2" t="s">
        <v>0</v>
      </c>
      <c r="F293" s="3">
        <v>122.67</v>
      </c>
      <c r="G293" s="4">
        <v>25</v>
      </c>
      <c r="H293">
        <f>IFERROR(VLOOKUP(A293,Usage!L:M,2,FALSE),0)</f>
        <v>0</v>
      </c>
      <c r="I293">
        <v>0</v>
      </c>
      <c r="J293" s="12">
        <f t="shared" si="18"/>
        <v>0</v>
      </c>
      <c r="K293">
        <f t="shared" si="19"/>
        <v>0</v>
      </c>
      <c r="L293" s="2">
        <f t="shared" si="16"/>
        <v>0</v>
      </c>
      <c r="M293" s="2">
        <f t="shared" si="17"/>
        <v>0</v>
      </c>
    </row>
    <row r="294" spans="1:13">
      <c r="A294" s="2">
        <v>5163</v>
      </c>
      <c r="B294" s="2">
        <v>51</v>
      </c>
      <c r="C294" s="2" t="s">
        <v>298</v>
      </c>
      <c r="D294">
        <v>1</v>
      </c>
      <c r="E294" s="2" t="s">
        <v>0</v>
      </c>
      <c r="F294" s="3">
        <v>359.41</v>
      </c>
      <c r="G294" s="4">
        <v>200</v>
      </c>
      <c r="H294">
        <f>IFERROR(VLOOKUP(A294,Usage!L:M,2,FALSE),0)</f>
        <v>0</v>
      </c>
      <c r="I294">
        <v>0</v>
      </c>
      <c r="J294" s="12">
        <f t="shared" si="18"/>
        <v>0</v>
      </c>
      <c r="K294">
        <f t="shared" si="19"/>
        <v>0</v>
      </c>
      <c r="L294" s="2">
        <f t="shared" si="16"/>
        <v>0</v>
      </c>
      <c r="M294" s="2">
        <f t="shared" si="17"/>
        <v>0</v>
      </c>
    </row>
    <row r="295" spans="1:13">
      <c r="A295" s="2">
        <v>472</v>
      </c>
      <c r="B295" s="2">
        <v>51</v>
      </c>
      <c r="C295" s="2" t="s">
        <v>299</v>
      </c>
      <c r="D295">
        <v>1</v>
      </c>
      <c r="E295" s="2" t="s">
        <v>201</v>
      </c>
      <c r="F295" s="3">
        <v>269.72000000000003</v>
      </c>
      <c r="G295" s="4">
        <v>24</v>
      </c>
      <c r="H295">
        <f>IFERROR(VLOOKUP(A295,Usage!L:M,2,FALSE),0)</f>
        <v>0</v>
      </c>
      <c r="I295">
        <v>0</v>
      </c>
      <c r="J295" s="12">
        <f t="shared" si="18"/>
        <v>0</v>
      </c>
      <c r="K295">
        <f t="shared" si="19"/>
        <v>0</v>
      </c>
      <c r="L295" s="2">
        <f t="shared" si="16"/>
        <v>0</v>
      </c>
      <c r="M295" s="2">
        <f t="shared" si="17"/>
        <v>0</v>
      </c>
    </row>
    <row r="296" spans="1:13">
      <c r="A296" s="2">
        <v>4996</v>
      </c>
      <c r="B296" s="2">
        <v>51</v>
      </c>
      <c r="C296" s="2" t="s">
        <v>300</v>
      </c>
      <c r="D296">
        <v>2</v>
      </c>
      <c r="E296" s="2" t="s">
        <v>0</v>
      </c>
      <c r="F296" s="3">
        <v>336.1</v>
      </c>
      <c r="G296" s="4">
        <v>5000</v>
      </c>
      <c r="H296">
        <f>IFERROR(VLOOKUP(A296,Usage!L:M,2,FALSE),0)</f>
        <v>0</v>
      </c>
      <c r="I296">
        <v>730</v>
      </c>
      <c r="J296" s="12">
        <f t="shared" si="18"/>
        <v>0</v>
      </c>
      <c r="K296">
        <f t="shared" si="19"/>
        <v>0</v>
      </c>
      <c r="L296" s="2">
        <f t="shared" si="16"/>
        <v>-730</v>
      </c>
      <c r="M296" s="2">
        <f t="shared" si="17"/>
        <v>-0.14599999999999999</v>
      </c>
    </row>
    <row r="297" spans="1:13">
      <c r="A297" s="2">
        <v>16565</v>
      </c>
      <c r="B297" s="2">
        <v>52</v>
      </c>
      <c r="C297" s="2" t="s">
        <v>301</v>
      </c>
      <c r="D297">
        <v>1</v>
      </c>
      <c r="E297" s="2" t="s">
        <v>0</v>
      </c>
      <c r="F297" s="3">
        <v>107.96</v>
      </c>
      <c r="G297" s="4">
        <v>192</v>
      </c>
      <c r="H297">
        <f>IFERROR(VLOOKUP(A297,Usage!L:M,2,FALSE),0)</f>
        <v>0</v>
      </c>
      <c r="I297">
        <v>0</v>
      </c>
      <c r="J297" s="12">
        <f t="shared" si="18"/>
        <v>0</v>
      </c>
      <c r="K297">
        <f t="shared" si="19"/>
        <v>0</v>
      </c>
      <c r="L297" s="2">
        <f t="shared" si="16"/>
        <v>0</v>
      </c>
      <c r="M297" s="2">
        <f t="shared" si="17"/>
        <v>0</v>
      </c>
    </row>
    <row r="298" spans="1:13">
      <c r="A298" s="2">
        <v>17771</v>
      </c>
      <c r="B298" s="2">
        <v>51</v>
      </c>
      <c r="C298" s="2" t="s">
        <v>302</v>
      </c>
      <c r="D298">
        <v>1</v>
      </c>
      <c r="E298" s="2" t="s">
        <v>201</v>
      </c>
      <c r="F298" s="3">
        <v>332.51</v>
      </c>
      <c r="G298" s="4">
        <v>3</v>
      </c>
      <c r="H298">
        <f>IFERROR(VLOOKUP(A298,Usage!L:M,2,FALSE),0)</f>
        <v>0.2</v>
      </c>
      <c r="I298">
        <v>2.2000000000000002</v>
      </c>
      <c r="J298" s="12">
        <f t="shared" si="18"/>
        <v>8.3200593719436782E-4</v>
      </c>
      <c r="K298">
        <f t="shared" si="19"/>
        <v>0.21462225932044252</v>
      </c>
      <c r="L298" s="2">
        <f t="shared" si="16"/>
        <v>-1.9853777406795576</v>
      </c>
      <c r="M298" s="2">
        <f t="shared" si="17"/>
        <v>-0.66179258022651921</v>
      </c>
    </row>
    <row r="299" spans="1:13">
      <c r="A299" s="2">
        <v>9</v>
      </c>
      <c r="B299" s="2">
        <v>51</v>
      </c>
      <c r="C299" s="2" t="s">
        <v>303</v>
      </c>
      <c r="D299">
        <v>1</v>
      </c>
      <c r="E299" s="2" t="s">
        <v>15</v>
      </c>
      <c r="F299" s="3">
        <v>102.15</v>
      </c>
      <c r="G299" s="4">
        <v>12</v>
      </c>
      <c r="H299">
        <f>IFERROR(VLOOKUP(A299,Usage!L:M,2,FALSE),0)</f>
        <v>0</v>
      </c>
      <c r="I299">
        <v>0</v>
      </c>
      <c r="J299" s="12">
        <f t="shared" si="18"/>
        <v>0</v>
      </c>
      <c r="K299">
        <f t="shared" si="19"/>
        <v>0</v>
      </c>
      <c r="L299" s="2">
        <f t="shared" si="16"/>
        <v>0</v>
      </c>
      <c r="M299" s="2">
        <f t="shared" si="17"/>
        <v>0</v>
      </c>
    </row>
    <row r="300" spans="1:13">
      <c r="A300" s="2">
        <v>311</v>
      </c>
      <c r="B300" s="2">
        <v>51</v>
      </c>
      <c r="C300" s="2" t="s">
        <v>304</v>
      </c>
      <c r="D300">
        <v>2</v>
      </c>
      <c r="E300" s="2" t="s">
        <v>0</v>
      </c>
      <c r="F300" s="3">
        <v>209.63</v>
      </c>
      <c r="G300" s="4">
        <v>900</v>
      </c>
      <c r="H300">
        <f>IFERROR(VLOOKUP(A300,Usage!L:M,2,FALSE),0)</f>
        <v>0</v>
      </c>
      <c r="I300">
        <v>0</v>
      </c>
      <c r="J300" s="12">
        <f t="shared" si="18"/>
        <v>0</v>
      </c>
      <c r="K300">
        <f t="shared" si="19"/>
        <v>0</v>
      </c>
      <c r="L300" s="2">
        <f t="shared" si="16"/>
        <v>0</v>
      </c>
      <c r="M300" s="2">
        <f t="shared" si="17"/>
        <v>0</v>
      </c>
    </row>
    <row r="301" spans="1:13">
      <c r="A301" s="2">
        <v>4997</v>
      </c>
      <c r="B301" s="2">
        <v>51</v>
      </c>
      <c r="C301" s="2" t="s">
        <v>305</v>
      </c>
      <c r="D301">
        <v>2</v>
      </c>
      <c r="E301" s="2" t="s">
        <v>0</v>
      </c>
      <c r="F301" s="3">
        <v>202.24</v>
      </c>
      <c r="G301" s="4">
        <v>2000</v>
      </c>
      <c r="H301">
        <f>IFERROR(VLOOKUP(A301,Usage!L:M,2,FALSE),0)</f>
        <v>86</v>
      </c>
      <c r="I301">
        <v>1200</v>
      </c>
      <c r="J301" s="12">
        <f t="shared" si="18"/>
        <v>0.35776255299357818</v>
      </c>
      <c r="K301">
        <f t="shared" si="19"/>
        <v>92.28757150779029</v>
      </c>
      <c r="L301" s="2">
        <f t="shared" si="16"/>
        <v>-1107.7124284922097</v>
      </c>
      <c r="M301" s="2">
        <f t="shared" si="17"/>
        <v>-0.55385621424610487</v>
      </c>
    </row>
    <row r="302" spans="1:13">
      <c r="A302" s="2">
        <v>11312</v>
      </c>
      <c r="B302" s="2">
        <v>51</v>
      </c>
      <c r="C302" s="2" t="s">
        <v>306</v>
      </c>
      <c r="D302">
        <v>1</v>
      </c>
      <c r="E302" s="2" t="s">
        <v>0</v>
      </c>
      <c r="F302" s="3">
        <v>118.53</v>
      </c>
      <c r="G302" s="4">
        <v>105</v>
      </c>
      <c r="H302">
        <f>IFERROR(VLOOKUP(A302,Usage!L:M,2,FALSE),0)</f>
        <v>217</v>
      </c>
      <c r="I302">
        <v>545</v>
      </c>
      <c r="J302" s="12">
        <f t="shared" si="18"/>
        <v>0.90272644185588902</v>
      </c>
      <c r="K302">
        <f t="shared" si="19"/>
        <v>232.86515136268011</v>
      </c>
      <c r="L302" s="2">
        <f t="shared" si="16"/>
        <v>-312.13484863731992</v>
      </c>
      <c r="M302" s="2">
        <f t="shared" si="17"/>
        <v>-2.9727128441649517</v>
      </c>
    </row>
    <row r="303" spans="1:13">
      <c r="A303" s="2">
        <v>87096</v>
      </c>
      <c r="B303" s="2">
        <v>51</v>
      </c>
      <c r="C303" s="2" t="s">
        <v>307</v>
      </c>
      <c r="D303">
        <v>2</v>
      </c>
      <c r="E303" s="2" t="s">
        <v>0</v>
      </c>
      <c r="F303" s="3">
        <v>65.33</v>
      </c>
      <c r="G303" s="4">
        <v>1000</v>
      </c>
      <c r="H303">
        <f>IFERROR(VLOOKUP(A303,Usage!L:M,2,FALSE),0)</f>
        <v>0</v>
      </c>
      <c r="I303">
        <v>120</v>
      </c>
      <c r="J303" s="12">
        <f t="shared" si="18"/>
        <v>0</v>
      </c>
      <c r="K303">
        <f t="shared" si="19"/>
        <v>0</v>
      </c>
      <c r="L303" s="2">
        <f t="shared" si="16"/>
        <v>-120</v>
      </c>
      <c r="M303" s="2">
        <f t="shared" si="17"/>
        <v>-0.12</v>
      </c>
    </row>
    <row r="304" spans="1:13">
      <c r="A304" s="2">
        <v>17947</v>
      </c>
      <c r="B304" s="2">
        <v>51</v>
      </c>
      <c r="C304" s="2" t="s">
        <v>308</v>
      </c>
      <c r="D304">
        <v>4</v>
      </c>
      <c r="E304" s="2" t="s">
        <v>0</v>
      </c>
      <c r="F304" s="3">
        <v>20.309999999999999</v>
      </c>
      <c r="G304" s="4">
        <v>1</v>
      </c>
      <c r="H304">
        <f>IFERROR(VLOOKUP(A304,Usage!L:M,2,FALSE),0)</f>
        <v>0</v>
      </c>
      <c r="I304">
        <v>0</v>
      </c>
      <c r="J304" s="12">
        <f t="shared" si="18"/>
        <v>0</v>
      </c>
      <c r="K304">
        <f t="shared" si="19"/>
        <v>0</v>
      </c>
      <c r="L304" s="2">
        <f t="shared" si="16"/>
        <v>0</v>
      </c>
      <c r="M304" s="2">
        <f t="shared" si="17"/>
        <v>0</v>
      </c>
    </row>
    <row r="305" spans="1:13">
      <c r="A305" s="2">
        <v>20245</v>
      </c>
      <c r="B305" s="2">
        <v>51</v>
      </c>
      <c r="C305" s="2" t="s">
        <v>309</v>
      </c>
      <c r="D305">
        <v>4</v>
      </c>
      <c r="E305" s="2" t="s">
        <v>0</v>
      </c>
      <c r="F305" s="3">
        <v>322.55</v>
      </c>
      <c r="G305" s="4">
        <v>1000</v>
      </c>
      <c r="H305">
        <f>IFERROR(VLOOKUP(A305,Usage!L:M,2,FALSE),0)</f>
        <v>0</v>
      </c>
      <c r="I305">
        <v>5000</v>
      </c>
      <c r="J305" s="12">
        <f t="shared" si="18"/>
        <v>0</v>
      </c>
      <c r="K305">
        <f t="shared" si="19"/>
        <v>0</v>
      </c>
      <c r="L305" s="2">
        <f t="shared" si="16"/>
        <v>-5000</v>
      </c>
      <c r="M305" s="2">
        <f t="shared" si="17"/>
        <v>-5</v>
      </c>
    </row>
    <row r="306" spans="1:13">
      <c r="A306" s="2">
        <v>99422</v>
      </c>
      <c r="B306" s="2">
        <v>51</v>
      </c>
      <c r="C306" s="2" t="s">
        <v>310</v>
      </c>
      <c r="D306">
        <v>2</v>
      </c>
      <c r="E306" s="2" t="s">
        <v>0</v>
      </c>
      <c r="F306" s="3">
        <v>200.18</v>
      </c>
      <c r="G306" s="4">
        <v>500</v>
      </c>
      <c r="H306">
        <f>IFERROR(VLOOKUP(A306,Usage!L:M,2,FALSE),0)</f>
        <v>0</v>
      </c>
      <c r="I306">
        <v>0</v>
      </c>
      <c r="J306" s="12">
        <f t="shared" si="18"/>
        <v>0</v>
      </c>
      <c r="K306">
        <f t="shared" si="19"/>
        <v>0</v>
      </c>
      <c r="L306" s="2">
        <f t="shared" si="16"/>
        <v>0</v>
      </c>
      <c r="M306" s="2">
        <f t="shared" si="17"/>
        <v>0</v>
      </c>
    </row>
    <row r="307" spans="1:13">
      <c r="A307" s="2">
        <v>18229</v>
      </c>
      <c r="B307" s="2">
        <v>51</v>
      </c>
      <c r="C307" s="2" t="s">
        <v>311</v>
      </c>
      <c r="D307">
        <v>4</v>
      </c>
      <c r="E307" s="2" t="s">
        <v>0</v>
      </c>
      <c r="F307" s="3">
        <v>509.56</v>
      </c>
      <c r="G307" s="4">
        <v>1500</v>
      </c>
      <c r="H307">
        <f>IFERROR(VLOOKUP(A307,Usage!L:M,2,FALSE),0)</f>
        <v>0</v>
      </c>
      <c r="I307">
        <v>610</v>
      </c>
      <c r="J307" s="12">
        <f t="shared" si="18"/>
        <v>0</v>
      </c>
      <c r="K307">
        <f t="shared" si="19"/>
        <v>0</v>
      </c>
      <c r="L307" s="2">
        <f t="shared" si="16"/>
        <v>-610</v>
      </c>
      <c r="M307" s="2">
        <f t="shared" si="17"/>
        <v>-0.40666666666666668</v>
      </c>
    </row>
    <row r="308" spans="1:13">
      <c r="A308" s="2">
        <v>4998</v>
      </c>
      <c r="B308" s="2">
        <v>51</v>
      </c>
      <c r="C308" s="2" t="s">
        <v>312</v>
      </c>
      <c r="D308">
        <v>2</v>
      </c>
      <c r="E308" s="2" t="s">
        <v>0</v>
      </c>
      <c r="F308" s="3">
        <v>394.72</v>
      </c>
      <c r="G308" s="4">
        <v>5000</v>
      </c>
      <c r="H308">
        <f>IFERROR(VLOOKUP(A308,Usage!L:M,2,FALSE),0)</f>
        <v>144</v>
      </c>
      <c r="I308">
        <v>2990</v>
      </c>
      <c r="J308" s="12">
        <f t="shared" si="18"/>
        <v>0.59904427477994482</v>
      </c>
      <c r="K308">
        <f t="shared" si="19"/>
        <v>154.52802671071859</v>
      </c>
      <c r="L308" s="2">
        <f t="shared" si="16"/>
        <v>-2835.4719732892813</v>
      </c>
      <c r="M308" s="2">
        <f t="shared" si="17"/>
        <v>-0.56709439465785627</v>
      </c>
    </row>
    <row r="309" spans="1:13">
      <c r="A309" s="2">
        <v>99165</v>
      </c>
      <c r="B309" s="2">
        <v>51</v>
      </c>
      <c r="C309" s="2" t="s">
        <v>313</v>
      </c>
      <c r="D309">
        <v>4</v>
      </c>
      <c r="E309" s="2" t="s">
        <v>0</v>
      </c>
      <c r="F309" s="3">
        <v>253.33</v>
      </c>
      <c r="G309" s="4">
        <v>1200</v>
      </c>
      <c r="H309">
        <f>IFERROR(VLOOKUP(A309,Usage!L:M,2,FALSE),0)</f>
        <v>0</v>
      </c>
      <c r="I309">
        <v>0</v>
      </c>
      <c r="J309" s="12">
        <f t="shared" si="18"/>
        <v>0</v>
      </c>
      <c r="K309">
        <f t="shared" si="19"/>
        <v>0</v>
      </c>
      <c r="L309" s="2">
        <f t="shared" si="16"/>
        <v>0</v>
      </c>
      <c r="M309" s="2">
        <f t="shared" si="17"/>
        <v>0</v>
      </c>
    </row>
    <row r="310" spans="1:13">
      <c r="A310" s="2">
        <v>99166</v>
      </c>
      <c r="B310" s="2">
        <v>51</v>
      </c>
      <c r="C310" s="2" t="s">
        <v>314</v>
      </c>
      <c r="D310">
        <v>4</v>
      </c>
      <c r="E310" s="2" t="s">
        <v>0</v>
      </c>
      <c r="F310" s="3">
        <v>253.33</v>
      </c>
      <c r="G310" s="4">
        <v>1200</v>
      </c>
      <c r="H310">
        <f>IFERROR(VLOOKUP(A310,Usage!L:M,2,FALSE),0)</f>
        <v>0</v>
      </c>
      <c r="I310">
        <v>0</v>
      </c>
      <c r="J310" s="12">
        <f t="shared" si="18"/>
        <v>0</v>
      </c>
      <c r="K310">
        <f t="shared" si="19"/>
        <v>0</v>
      </c>
      <c r="L310" s="2">
        <f t="shared" si="16"/>
        <v>0</v>
      </c>
      <c r="M310" s="2">
        <f t="shared" si="17"/>
        <v>0</v>
      </c>
    </row>
    <row r="311" spans="1:13">
      <c r="A311" s="2">
        <v>18471</v>
      </c>
      <c r="B311" s="2">
        <v>51</v>
      </c>
      <c r="C311" s="2" t="s">
        <v>315</v>
      </c>
      <c r="D311">
        <v>4</v>
      </c>
      <c r="E311" s="2" t="s">
        <v>0</v>
      </c>
      <c r="F311" s="3">
        <v>570.27</v>
      </c>
      <c r="G311" s="4">
        <v>1500</v>
      </c>
      <c r="H311">
        <f>IFERROR(VLOOKUP(A311,Usage!L:M,2,FALSE),0)</f>
        <v>0</v>
      </c>
      <c r="I311">
        <v>0</v>
      </c>
      <c r="J311" s="12">
        <f t="shared" si="18"/>
        <v>0</v>
      </c>
      <c r="K311">
        <f t="shared" si="19"/>
        <v>0</v>
      </c>
      <c r="L311" s="2">
        <f t="shared" si="16"/>
        <v>0</v>
      </c>
      <c r="M311" s="2">
        <f t="shared" si="17"/>
        <v>0</v>
      </c>
    </row>
    <row r="312" spans="1:13">
      <c r="A312" s="2">
        <v>18472</v>
      </c>
      <c r="B312" s="2">
        <v>51</v>
      </c>
      <c r="C312" s="2" t="s">
        <v>316</v>
      </c>
      <c r="D312">
        <v>4</v>
      </c>
      <c r="E312" s="2" t="s">
        <v>0</v>
      </c>
      <c r="F312" s="3">
        <v>554.61</v>
      </c>
      <c r="G312" s="4">
        <v>1500</v>
      </c>
      <c r="H312">
        <f>IFERROR(VLOOKUP(A312,Usage!L:M,2,FALSE),0)</f>
        <v>0</v>
      </c>
      <c r="I312">
        <v>1500</v>
      </c>
      <c r="J312" s="12">
        <f t="shared" si="18"/>
        <v>0</v>
      </c>
      <c r="K312">
        <f t="shared" si="19"/>
        <v>0</v>
      </c>
      <c r="L312" s="2">
        <f t="shared" si="16"/>
        <v>-1500</v>
      </c>
      <c r="M312" s="2">
        <f t="shared" si="17"/>
        <v>-1</v>
      </c>
    </row>
    <row r="313" spans="1:13">
      <c r="A313" s="2">
        <v>4999</v>
      </c>
      <c r="B313" s="2">
        <v>51</v>
      </c>
      <c r="C313" s="2" t="s">
        <v>317</v>
      </c>
      <c r="D313">
        <v>2</v>
      </c>
      <c r="E313" s="2" t="s">
        <v>0</v>
      </c>
      <c r="F313" s="3">
        <v>270.64</v>
      </c>
      <c r="G313" s="4">
        <v>5000</v>
      </c>
      <c r="H313">
        <f>IFERROR(VLOOKUP(A313,Usage!L:M,2,FALSE),0)</f>
        <v>2737</v>
      </c>
      <c r="I313">
        <v>2035</v>
      </c>
      <c r="J313" s="12">
        <f t="shared" si="18"/>
        <v>11.386001250504924</v>
      </c>
      <c r="K313">
        <f t="shared" si="19"/>
        <v>2937.1056188002558</v>
      </c>
      <c r="L313" s="2">
        <f t="shared" si="16"/>
        <v>902.1056188002558</v>
      </c>
      <c r="M313" s="2">
        <f t="shared" si="17"/>
        <v>0.18042112376005115</v>
      </c>
    </row>
    <row r="314" spans="1:13">
      <c r="A314" s="2">
        <v>4334</v>
      </c>
      <c r="B314" s="2">
        <v>51</v>
      </c>
      <c r="C314" s="2" t="s">
        <v>318</v>
      </c>
      <c r="D314">
        <v>1</v>
      </c>
      <c r="E314" s="2" t="s">
        <v>17</v>
      </c>
      <c r="F314" s="3">
        <v>106.13</v>
      </c>
      <c r="G314" s="4">
        <v>3.78</v>
      </c>
      <c r="H314">
        <f>IFERROR(VLOOKUP(A314,Usage!L:M,2,FALSE),0)</f>
        <v>0</v>
      </c>
      <c r="I314">
        <v>0</v>
      </c>
      <c r="J314" s="12">
        <f t="shared" si="18"/>
        <v>0</v>
      </c>
      <c r="K314">
        <f t="shared" si="19"/>
        <v>0</v>
      </c>
      <c r="L314" s="2">
        <f t="shared" si="16"/>
        <v>0</v>
      </c>
      <c r="M314" s="2">
        <f t="shared" si="17"/>
        <v>0</v>
      </c>
    </row>
    <row r="315" spans="1:13">
      <c r="A315" s="2">
        <v>1799</v>
      </c>
      <c r="B315" s="2">
        <v>51</v>
      </c>
      <c r="C315" s="2" t="s">
        <v>319</v>
      </c>
      <c r="D315">
        <v>2</v>
      </c>
      <c r="E315" s="2" t="s">
        <v>0</v>
      </c>
      <c r="F315" s="3">
        <v>289.04000000000002</v>
      </c>
      <c r="G315" s="4">
        <v>5000</v>
      </c>
      <c r="H315">
        <f>IFERROR(VLOOKUP(A315,Usage!L:M,2,FALSE),0)</f>
        <v>0</v>
      </c>
      <c r="I315">
        <v>0</v>
      </c>
      <c r="J315" s="12">
        <f t="shared" si="18"/>
        <v>0</v>
      </c>
      <c r="K315">
        <f t="shared" si="19"/>
        <v>0</v>
      </c>
      <c r="L315" s="2">
        <f t="shared" si="16"/>
        <v>0</v>
      </c>
      <c r="M315" s="2">
        <f t="shared" si="17"/>
        <v>0</v>
      </c>
    </row>
    <row r="316" spans="1:13">
      <c r="A316" s="2">
        <v>4980</v>
      </c>
      <c r="B316" s="2">
        <v>51</v>
      </c>
      <c r="C316" s="2" t="s">
        <v>320</v>
      </c>
      <c r="D316">
        <v>2</v>
      </c>
      <c r="E316" s="2" t="s">
        <v>0</v>
      </c>
      <c r="F316" s="3">
        <v>307.60000000000002</v>
      </c>
      <c r="G316" s="4">
        <v>480</v>
      </c>
      <c r="H316">
        <f>IFERROR(VLOOKUP(A316,Usage!L:M,2,FALSE),0)</f>
        <v>0</v>
      </c>
      <c r="I316">
        <v>0</v>
      </c>
      <c r="J316" s="12">
        <f t="shared" si="18"/>
        <v>0</v>
      </c>
      <c r="K316">
        <f t="shared" si="19"/>
        <v>0</v>
      </c>
      <c r="L316" s="2">
        <f t="shared" si="16"/>
        <v>0</v>
      </c>
      <c r="M316" s="2">
        <f t="shared" si="17"/>
        <v>0</v>
      </c>
    </row>
    <row r="317" spans="1:13">
      <c r="A317" s="2">
        <v>3488</v>
      </c>
      <c r="B317" s="2">
        <v>51</v>
      </c>
      <c r="C317" s="2" t="s">
        <v>321</v>
      </c>
      <c r="D317">
        <v>2</v>
      </c>
      <c r="E317" s="2" t="s">
        <v>0</v>
      </c>
      <c r="F317" s="3">
        <v>222.58</v>
      </c>
      <c r="G317" s="4">
        <v>750</v>
      </c>
      <c r="H317">
        <f>IFERROR(VLOOKUP(A317,Usage!L:M,2,FALSE),0)</f>
        <v>0</v>
      </c>
      <c r="I317">
        <v>0</v>
      </c>
      <c r="J317" s="12">
        <f t="shared" si="18"/>
        <v>0</v>
      </c>
      <c r="K317">
        <f t="shared" si="19"/>
        <v>0</v>
      </c>
      <c r="L317" s="2">
        <f t="shared" si="16"/>
        <v>0</v>
      </c>
      <c r="M317" s="2">
        <f t="shared" si="17"/>
        <v>0</v>
      </c>
    </row>
    <row r="318" spans="1:13">
      <c r="A318" s="2">
        <v>18626</v>
      </c>
      <c r="B318" s="2">
        <v>51</v>
      </c>
      <c r="C318" s="2" t="s">
        <v>322</v>
      </c>
      <c r="D318">
        <v>4</v>
      </c>
      <c r="E318" s="2" t="s">
        <v>0</v>
      </c>
      <c r="F318" s="3">
        <v>536.22</v>
      </c>
      <c r="G318" s="4">
        <v>1500</v>
      </c>
      <c r="H318">
        <f>IFERROR(VLOOKUP(A318,Usage!L:M,2,FALSE),0)</f>
        <v>0</v>
      </c>
      <c r="I318">
        <v>1500</v>
      </c>
      <c r="J318" s="12">
        <f t="shared" si="18"/>
        <v>0</v>
      </c>
      <c r="K318">
        <f t="shared" si="19"/>
        <v>0</v>
      </c>
      <c r="L318" s="2">
        <f t="shared" si="16"/>
        <v>-1500</v>
      </c>
      <c r="M318" s="2">
        <f t="shared" si="17"/>
        <v>-1</v>
      </c>
    </row>
    <row r="319" spans="1:13">
      <c r="A319" s="2">
        <v>18640</v>
      </c>
      <c r="B319" s="2">
        <v>51</v>
      </c>
      <c r="C319" s="2" t="s">
        <v>323</v>
      </c>
      <c r="D319">
        <v>4</v>
      </c>
      <c r="E319" s="2" t="s">
        <v>0</v>
      </c>
      <c r="F319" s="3">
        <v>548.66999999999996</v>
      </c>
      <c r="G319" s="4">
        <v>30</v>
      </c>
      <c r="H319">
        <f>IFERROR(VLOOKUP(A319,Usage!L:M,2,FALSE),0)</f>
        <v>0</v>
      </c>
      <c r="I319">
        <v>30</v>
      </c>
      <c r="J319" s="12">
        <f t="shared" si="18"/>
        <v>0</v>
      </c>
      <c r="K319">
        <f t="shared" si="19"/>
        <v>0</v>
      </c>
      <c r="L319" s="2">
        <f t="shared" si="16"/>
        <v>-30</v>
      </c>
      <c r="M319" s="2">
        <f t="shared" si="17"/>
        <v>-1</v>
      </c>
    </row>
    <row r="320" spans="1:13">
      <c r="A320" s="2">
        <v>5391</v>
      </c>
      <c r="B320" s="2">
        <v>51</v>
      </c>
      <c r="C320" s="2" t="s">
        <v>324</v>
      </c>
      <c r="D320">
        <v>4</v>
      </c>
      <c r="E320" s="2" t="s">
        <v>0</v>
      </c>
      <c r="F320" s="3">
        <v>536.82000000000005</v>
      </c>
      <c r="G320" s="4">
        <v>1500</v>
      </c>
      <c r="H320">
        <f>IFERROR(VLOOKUP(A320,Usage!L:M,2,FALSE),0)</f>
        <v>0</v>
      </c>
      <c r="I320">
        <v>1500</v>
      </c>
      <c r="J320" s="12">
        <f t="shared" si="18"/>
        <v>0</v>
      </c>
      <c r="K320">
        <f t="shared" si="19"/>
        <v>0</v>
      </c>
      <c r="L320" s="2">
        <f t="shared" si="16"/>
        <v>-1500</v>
      </c>
      <c r="M320" s="2">
        <f t="shared" si="17"/>
        <v>-1</v>
      </c>
    </row>
    <row r="321" spans="1:13">
      <c r="A321" s="2">
        <v>99168</v>
      </c>
      <c r="B321" s="2">
        <v>51</v>
      </c>
      <c r="C321" s="2" t="s">
        <v>325</v>
      </c>
      <c r="D321">
        <v>4</v>
      </c>
      <c r="E321" s="2" t="s">
        <v>0</v>
      </c>
      <c r="F321" s="3">
        <v>8.08</v>
      </c>
      <c r="G321" s="4">
        <v>100</v>
      </c>
      <c r="H321">
        <f>IFERROR(VLOOKUP(A321,Usage!L:M,2,FALSE),0)</f>
        <v>0</v>
      </c>
      <c r="I321">
        <v>628</v>
      </c>
      <c r="J321" s="12">
        <f t="shared" si="18"/>
        <v>0</v>
      </c>
      <c r="K321">
        <f t="shared" si="19"/>
        <v>0</v>
      </c>
      <c r="L321" s="2">
        <f t="shared" si="16"/>
        <v>-628</v>
      </c>
      <c r="M321" s="2">
        <f t="shared" si="17"/>
        <v>-6.28</v>
      </c>
    </row>
    <row r="322" spans="1:13">
      <c r="A322" s="2">
        <v>99169</v>
      </c>
      <c r="B322" s="2">
        <v>51</v>
      </c>
      <c r="C322" s="2" t="s">
        <v>326</v>
      </c>
      <c r="D322">
        <v>4</v>
      </c>
      <c r="E322" s="2" t="s">
        <v>0</v>
      </c>
      <c r="F322" s="3">
        <v>8.08</v>
      </c>
      <c r="G322" s="4">
        <v>300</v>
      </c>
      <c r="H322">
        <f>IFERROR(VLOOKUP(A322,Usage!L:M,2,FALSE),0)</f>
        <v>0</v>
      </c>
      <c r="I322">
        <v>300</v>
      </c>
      <c r="J322" s="12">
        <f t="shared" si="18"/>
        <v>0</v>
      </c>
      <c r="K322">
        <f t="shared" si="19"/>
        <v>0</v>
      </c>
      <c r="L322" s="2">
        <f t="shared" si="16"/>
        <v>-300</v>
      </c>
      <c r="M322" s="2">
        <f t="shared" si="17"/>
        <v>-1</v>
      </c>
    </row>
    <row r="323" spans="1:13">
      <c r="A323" s="2">
        <v>99170</v>
      </c>
      <c r="B323" s="2">
        <v>51</v>
      </c>
      <c r="C323" s="2" t="s">
        <v>327</v>
      </c>
      <c r="D323">
        <v>4</v>
      </c>
      <c r="E323" s="2" t="s">
        <v>0</v>
      </c>
      <c r="F323" s="3">
        <v>8.08</v>
      </c>
      <c r="G323" s="4">
        <v>200</v>
      </c>
      <c r="H323">
        <f>IFERROR(VLOOKUP(A323,Usage!L:M,2,FALSE),0)</f>
        <v>0</v>
      </c>
      <c r="I323">
        <v>200</v>
      </c>
      <c r="J323" s="12">
        <f t="shared" si="18"/>
        <v>0</v>
      </c>
      <c r="K323">
        <f t="shared" si="19"/>
        <v>0</v>
      </c>
      <c r="L323" s="2">
        <f t="shared" si="16"/>
        <v>-200</v>
      </c>
      <c r="M323" s="2">
        <f t="shared" si="17"/>
        <v>-1</v>
      </c>
    </row>
    <row r="324" spans="1:13">
      <c r="A324" s="2">
        <v>18161</v>
      </c>
      <c r="B324" s="2">
        <v>51</v>
      </c>
      <c r="C324" s="2" t="s">
        <v>328</v>
      </c>
      <c r="D324">
        <v>4</v>
      </c>
      <c r="E324" s="2" t="s">
        <v>0</v>
      </c>
      <c r="F324" s="3">
        <v>191.52</v>
      </c>
      <c r="G324" s="4">
        <v>600</v>
      </c>
      <c r="H324">
        <f>IFERROR(VLOOKUP(A324,Usage!L:M,2,FALSE),0)</f>
        <v>0</v>
      </c>
      <c r="I324">
        <v>0</v>
      </c>
      <c r="J324" s="12">
        <f t="shared" si="18"/>
        <v>0</v>
      </c>
      <c r="K324">
        <f t="shared" si="19"/>
        <v>0</v>
      </c>
      <c r="L324" s="2">
        <f t="shared" si="16"/>
        <v>0</v>
      </c>
      <c r="M324" s="2">
        <f t="shared" si="17"/>
        <v>0</v>
      </c>
    </row>
    <row r="325" spans="1:13">
      <c r="A325" s="2">
        <v>3617</v>
      </c>
      <c r="B325" s="2">
        <v>51</v>
      </c>
      <c r="C325" s="2" t="s">
        <v>329</v>
      </c>
      <c r="D325">
        <v>1</v>
      </c>
      <c r="E325" s="2" t="s">
        <v>17</v>
      </c>
      <c r="F325" s="3">
        <v>139.25</v>
      </c>
      <c r="G325" s="4">
        <v>10</v>
      </c>
      <c r="H325">
        <f>IFERROR(VLOOKUP(A325,Usage!L:M,2,FALSE),0)</f>
        <v>14.27</v>
      </c>
      <c r="I325">
        <v>20</v>
      </c>
      <c r="J325" s="12">
        <f t="shared" si="18"/>
        <v>5.936362361881814E-2</v>
      </c>
      <c r="K325">
        <f t="shared" si="19"/>
        <v>15.313298202513572</v>
      </c>
      <c r="L325" s="2">
        <f t="shared" si="16"/>
        <v>-4.6867017974864282</v>
      </c>
      <c r="M325" s="2">
        <f t="shared" si="17"/>
        <v>-0.46867017974864283</v>
      </c>
    </row>
    <row r="326" spans="1:13">
      <c r="A326" s="2">
        <v>17515</v>
      </c>
      <c r="B326" s="2">
        <v>51</v>
      </c>
      <c r="C326" s="2" t="s">
        <v>330</v>
      </c>
      <c r="D326">
        <v>1</v>
      </c>
      <c r="E326" s="2" t="s">
        <v>0</v>
      </c>
      <c r="F326" s="3">
        <v>146.16</v>
      </c>
      <c r="G326" s="4">
        <v>44</v>
      </c>
      <c r="H326">
        <f>IFERROR(VLOOKUP(A326,Usage!L:M,2,FALSE),0)</f>
        <v>24</v>
      </c>
      <c r="I326">
        <v>64</v>
      </c>
      <c r="J326" s="12">
        <f t="shared" si="18"/>
        <v>9.9840712463324141E-2</v>
      </c>
      <c r="K326">
        <f t="shared" si="19"/>
        <v>25.754671118453103</v>
      </c>
      <c r="L326" s="2">
        <f t="shared" si="16"/>
        <v>-38.245328881546897</v>
      </c>
      <c r="M326" s="2">
        <f t="shared" si="17"/>
        <v>-0.86921202003515674</v>
      </c>
    </row>
    <row r="327" spans="1:13">
      <c r="A327" s="2">
        <v>10754</v>
      </c>
      <c r="B327" s="2">
        <v>51</v>
      </c>
      <c r="C327" s="2" t="s">
        <v>331</v>
      </c>
      <c r="D327">
        <v>2</v>
      </c>
      <c r="E327" s="2" t="s">
        <v>0</v>
      </c>
      <c r="F327" s="3">
        <v>199.63</v>
      </c>
      <c r="G327" s="4">
        <v>500</v>
      </c>
      <c r="H327">
        <f>IFERROR(VLOOKUP(A327,Usage!L:M,2,FALSE),0)</f>
        <v>0</v>
      </c>
      <c r="I327">
        <v>0</v>
      </c>
      <c r="J327" s="12">
        <f t="shared" si="18"/>
        <v>0</v>
      </c>
      <c r="K327">
        <f t="shared" si="19"/>
        <v>0</v>
      </c>
      <c r="L327" s="2">
        <f t="shared" si="16"/>
        <v>0</v>
      </c>
      <c r="M327" s="2">
        <f t="shared" si="17"/>
        <v>0</v>
      </c>
    </row>
    <row r="328" spans="1:13">
      <c r="A328" s="2">
        <v>2481</v>
      </c>
      <c r="B328" s="2">
        <v>51</v>
      </c>
      <c r="C328" s="2" t="s">
        <v>261</v>
      </c>
      <c r="D328">
        <v>1</v>
      </c>
      <c r="E328" s="2" t="s">
        <v>201</v>
      </c>
      <c r="F328" s="3">
        <v>88.65</v>
      </c>
      <c r="G328" s="4">
        <v>12</v>
      </c>
      <c r="H328">
        <f>IFERROR(VLOOKUP(A328,Usage!L:M,2,FALSE),0)</f>
        <v>1.48</v>
      </c>
      <c r="I328">
        <v>1.48</v>
      </c>
      <c r="J328" s="12">
        <f t="shared" si="18"/>
        <v>6.1568439352383212E-3</v>
      </c>
      <c r="K328">
        <f t="shared" si="19"/>
        <v>1.5882047189712745</v>
      </c>
      <c r="L328" s="2">
        <f t="shared" si="16"/>
        <v>0.10820471897127448</v>
      </c>
      <c r="M328" s="2">
        <f t="shared" si="17"/>
        <v>9.0170599142728736E-3</v>
      </c>
    </row>
    <row r="329" spans="1:13">
      <c r="A329" s="2">
        <v>14587</v>
      </c>
      <c r="B329" s="2">
        <v>51</v>
      </c>
      <c r="C329" s="2" t="s">
        <v>332</v>
      </c>
      <c r="D329">
        <v>1</v>
      </c>
      <c r="E329" s="2" t="s">
        <v>201</v>
      </c>
      <c r="F329" s="3">
        <v>232.34</v>
      </c>
      <c r="G329" s="4">
        <v>24</v>
      </c>
      <c r="H329">
        <f>IFERROR(VLOOKUP(A329,Usage!L:M,2,FALSE),0)</f>
        <v>0</v>
      </c>
      <c r="I329">
        <v>0</v>
      </c>
      <c r="J329" s="12">
        <f t="shared" si="18"/>
        <v>0</v>
      </c>
      <c r="K329">
        <f t="shared" si="19"/>
        <v>0</v>
      </c>
      <c r="L329" s="2">
        <f t="shared" si="16"/>
        <v>0</v>
      </c>
      <c r="M329" s="2">
        <f t="shared" si="17"/>
        <v>0</v>
      </c>
    </row>
    <row r="330" spans="1:13">
      <c r="A330" s="2">
        <v>11588</v>
      </c>
      <c r="B330" s="2">
        <v>52</v>
      </c>
      <c r="C330" s="2" t="s">
        <v>333</v>
      </c>
      <c r="D330">
        <v>1</v>
      </c>
      <c r="E330" s="2" t="s">
        <v>0</v>
      </c>
      <c r="F330" s="3">
        <v>102.88</v>
      </c>
      <c r="G330" s="4">
        <v>120</v>
      </c>
      <c r="H330">
        <f>IFERROR(VLOOKUP(A330,Usage!L:M,2,FALSE),0)</f>
        <v>0</v>
      </c>
      <c r="I330">
        <v>0</v>
      </c>
      <c r="J330" s="12">
        <f t="shared" si="18"/>
        <v>0</v>
      </c>
      <c r="K330">
        <f t="shared" si="19"/>
        <v>0</v>
      </c>
      <c r="L330" s="2">
        <f t="shared" si="16"/>
        <v>0</v>
      </c>
      <c r="M330" s="2">
        <f t="shared" si="17"/>
        <v>0</v>
      </c>
    </row>
    <row r="331" spans="1:13">
      <c r="A331" s="2">
        <v>36061</v>
      </c>
      <c r="B331" s="2">
        <v>51</v>
      </c>
      <c r="C331" s="2" t="s">
        <v>334</v>
      </c>
      <c r="D331">
        <v>2</v>
      </c>
      <c r="E331" s="2" t="s">
        <v>0</v>
      </c>
      <c r="F331" s="3">
        <v>237.38</v>
      </c>
      <c r="G331" s="4">
        <v>960</v>
      </c>
      <c r="H331">
        <f>IFERROR(VLOOKUP(A331,Usage!L:M,2,FALSE),0)</f>
        <v>0</v>
      </c>
      <c r="I331">
        <v>1919</v>
      </c>
      <c r="J331" s="12">
        <f t="shared" si="18"/>
        <v>0</v>
      </c>
      <c r="K331">
        <f t="shared" si="19"/>
        <v>0</v>
      </c>
      <c r="L331" s="2">
        <f t="shared" si="16"/>
        <v>-1919</v>
      </c>
      <c r="M331" s="2">
        <f t="shared" si="17"/>
        <v>-1.9989583333333334</v>
      </c>
    </row>
    <row r="332" spans="1:13">
      <c r="A332" s="2">
        <v>2016</v>
      </c>
      <c r="B332" s="2">
        <v>51</v>
      </c>
      <c r="C332" s="2" t="s">
        <v>335</v>
      </c>
      <c r="D332">
        <v>1</v>
      </c>
      <c r="E332" s="2" t="s">
        <v>0</v>
      </c>
      <c r="F332" s="3">
        <v>443.66</v>
      </c>
      <c r="G332" s="4">
        <v>120</v>
      </c>
      <c r="H332">
        <f>IFERROR(VLOOKUP(A332,Usage!L:M,2,FALSE),0)</f>
        <v>0</v>
      </c>
      <c r="I332">
        <v>0</v>
      </c>
      <c r="J332" s="12">
        <f t="shared" si="18"/>
        <v>0</v>
      </c>
      <c r="K332">
        <f t="shared" si="19"/>
        <v>0</v>
      </c>
      <c r="L332" s="2">
        <f t="shared" ref="L332:L395" si="20">K332-I332</f>
        <v>0</v>
      </c>
      <c r="M332" s="2">
        <f t="shared" ref="M332:M395" si="21">L332/G332</f>
        <v>0</v>
      </c>
    </row>
    <row r="333" spans="1:13">
      <c r="A333" s="2">
        <v>9972</v>
      </c>
      <c r="B333" s="2">
        <v>51</v>
      </c>
      <c r="C333" s="2" t="s">
        <v>336</v>
      </c>
      <c r="D333">
        <v>1</v>
      </c>
      <c r="E333" s="2" t="s">
        <v>17</v>
      </c>
      <c r="F333" s="3">
        <v>447.24</v>
      </c>
      <c r="G333" s="4">
        <v>6</v>
      </c>
      <c r="H333">
        <f>IFERROR(VLOOKUP(A333,Usage!L:M,2,FALSE),0)</f>
        <v>0.89999999999999991</v>
      </c>
      <c r="I333">
        <v>2.7</v>
      </c>
      <c r="J333" s="12">
        <f t="shared" ref="J333:J396" si="22">H333/($D$5/1000)</f>
        <v>3.7440267173746546E-3</v>
      </c>
      <c r="K333">
        <f t="shared" ref="K333:K396" si="23">J333*($D$8/1000)</f>
        <v>0.96580016694199111</v>
      </c>
      <c r="L333" s="2">
        <f t="shared" si="20"/>
        <v>-1.7341998330580091</v>
      </c>
      <c r="M333" s="2">
        <f t="shared" si="21"/>
        <v>-0.28903330550966816</v>
      </c>
    </row>
    <row r="334" spans="1:13">
      <c r="A334" s="2">
        <v>7920</v>
      </c>
      <c r="B334" s="2">
        <v>51</v>
      </c>
      <c r="C334" s="2" t="s">
        <v>337</v>
      </c>
      <c r="D334">
        <v>1</v>
      </c>
      <c r="E334" s="2" t="s">
        <v>0</v>
      </c>
      <c r="F334" s="3">
        <v>393.86</v>
      </c>
      <c r="G334" s="4">
        <v>576</v>
      </c>
      <c r="H334">
        <f>IFERROR(VLOOKUP(A334,Usage!L:M,2,FALSE),0)</f>
        <v>1396</v>
      </c>
      <c r="I334">
        <v>1563</v>
      </c>
      <c r="J334" s="12">
        <f t="shared" si="22"/>
        <v>5.8074014416166868</v>
      </c>
      <c r="K334">
        <f t="shared" si="23"/>
        <v>1498.0633700566887</v>
      </c>
      <c r="L334" s="2">
        <f t="shared" si="20"/>
        <v>-64.936629943311345</v>
      </c>
      <c r="M334" s="2">
        <f t="shared" si="21"/>
        <v>-0.1127372047626933</v>
      </c>
    </row>
    <row r="335" spans="1:13">
      <c r="A335" s="2">
        <v>18309</v>
      </c>
      <c r="B335" s="2">
        <v>51</v>
      </c>
      <c r="C335" s="2" t="s">
        <v>338</v>
      </c>
      <c r="D335">
        <v>4</v>
      </c>
      <c r="E335" s="2" t="s">
        <v>0</v>
      </c>
      <c r="F335" s="3">
        <v>570.41999999999996</v>
      </c>
      <c r="G335" s="4">
        <v>1500</v>
      </c>
      <c r="H335">
        <f>IFERROR(VLOOKUP(A335,Usage!L:M,2,FALSE),0)</f>
        <v>0</v>
      </c>
      <c r="I335">
        <v>1500</v>
      </c>
      <c r="J335" s="12">
        <f t="shared" si="22"/>
        <v>0</v>
      </c>
      <c r="K335">
        <f t="shared" si="23"/>
        <v>0</v>
      </c>
      <c r="L335" s="2">
        <f t="shared" si="20"/>
        <v>-1500</v>
      </c>
      <c r="M335" s="2">
        <f t="shared" si="21"/>
        <v>-1</v>
      </c>
    </row>
    <row r="336" spans="1:13">
      <c r="A336" s="2">
        <v>15652</v>
      </c>
      <c r="B336" s="2">
        <v>51</v>
      </c>
      <c r="C336" s="2" t="s">
        <v>339</v>
      </c>
      <c r="D336">
        <v>1</v>
      </c>
      <c r="E336" s="2" t="s">
        <v>15</v>
      </c>
      <c r="F336" s="3">
        <v>420.9</v>
      </c>
      <c r="G336" s="4">
        <v>24</v>
      </c>
      <c r="H336">
        <f>IFERROR(VLOOKUP(A336,Usage!L:M,2,FALSE),0)</f>
        <v>0</v>
      </c>
      <c r="I336">
        <v>0</v>
      </c>
      <c r="J336" s="12">
        <f t="shared" si="22"/>
        <v>0</v>
      </c>
      <c r="K336">
        <f t="shared" si="23"/>
        <v>0</v>
      </c>
      <c r="L336" s="2">
        <f t="shared" si="20"/>
        <v>0</v>
      </c>
      <c r="M336" s="2">
        <f t="shared" si="21"/>
        <v>0</v>
      </c>
    </row>
    <row r="337" spans="1:13">
      <c r="A337" s="2">
        <v>6761</v>
      </c>
      <c r="B337" s="2">
        <v>51</v>
      </c>
      <c r="C337" s="2" t="s">
        <v>340</v>
      </c>
      <c r="D337">
        <v>1</v>
      </c>
      <c r="E337" s="2" t="s">
        <v>0</v>
      </c>
      <c r="F337" s="3">
        <v>224</v>
      </c>
      <c r="G337" s="4">
        <v>360</v>
      </c>
      <c r="H337">
        <f>IFERROR(VLOOKUP(A337,Usage!L:M,2,FALSE),0)</f>
        <v>0</v>
      </c>
      <c r="I337">
        <v>0</v>
      </c>
      <c r="J337" s="12">
        <f t="shared" si="22"/>
        <v>0</v>
      </c>
      <c r="K337">
        <f t="shared" si="23"/>
        <v>0</v>
      </c>
      <c r="L337" s="2">
        <f t="shared" si="20"/>
        <v>0</v>
      </c>
      <c r="M337" s="2">
        <f t="shared" si="21"/>
        <v>0</v>
      </c>
    </row>
    <row r="338" spans="1:13">
      <c r="A338" s="2">
        <v>15653</v>
      </c>
      <c r="B338" s="2">
        <v>51</v>
      </c>
      <c r="C338" s="2" t="s">
        <v>341</v>
      </c>
      <c r="D338">
        <v>1</v>
      </c>
      <c r="E338" s="2" t="s">
        <v>201</v>
      </c>
      <c r="F338" s="3">
        <v>210.94</v>
      </c>
      <c r="G338" s="4">
        <v>24</v>
      </c>
      <c r="H338">
        <f>IFERROR(VLOOKUP(A338,Usage!L:M,2,FALSE),0)</f>
        <v>0</v>
      </c>
      <c r="I338">
        <v>0</v>
      </c>
      <c r="J338" s="12">
        <f t="shared" si="22"/>
        <v>0</v>
      </c>
      <c r="K338">
        <f t="shared" si="23"/>
        <v>0</v>
      </c>
      <c r="L338" s="2">
        <f t="shared" si="20"/>
        <v>0</v>
      </c>
      <c r="M338" s="2">
        <f t="shared" si="21"/>
        <v>0</v>
      </c>
    </row>
    <row r="339" spans="1:13">
      <c r="A339" s="2">
        <v>15678</v>
      </c>
      <c r="B339" s="2">
        <v>51</v>
      </c>
      <c r="C339" s="2" t="s">
        <v>342</v>
      </c>
      <c r="D339">
        <v>2</v>
      </c>
      <c r="E339" s="2" t="s">
        <v>0</v>
      </c>
      <c r="F339" s="3">
        <v>143.6</v>
      </c>
      <c r="G339" s="4">
        <v>390</v>
      </c>
      <c r="H339">
        <f>IFERROR(VLOOKUP(A339,Usage!L:M,2,FALSE),0)</f>
        <v>251</v>
      </c>
      <c r="I339">
        <v>397</v>
      </c>
      <c r="J339" s="12">
        <f t="shared" si="22"/>
        <v>1.0441674511789316</v>
      </c>
      <c r="K339">
        <f t="shared" si="23"/>
        <v>269.35093544715534</v>
      </c>
      <c r="L339" s="2">
        <f t="shared" si="20"/>
        <v>-127.64906455284466</v>
      </c>
      <c r="M339" s="2">
        <f t="shared" si="21"/>
        <v>-0.32730529372524275</v>
      </c>
    </row>
    <row r="340" spans="1:13">
      <c r="A340" s="2">
        <v>7326</v>
      </c>
      <c r="B340" s="2">
        <v>51</v>
      </c>
      <c r="C340" s="2" t="s">
        <v>343</v>
      </c>
      <c r="D340">
        <v>1</v>
      </c>
      <c r="E340" s="2" t="s">
        <v>0</v>
      </c>
      <c r="F340" s="3">
        <v>365.16</v>
      </c>
      <c r="G340" s="4">
        <v>80</v>
      </c>
      <c r="H340">
        <f>IFERROR(VLOOKUP(A340,Usage!L:M,2,FALSE),0)</f>
        <v>0</v>
      </c>
      <c r="I340">
        <v>0</v>
      </c>
      <c r="J340" s="12">
        <f t="shared" si="22"/>
        <v>0</v>
      </c>
      <c r="K340">
        <f t="shared" si="23"/>
        <v>0</v>
      </c>
      <c r="L340" s="2">
        <f t="shared" si="20"/>
        <v>0</v>
      </c>
      <c r="M340" s="2">
        <f t="shared" si="21"/>
        <v>0</v>
      </c>
    </row>
    <row r="341" spans="1:13">
      <c r="A341" s="2">
        <v>391</v>
      </c>
      <c r="B341" s="2">
        <v>52</v>
      </c>
      <c r="C341" s="2" t="s">
        <v>344</v>
      </c>
      <c r="D341">
        <v>1</v>
      </c>
      <c r="E341" s="2" t="s">
        <v>0</v>
      </c>
      <c r="F341" s="3">
        <v>109.92</v>
      </c>
      <c r="G341" s="4">
        <v>120</v>
      </c>
      <c r="H341">
        <f>IFERROR(VLOOKUP(A341,Usage!L:M,2,FALSE),0)</f>
        <v>0</v>
      </c>
      <c r="I341">
        <v>0</v>
      </c>
      <c r="J341" s="12">
        <f t="shared" si="22"/>
        <v>0</v>
      </c>
      <c r="K341">
        <f t="shared" si="23"/>
        <v>0</v>
      </c>
      <c r="L341" s="2">
        <f t="shared" si="20"/>
        <v>0</v>
      </c>
      <c r="M341" s="2">
        <f t="shared" si="21"/>
        <v>0</v>
      </c>
    </row>
    <row r="342" spans="1:13">
      <c r="A342" s="2">
        <v>10458</v>
      </c>
      <c r="B342" s="2">
        <v>51</v>
      </c>
      <c r="C342" s="2" t="s">
        <v>345</v>
      </c>
      <c r="D342">
        <v>1</v>
      </c>
      <c r="E342" s="2" t="s">
        <v>26</v>
      </c>
      <c r="F342" s="3">
        <v>86.07</v>
      </c>
      <c r="G342" s="4">
        <v>10</v>
      </c>
      <c r="H342">
        <f>IFERROR(VLOOKUP(A342,Usage!L:M,2,FALSE),0)</f>
        <v>0</v>
      </c>
      <c r="I342">
        <v>0</v>
      </c>
      <c r="J342" s="12">
        <f t="shared" si="22"/>
        <v>0</v>
      </c>
      <c r="K342">
        <f t="shared" si="23"/>
        <v>0</v>
      </c>
      <c r="L342" s="2">
        <f t="shared" si="20"/>
        <v>0</v>
      </c>
      <c r="M342" s="2">
        <f t="shared" si="21"/>
        <v>0</v>
      </c>
    </row>
    <row r="343" spans="1:13">
      <c r="A343" s="2">
        <v>11313</v>
      </c>
      <c r="B343" s="2">
        <v>51</v>
      </c>
      <c r="C343" s="2" t="s">
        <v>346</v>
      </c>
      <c r="D343">
        <v>1</v>
      </c>
      <c r="E343" s="2" t="s">
        <v>0</v>
      </c>
      <c r="F343" s="3">
        <v>124.2</v>
      </c>
      <c r="G343" s="4">
        <v>105</v>
      </c>
      <c r="H343">
        <f>IFERROR(VLOOKUP(A343,Usage!L:M,2,FALSE),0)</f>
        <v>0</v>
      </c>
      <c r="I343">
        <v>0</v>
      </c>
      <c r="J343" s="12">
        <f t="shared" si="22"/>
        <v>0</v>
      </c>
      <c r="K343">
        <f t="shared" si="23"/>
        <v>0</v>
      </c>
      <c r="L343" s="2">
        <f t="shared" si="20"/>
        <v>0</v>
      </c>
      <c r="M343" s="2">
        <f t="shared" si="21"/>
        <v>0</v>
      </c>
    </row>
    <row r="344" spans="1:13">
      <c r="A344" s="2">
        <v>36055</v>
      </c>
      <c r="B344" s="2">
        <v>51</v>
      </c>
      <c r="C344" s="2" t="s">
        <v>347</v>
      </c>
      <c r="D344">
        <v>2</v>
      </c>
      <c r="E344" s="2" t="s">
        <v>0</v>
      </c>
      <c r="F344" s="3">
        <v>163.28</v>
      </c>
      <c r="G344" s="4">
        <v>450</v>
      </c>
      <c r="H344">
        <f>IFERROR(VLOOKUP(A344,Usage!L:M,2,FALSE),0)</f>
        <v>0</v>
      </c>
      <c r="I344">
        <v>0</v>
      </c>
      <c r="J344" s="12">
        <f t="shared" si="22"/>
        <v>0</v>
      </c>
      <c r="K344">
        <f t="shared" si="23"/>
        <v>0</v>
      </c>
      <c r="L344" s="2">
        <f t="shared" si="20"/>
        <v>0</v>
      </c>
      <c r="M344" s="2">
        <f t="shared" si="21"/>
        <v>0</v>
      </c>
    </row>
    <row r="345" spans="1:13">
      <c r="A345" s="2">
        <v>8207</v>
      </c>
      <c r="B345" s="2">
        <v>51</v>
      </c>
      <c r="C345" s="2" t="s">
        <v>348</v>
      </c>
      <c r="D345">
        <v>1</v>
      </c>
      <c r="E345" s="2" t="s">
        <v>0</v>
      </c>
      <c r="F345" s="3">
        <v>219.92</v>
      </c>
      <c r="G345" s="4">
        <v>300</v>
      </c>
      <c r="H345">
        <f>IFERROR(VLOOKUP(A345,Usage!L:M,2,FALSE),0)</f>
        <v>0</v>
      </c>
      <c r="I345">
        <v>0</v>
      </c>
      <c r="J345" s="12">
        <f t="shared" si="22"/>
        <v>0</v>
      </c>
      <c r="K345">
        <f t="shared" si="23"/>
        <v>0</v>
      </c>
      <c r="L345" s="2">
        <f t="shared" si="20"/>
        <v>0</v>
      </c>
      <c r="M345" s="2">
        <f t="shared" si="21"/>
        <v>0</v>
      </c>
    </row>
    <row r="346" spans="1:13">
      <c r="A346" s="2">
        <v>3595</v>
      </c>
      <c r="B346" s="2">
        <v>51</v>
      </c>
      <c r="C346" s="2" t="s">
        <v>349</v>
      </c>
      <c r="D346">
        <v>2</v>
      </c>
      <c r="E346" s="2" t="s">
        <v>0</v>
      </c>
      <c r="F346" s="3">
        <v>181.73</v>
      </c>
      <c r="G346" s="4">
        <v>1200</v>
      </c>
      <c r="H346">
        <f>IFERROR(VLOOKUP(A346,Usage!L:M,2,FALSE),0)</f>
        <v>0</v>
      </c>
      <c r="I346">
        <v>0</v>
      </c>
      <c r="J346" s="12">
        <f t="shared" si="22"/>
        <v>0</v>
      </c>
      <c r="K346">
        <f t="shared" si="23"/>
        <v>0</v>
      </c>
      <c r="L346" s="2">
        <f t="shared" si="20"/>
        <v>0</v>
      </c>
      <c r="M346" s="2">
        <f t="shared" si="21"/>
        <v>0</v>
      </c>
    </row>
    <row r="347" spans="1:13">
      <c r="A347" s="2">
        <v>30139</v>
      </c>
      <c r="B347" s="2">
        <v>51</v>
      </c>
      <c r="C347" s="2" t="s">
        <v>350</v>
      </c>
      <c r="D347">
        <v>1</v>
      </c>
      <c r="E347" s="2" t="s">
        <v>0</v>
      </c>
      <c r="F347" s="3">
        <v>288.97000000000003</v>
      </c>
      <c r="G347" s="4">
        <v>200</v>
      </c>
      <c r="H347">
        <f>IFERROR(VLOOKUP(A347,Usage!L:M,2,FALSE),0)</f>
        <v>12</v>
      </c>
      <c r="I347">
        <v>248</v>
      </c>
      <c r="J347" s="12">
        <f t="shared" si="22"/>
        <v>4.9920356231662071E-2</v>
      </c>
      <c r="K347">
        <f t="shared" si="23"/>
        <v>12.877335559226552</v>
      </c>
      <c r="L347" s="2">
        <f t="shared" si="20"/>
        <v>-235.12266444077346</v>
      </c>
      <c r="M347" s="2">
        <f t="shared" si="21"/>
        <v>-1.1756133222038674</v>
      </c>
    </row>
    <row r="348" spans="1:13">
      <c r="A348" s="2">
        <v>30140</v>
      </c>
      <c r="B348" s="2">
        <v>51</v>
      </c>
      <c r="C348" s="2" t="s">
        <v>351</v>
      </c>
      <c r="D348">
        <v>1</v>
      </c>
      <c r="E348" s="2" t="s">
        <v>0</v>
      </c>
      <c r="F348" s="3">
        <v>288.97000000000003</v>
      </c>
      <c r="G348" s="4">
        <v>200</v>
      </c>
      <c r="H348">
        <f>IFERROR(VLOOKUP(A348,Usage!L:M,2,FALSE),0)</f>
        <v>10</v>
      </c>
      <c r="I348">
        <v>54</v>
      </c>
      <c r="J348" s="12">
        <f t="shared" si="22"/>
        <v>4.1600296859718389E-2</v>
      </c>
      <c r="K348">
        <f t="shared" si="23"/>
        <v>10.731112966022124</v>
      </c>
      <c r="L348" s="2">
        <f t="shared" si="20"/>
        <v>-43.268887033977876</v>
      </c>
      <c r="M348" s="2">
        <f t="shared" si="21"/>
        <v>-0.21634443516988938</v>
      </c>
    </row>
    <row r="349" spans="1:13">
      <c r="A349" s="2">
        <v>1912</v>
      </c>
      <c r="B349" s="2">
        <v>51</v>
      </c>
      <c r="C349" s="2" t="s">
        <v>352</v>
      </c>
      <c r="D349">
        <v>1</v>
      </c>
      <c r="E349" s="2" t="s">
        <v>201</v>
      </c>
      <c r="F349" s="3">
        <v>555.79999999999995</v>
      </c>
      <c r="G349" s="4">
        <v>10</v>
      </c>
      <c r="H349">
        <f>IFERROR(VLOOKUP(A349,Usage!L:M,2,FALSE),0)</f>
        <v>0</v>
      </c>
      <c r="I349">
        <v>0</v>
      </c>
      <c r="J349" s="12">
        <f t="shared" si="22"/>
        <v>0</v>
      </c>
      <c r="K349">
        <f t="shared" si="23"/>
        <v>0</v>
      </c>
      <c r="L349" s="2">
        <f t="shared" si="20"/>
        <v>0</v>
      </c>
      <c r="M349" s="2">
        <f t="shared" si="21"/>
        <v>0</v>
      </c>
    </row>
    <row r="350" spans="1:13">
      <c r="A350" s="2">
        <v>6375</v>
      </c>
      <c r="B350" s="2">
        <v>51</v>
      </c>
      <c r="C350" s="2" t="s">
        <v>353</v>
      </c>
      <c r="D350">
        <v>2</v>
      </c>
      <c r="E350" s="2" t="s">
        <v>0</v>
      </c>
      <c r="F350" s="3">
        <v>126.46</v>
      </c>
      <c r="G350" s="4">
        <v>1000</v>
      </c>
      <c r="H350">
        <f>IFERROR(VLOOKUP(A350,Usage!L:M,2,FALSE),0)</f>
        <v>0</v>
      </c>
      <c r="I350">
        <v>0</v>
      </c>
      <c r="J350" s="12">
        <f t="shared" si="22"/>
        <v>0</v>
      </c>
      <c r="K350">
        <f t="shared" si="23"/>
        <v>0</v>
      </c>
      <c r="L350" s="2">
        <f t="shared" si="20"/>
        <v>0</v>
      </c>
      <c r="M350" s="2">
        <f t="shared" si="21"/>
        <v>0</v>
      </c>
    </row>
    <row r="351" spans="1:13">
      <c r="A351" s="2">
        <v>19235</v>
      </c>
      <c r="B351" s="2">
        <v>51</v>
      </c>
      <c r="C351" s="2" t="s">
        <v>354</v>
      </c>
      <c r="D351">
        <v>4</v>
      </c>
      <c r="E351" s="2" t="s">
        <v>0</v>
      </c>
      <c r="F351" s="3">
        <v>633.74</v>
      </c>
      <c r="G351" s="4">
        <v>1500</v>
      </c>
      <c r="H351">
        <f>IFERROR(VLOOKUP(A351,Usage!L:M,2,FALSE),0)</f>
        <v>0</v>
      </c>
      <c r="I351">
        <v>0</v>
      </c>
      <c r="J351" s="12">
        <f t="shared" si="22"/>
        <v>0</v>
      </c>
      <c r="K351">
        <f t="shared" si="23"/>
        <v>0</v>
      </c>
      <c r="L351" s="2">
        <f t="shared" si="20"/>
        <v>0</v>
      </c>
      <c r="M351" s="2">
        <f t="shared" si="21"/>
        <v>0</v>
      </c>
    </row>
    <row r="352" spans="1:13">
      <c r="A352" s="2">
        <v>19050</v>
      </c>
      <c r="B352" s="2">
        <v>51</v>
      </c>
      <c r="C352" s="2" t="s">
        <v>355</v>
      </c>
      <c r="D352">
        <v>4</v>
      </c>
      <c r="E352" s="2" t="s">
        <v>0</v>
      </c>
      <c r="F352" s="3">
        <v>667.44</v>
      </c>
      <c r="G352" s="4">
        <v>24</v>
      </c>
      <c r="H352">
        <f>IFERROR(VLOOKUP(A352,Usage!L:M,2,FALSE),0)</f>
        <v>2</v>
      </c>
      <c r="I352">
        <v>92</v>
      </c>
      <c r="J352" s="12">
        <f t="shared" si="22"/>
        <v>8.3200593719436784E-3</v>
      </c>
      <c r="K352">
        <f t="shared" si="23"/>
        <v>2.146222593204425</v>
      </c>
      <c r="L352" s="2">
        <f t="shared" si="20"/>
        <v>-89.853777406795572</v>
      </c>
      <c r="M352" s="2">
        <f t="shared" si="21"/>
        <v>-3.7439073919498154</v>
      </c>
    </row>
    <row r="353" spans="1:13">
      <c r="A353" s="2">
        <v>11662</v>
      </c>
      <c r="B353" s="2">
        <v>51</v>
      </c>
      <c r="C353" s="2" t="s">
        <v>356</v>
      </c>
      <c r="D353">
        <v>1</v>
      </c>
      <c r="E353" s="2" t="s">
        <v>0</v>
      </c>
      <c r="F353" s="3">
        <v>97.95</v>
      </c>
      <c r="G353" s="4">
        <v>156</v>
      </c>
      <c r="H353">
        <f>IFERROR(VLOOKUP(A353,Usage!L:M,2,FALSE),0)</f>
        <v>0</v>
      </c>
      <c r="I353">
        <v>0</v>
      </c>
      <c r="J353" s="12">
        <f t="shared" si="22"/>
        <v>0</v>
      </c>
      <c r="K353">
        <f t="shared" si="23"/>
        <v>0</v>
      </c>
      <c r="L353" s="2">
        <f t="shared" si="20"/>
        <v>0</v>
      </c>
      <c r="M353" s="2">
        <f t="shared" si="21"/>
        <v>0</v>
      </c>
    </row>
    <row r="354" spans="1:13">
      <c r="A354" s="2">
        <v>4703</v>
      </c>
      <c r="B354" s="2">
        <v>51</v>
      </c>
      <c r="C354" s="2" t="s">
        <v>357</v>
      </c>
      <c r="D354">
        <v>2</v>
      </c>
      <c r="E354" s="2" t="s">
        <v>0</v>
      </c>
      <c r="F354" s="3">
        <v>210.77</v>
      </c>
      <c r="G354" s="4">
        <v>250</v>
      </c>
      <c r="H354">
        <f>IFERROR(VLOOKUP(A354,Usage!L:M,2,FALSE),0)</f>
        <v>0</v>
      </c>
      <c r="I354">
        <v>139</v>
      </c>
      <c r="J354" s="12">
        <f t="shared" si="22"/>
        <v>0</v>
      </c>
      <c r="K354">
        <f t="shared" si="23"/>
        <v>0</v>
      </c>
      <c r="L354" s="2">
        <f t="shared" si="20"/>
        <v>-139</v>
      </c>
      <c r="M354" s="2">
        <f t="shared" si="21"/>
        <v>-0.55600000000000005</v>
      </c>
    </row>
    <row r="355" spans="1:13">
      <c r="A355" s="2">
        <v>9930</v>
      </c>
      <c r="B355" s="2">
        <v>51</v>
      </c>
      <c r="C355" s="2" t="s">
        <v>358</v>
      </c>
      <c r="D355">
        <v>1</v>
      </c>
      <c r="E355" s="2" t="s">
        <v>0</v>
      </c>
      <c r="F355" s="3">
        <v>194.6</v>
      </c>
      <c r="G355" s="4">
        <v>12</v>
      </c>
      <c r="H355">
        <f>IFERROR(VLOOKUP(A355,Usage!L:M,2,FALSE),0)</f>
        <v>2</v>
      </c>
      <c r="I355">
        <v>2</v>
      </c>
      <c r="J355" s="12">
        <f t="shared" si="22"/>
        <v>8.3200593719436784E-3</v>
      </c>
      <c r="K355">
        <f t="shared" si="23"/>
        <v>2.146222593204425</v>
      </c>
      <c r="L355" s="2">
        <f t="shared" si="20"/>
        <v>0.14622259320442499</v>
      </c>
      <c r="M355" s="2">
        <f t="shared" si="21"/>
        <v>1.2185216100368748E-2</v>
      </c>
    </row>
    <row r="356" spans="1:13">
      <c r="A356" s="2">
        <v>5430</v>
      </c>
      <c r="B356" s="2">
        <v>51</v>
      </c>
      <c r="C356" s="2" t="s">
        <v>359</v>
      </c>
      <c r="D356">
        <v>2</v>
      </c>
      <c r="E356" s="2" t="s">
        <v>0</v>
      </c>
      <c r="F356" s="3">
        <v>124.95</v>
      </c>
      <c r="G356" s="4">
        <v>1000</v>
      </c>
      <c r="H356">
        <f>IFERROR(VLOOKUP(A356,Usage!L:M,2,FALSE),0)</f>
        <v>0</v>
      </c>
      <c r="I356">
        <v>700</v>
      </c>
      <c r="J356" s="12">
        <f t="shared" si="22"/>
        <v>0</v>
      </c>
      <c r="K356">
        <f t="shared" si="23"/>
        <v>0</v>
      </c>
      <c r="L356" s="2">
        <f t="shared" si="20"/>
        <v>-700</v>
      </c>
      <c r="M356" s="2">
        <f t="shared" si="21"/>
        <v>-0.7</v>
      </c>
    </row>
    <row r="357" spans="1:13">
      <c r="A357" s="2">
        <v>5431</v>
      </c>
      <c r="B357" s="2">
        <v>51</v>
      </c>
      <c r="C357" s="2" t="s">
        <v>360</v>
      </c>
      <c r="D357">
        <v>2</v>
      </c>
      <c r="E357" s="2" t="s">
        <v>0</v>
      </c>
      <c r="F357" s="3">
        <v>166.54</v>
      </c>
      <c r="G357" s="4">
        <v>1000</v>
      </c>
      <c r="H357">
        <f>IFERROR(VLOOKUP(A357,Usage!L:M,2,FALSE),0)</f>
        <v>0</v>
      </c>
      <c r="I357">
        <v>1200</v>
      </c>
      <c r="J357" s="12">
        <f t="shared" si="22"/>
        <v>0</v>
      </c>
      <c r="K357">
        <f t="shared" si="23"/>
        <v>0</v>
      </c>
      <c r="L357" s="2">
        <f t="shared" si="20"/>
        <v>-1200</v>
      </c>
      <c r="M357" s="2">
        <f t="shared" si="21"/>
        <v>-1.2</v>
      </c>
    </row>
    <row r="358" spans="1:13">
      <c r="A358" s="2">
        <v>5432</v>
      </c>
      <c r="B358" s="2">
        <v>51</v>
      </c>
      <c r="C358" s="2" t="s">
        <v>361</v>
      </c>
      <c r="D358">
        <v>2</v>
      </c>
      <c r="E358" s="2" t="s">
        <v>0</v>
      </c>
      <c r="F358" s="3">
        <v>116.85</v>
      </c>
      <c r="G358" s="4">
        <v>500</v>
      </c>
      <c r="H358">
        <f>IFERROR(VLOOKUP(A358,Usage!L:M,2,FALSE),0)</f>
        <v>0</v>
      </c>
      <c r="I358">
        <v>500</v>
      </c>
      <c r="J358" s="12">
        <f t="shared" si="22"/>
        <v>0</v>
      </c>
      <c r="K358">
        <f t="shared" si="23"/>
        <v>0</v>
      </c>
      <c r="L358" s="2">
        <f t="shared" si="20"/>
        <v>-500</v>
      </c>
      <c r="M358" s="2">
        <f t="shared" si="21"/>
        <v>-1</v>
      </c>
    </row>
    <row r="359" spans="1:13">
      <c r="A359" s="2">
        <v>9931</v>
      </c>
      <c r="B359" s="2">
        <v>51</v>
      </c>
      <c r="C359" s="2" t="s">
        <v>362</v>
      </c>
      <c r="D359">
        <v>1</v>
      </c>
      <c r="E359" s="2" t="s">
        <v>0</v>
      </c>
      <c r="F359" s="3">
        <v>63.6</v>
      </c>
      <c r="G359" s="4">
        <v>10</v>
      </c>
      <c r="H359">
        <f>IFERROR(VLOOKUP(A359,Usage!L:M,2,FALSE),0)</f>
        <v>0</v>
      </c>
      <c r="I359">
        <v>14</v>
      </c>
      <c r="J359" s="12">
        <f t="shared" si="22"/>
        <v>0</v>
      </c>
      <c r="K359">
        <f t="shared" si="23"/>
        <v>0</v>
      </c>
      <c r="L359" s="2">
        <f t="shared" si="20"/>
        <v>-14</v>
      </c>
      <c r="M359" s="2">
        <f t="shared" si="21"/>
        <v>-1.4</v>
      </c>
    </row>
    <row r="360" spans="1:13">
      <c r="A360" s="2">
        <v>3206</v>
      </c>
      <c r="B360" s="2">
        <v>51</v>
      </c>
      <c r="C360" s="2" t="s">
        <v>363</v>
      </c>
      <c r="D360">
        <v>2</v>
      </c>
      <c r="E360" s="2" t="s">
        <v>0</v>
      </c>
      <c r="F360" s="3">
        <v>235.42</v>
      </c>
      <c r="G360" s="4">
        <v>100</v>
      </c>
      <c r="H360">
        <f>IFERROR(VLOOKUP(A360,Usage!L:M,2,FALSE),0)</f>
        <v>2</v>
      </c>
      <c r="I360">
        <v>2</v>
      </c>
      <c r="J360" s="12">
        <f t="shared" si="22"/>
        <v>8.3200593719436784E-3</v>
      </c>
      <c r="K360">
        <f t="shared" si="23"/>
        <v>2.146222593204425</v>
      </c>
      <c r="L360" s="2">
        <f t="shared" si="20"/>
        <v>0.14622259320442499</v>
      </c>
      <c r="M360" s="2">
        <f t="shared" si="21"/>
        <v>1.4622259320442499E-3</v>
      </c>
    </row>
    <row r="361" spans="1:13">
      <c r="A361" s="2">
        <v>4887</v>
      </c>
      <c r="B361" s="2">
        <v>51</v>
      </c>
      <c r="C361" s="2" t="s">
        <v>364</v>
      </c>
      <c r="D361">
        <v>1</v>
      </c>
      <c r="E361" s="2" t="s">
        <v>0</v>
      </c>
      <c r="F361" s="3">
        <v>335.39</v>
      </c>
      <c r="G361" s="4">
        <v>864</v>
      </c>
      <c r="H361">
        <f>IFERROR(VLOOKUP(A361,Usage!L:M,2,FALSE),0)</f>
        <v>0</v>
      </c>
      <c r="I361">
        <v>0</v>
      </c>
      <c r="J361" s="12">
        <f t="shared" si="22"/>
        <v>0</v>
      </c>
      <c r="K361">
        <f t="shared" si="23"/>
        <v>0</v>
      </c>
      <c r="L361" s="2">
        <f t="shared" si="20"/>
        <v>0</v>
      </c>
      <c r="M361" s="2">
        <f t="shared" si="21"/>
        <v>0</v>
      </c>
    </row>
    <row r="362" spans="1:13">
      <c r="A362" s="2">
        <v>1224</v>
      </c>
      <c r="B362" s="2">
        <v>51</v>
      </c>
      <c r="C362" s="2" t="s">
        <v>365</v>
      </c>
      <c r="D362">
        <v>4</v>
      </c>
      <c r="E362" s="2" t="s">
        <v>0</v>
      </c>
      <c r="F362" s="3">
        <v>235.21</v>
      </c>
      <c r="G362" s="4">
        <v>600</v>
      </c>
      <c r="H362">
        <f>IFERROR(VLOOKUP(A362,Usage!L:M,2,FALSE),0)</f>
        <v>0</v>
      </c>
      <c r="I362">
        <v>0</v>
      </c>
      <c r="J362" s="12">
        <f t="shared" si="22"/>
        <v>0</v>
      </c>
      <c r="K362">
        <f t="shared" si="23"/>
        <v>0</v>
      </c>
      <c r="L362" s="2">
        <f t="shared" si="20"/>
        <v>0</v>
      </c>
      <c r="M362" s="2">
        <f t="shared" si="21"/>
        <v>0</v>
      </c>
    </row>
    <row r="363" spans="1:13">
      <c r="A363" s="2">
        <v>12244</v>
      </c>
      <c r="B363" s="2">
        <v>51</v>
      </c>
      <c r="C363" s="2" t="s">
        <v>366</v>
      </c>
      <c r="D363">
        <v>4</v>
      </c>
      <c r="E363" s="2" t="s">
        <v>0</v>
      </c>
      <c r="F363" s="3">
        <v>1850.12</v>
      </c>
      <c r="G363" s="4">
        <v>100</v>
      </c>
      <c r="H363">
        <f>IFERROR(VLOOKUP(A363,Usage!L:M,2,FALSE),0)</f>
        <v>0</v>
      </c>
      <c r="I363">
        <v>0</v>
      </c>
      <c r="J363" s="12">
        <f t="shared" si="22"/>
        <v>0</v>
      </c>
      <c r="K363">
        <f t="shared" si="23"/>
        <v>0</v>
      </c>
      <c r="L363" s="2">
        <f t="shared" si="20"/>
        <v>0</v>
      </c>
      <c r="M363" s="2">
        <f t="shared" si="21"/>
        <v>0</v>
      </c>
    </row>
    <row r="364" spans="1:13">
      <c r="A364" s="2">
        <v>12245</v>
      </c>
      <c r="B364" s="2">
        <v>51</v>
      </c>
      <c r="C364" s="2" t="s">
        <v>367</v>
      </c>
      <c r="D364">
        <v>4</v>
      </c>
      <c r="E364" s="2" t="s">
        <v>0</v>
      </c>
      <c r="F364" s="3">
        <v>1850.12</v>
      </c>
      <c r="G364" s="4">
        <v>100</v>
      </c>
      <c r="H364">
        <f>IFERROR(VLOOKUP(A364,Usage!L:M,2,FALSE),0)</f>
        <v>0</v>
      </c>
      <c r="I364">
        <v>0</v>
      </c>
      <c r="J364" s="12">
        <f t="shared" si="22"/>
        <v>0</v>
      </c>
      <c r="K364">
        <f t="shared" si="23"/>
        <v>0</v>
      </c>
      <c r="L364" s="2">
        <f t="shared" si="20"/>
        <v>0</v>
      </c>
      <c r="M364" s="2">
        <f t="shared" si="21"/>
        <v>0</v>
      </c>
    </row>
    <row r="365" spans="1:13">
      <c r="A365" s="2">
        <v>92084</v>
      </c>
      <c r="B365" s="2">
        <v>51</v>
      </c>
      <c r="C365" s="2" t="s">
        <v>368</v>
      </c>
      <c r="D365">
        <v>1</v>
      </c>
      <c r="E365" s="2" t="s">
        <v>15</v>
      </c>
      <c r="F365" s="3">
        <v>371.63</v>
      </c>
      <c r="G365" s="4">
        <v>24</v>
      </c>
      <c r="H365">
        <f>IFERROR(VLOOKUP(A365,Usage!L:M,2,FALSE),0)</f>
        <v>0</v>
      </c>
      <c r="I365">
        <v>0</v>
      </c>
      <c r="J365" s="12">
        <f t="shared" si="22"/>
        <v>0</v>
      </c>
      <c r="K365">
        <f t="shared" si="23"/>
        <v>0</v>
      </c>
      <c r="L365" s="2">
        <f t="shared" si="20"/>
        <v>0</v>
      </c>
      <c r="M365" s="2">
        <f t="shared" si="21"/>
        <v>0</v>
      </c>
    </row>
    <row r="366" spans="1:13">
      <c r="A366" s="2">
        <v>19346</v>
      </c>
      <c r="B366" s="2">
        <v>51</v>
      </c>
      <c r="C366" s="2" t="s">
        <v>369</v>
      </c>
      <c r="D366">
        <v>4</v>
      </c>
      <c r="E366" s="2" t="s">
        <v>0</v>
      </c>
      <c r="F366" s="3">
        <v>549.89</v>
      </c>
      <c r="G366" s="4">
        <v>1500</v>
      </c>
      <c r="H366">
        <f>IFERROR(VLOOKUP(A366,Usage!L:M,2,FALSE),0)</f>
        <v>0</v>
      </c>
      <c r="I366">
        <v>1500</v>
      </c>
      <c r="J366" s="12">
        <f t="shared" si="22"/>
        <v>0</v>
      </c>
      <c r="K366">
        <f t="shared" si="23"/>
        <v>0</v>
      </c>
      <c r="L366" s="2">
        <f t="shared" si="20"/>
        <v>-1500</v>
      </c>
      <c r="M366" s="2">
        <f t="shared" si="21"/>
        <v>-1</v>
      </c>
    </row>
    <row r="367" spans="1:13">
      <c r="A367" s="2">
        <v>18649</v>
      </c>
      <c r="B367" s="2">
        <v>51</v>
      </c>
      <c r="C367" s="2" t="s">
        <v>370</v>
      </c>
      <c r="D367">
        <v>1</v>
      </c>
      <c r="E367" s="2" t="s">
        <v>0</v>
      </c>
      <c r="F367" s="3">
        <v>422.79</v>
      </c>
      <c r="G367" s="4">
        <v>96</v>
      </c>
      <c r="H367">
        <f>IFERROR(VLOOKUP(A367,Usage!L:M,2,FALSE),0)</f>
        <v>262</v>
      </c>
      <c r="I367">
        <v>662</v>
      </c>
      <c r="J367" s="12">
        <f t="shared" si="22"/>
        <v>1.0899277777246219</v>
      </c>
      <c r="K367">
        <f t="shared" si="23"/>
        <v>281.1551597097797</v>
      </c>
      <c r="L367" s="2">
        <f t="shared" si="20"/>
        <v>-380.8448402902203</v>
      </c>
      <c r="M367" s="2">
        <f t="shared" si="21"/>
        <v>-3.9671337530231283</v>
      </c>
    </row>
    <row r="368" spans="1:13">
      <c r="A368" s="2">
        <v>19541</v>
      </c>
      <c r="B368" s="2">
        <v>51</v>
      </c>
      <c r="C368" s="2" t="s">
        <v>371</v>
      </c>
      <c r="D368">
        <v>4</v>
      </c>
      <c r="E368" s="2" t="s">
        <v>0</v>
      </c>
      <c r="F368" s="3">
        <v>477.84</v>
      </c>
      <c r="G368" s="4">
        <v>1500</v>
      </c>
      <c r="H368">
        <f>IFERROR(VLOOKUP(A368,Usage!L:M,2,FALSE),0)</f>
        <v>0</v>
      </c>
      <c r="I368">
        <v>1500</v>
      </c>
      <c r="J368" s="12">
        <f t="shared" si="22"/>
        <v>0</v>
      </c>
      <c r="K368">
        <f t="shared" si="23"/>
        <v>0</v>
      </c>
      <c r="L368" s="2">
        <f t="shared" si="20"/>
        <v>-1500</v>
      </c>
      <c r="M368" s="2">
        <f t="shared" si="21"/>
        <v>-1</v>
      </c>
    </row>
    <row r="369" spans="1:13">
      <c r="A369" s="2">
        <v>17581</v>
      </c>
      <c r="B369" s="2">
        <v>52</v>
      </c>
      <c r="C369" s="2" t="s">
        <v>372</v>
      </c>
      <c r="D369">
        <v>1</v>
      </c>
      <c r="E369" s="2" t="s">
        <v>0</v>
      </c>
      <c r="F369" s="3">
        <v>132.12</v>
      </c>
      <c r="G369" s="4">
        <v>180</v>
      </c>
      <c r="H369">
        <f>IFERROR(VLOOKUP(A369,Usage!L:M,2,FALSE),0)</f>
        <v>453</v>
      </c>
      <c r="I369">
        <v>263</v>
      </c>
      <c r="J369" s="12">
        <f t="shared" si="22"/>
        <v>1.8844934477452431</v>
      </c>
      <c r="K369">
        <f t="shared" si="23"/>
        <v>486.11941736080229</v>
      </c>
      <c r="L369" s="2">
        <f t="shared" si="20"/>
        <v>223.11941736080229</v>
      </c>
      <c r="M369" s="2">
        <f t="shared" si="21"/>
        <v>1.2395523186711239</v>
      </c>
    </row>
    <row r="370" spans="1:13">
      <c r="A370" s="2">
        <v>23991</v>
      </c>
      <c r="B370" s="2">
        <v>51</v>
      </c>
      <c r="C370" s="2" t="s">
        <v>373</v>
      </c>
      <c r="D370">
        <v>1</v>
      </c>
      <c r="E370" s="2" t="s">
        <v>15</v>
      </c>
      <c r="F370" s="3">
        <v>244.44</v>
      </c>
      <c r="G370" s="4">
        <v>24</v>
      </c>
      <c r="H370">
        <f>IFERROR(VLOOKUP(A370,Usage!L:M,2,FALSE),0)</f>
        <v>5.1100000000000003</v>
      </c>
      <c r="I370">
        <v>1</v>
      </c>
      <c r="J370" s="12">
        <f t="shared" si="22"/>
        <v>2.1257751695316098E-2</v>
      </c>
      <c r="K370">
        <f t="shared" si="23"/>
        <v>5.4835987256373064</v>
      </c>
      <c r="L370" s="2">
        <f t="shared" si="20"/>
        <v>4.4835987256373064</v>
      </c>
      <c r="M370" s="2">
        <f t="shared" si="21"/>
        <v>0.1868166135682211</v>
      </c>
    </row>
    <row r="371" spans="1:13">
      <c r="A371" s="2">
        <v>19051</v>
      </c>
      <c r="B371" s="2">
        <v>51</v>
      </c>
      <c r="C371" s="2" t="s">
        <v>374</v>
      </c>
      <c r="D371">
        <v>4</v>
      </c>
      <c r="E371" s="2" t="s">
        <v>0</v>
      </c>
      <c r="F371" s="3">
        <v>1345.8</v>
      </c>
      <c r="G371" s="4">
        <v>50</v>
      </c>
      <c r="H371">
        <f>IFERROR(VLOOKUP(A371,Usage!L:M,2,FALSE),0)</f>
        <v>0</v>
      </c>
      <c r="I371">
        <v>16</v>
      </c>
      <c r="J371" s="12">
        <f t="shared" si="22"/>
        <v>0</v>
      </c>
      <c r="K371">
        <f t="shared" si="23"/>
        <v>0</v>
      </c>
      <c r="L371" s="2">
        <f t="shared" si="20"/>
        <v>-16</v>
      </c>
      <c r="M371" s="2">
        <f t="shared" si="21"/>
        <v>-0.32</v>
      </c>
    </row>
    <row r="372" spans="1:13">
      <c r="A372" s="2">
        <v>84522</v>
      </c>
      <c r="B372" s="2">
        <v>51</v>
      </c>
      <c r="C372" s="2" t="s">
        <v>375</v>
      </c>
      <c r="D372">
        <v>1</v>
      </c>
      <c r="E372" s="2" t="s">
        <v>0</v>
      </c>
      <c r="F372" s="3">
        <v>78.88</v>
      </c>
      <c r="G372" s="4">
        <v>20</v>
      </c>
      <c r="H372">
        <f>IFERROR(VLOOKUP(A372,Usage!L:M,2,FALSE),0)</f>
        <v>15</v>
      </c>
      <c r="I372">
        <v>2</v>
      </c>
      <c r="J372" s="12">
        <f t="shared" si="22"/>
        <v>6.2400445289577583E-2</v>
      </c>
      <c r="K372">
        <f t="shared" si="23"/>
        <v>16.096669449033186</v>
      </c>
      <c r="L372" s="2">
        <f t="shared" si="20"/>
        <v>14.096669449033186</v>
      </c>
      <c r="M372" s="2">
        <f t="shared" si="21"/>
        <v>0.70483347245165928</v>
      </c>
    </row>
    <row r="373" spans="1:13">
      <c r="A373" s="2">
        <v>84523</v>
      </c>
      <c r="B373" s="2">
        <v>51</v>
      </c>
      <c r="C373" s="2" t="s">
        <v>376</v>
      </c>
      <c r="D373">
        <v>1</v>
      </c>
      <c r="E373" s="2" t="s">
        <v>0</v>
      </c>
      <c r="F373" s="3">
        <v>79.02</v>
      </c>
      <c r="G373" s="4">
        <v>20</v>
      </c>
      <c r="H373">
        <f>IFERROR(VLOOKUP(A373,Usage!L:M,2,FALSE),0)</f>
        <v>22</v>
      </c>
      <c r="I373">
        <v>34</v>
      </c>
      <c r="J373" s="12">
        <f t="shared" si="22"/>
        <v>9.1520653091380452E-2</v>
      </c>
      <c r="K373">
        <f t="shared" si="23"/>
        <v>23.608448525248676</v>
      </c>
      <c r="L373" s="2">
        <f t="shared" si="20"/>
        <v>-10.391551474751324</v>
      </c>
      <c r="M373" s="2">
        <f t="shared" si="21"/>
        <v>-0.51957757373756619</v>
      </c>
    </row>
    <row r="374" spans="1:13">
      <c r="A374" s="2">
        <v>19236</v>
      </c>
      <c r="B374" s="2">
        <v>51</v>
      </c>
      <c r="C374" s="2" t="s">
        <v>377</v>
      </c>
      <c r="D374">
        <v>4</v>
      </c>
      <c r="E374" s="2" t="s">
        <v>0</v>
      </c>
      <c r="F374" s="3">
        <v>657.2</v>
      </c>
      <c r="G374" s="4">
        <v>1500</v>
      </c>
      <c r="H374">
        <f>IFERROR(VLOOKUP(A374,Usage!L:M,2,FALSE),0)</f>
        <v>0</v>
      </c>
      <c r="I374">
        <v>1500</v>
      </c>
      <c r="J374" s="12">
        <f t="shared" si="22"/>
        <v>0</v>
      </c>
      <c r="K374">
        <f t="shared" si="23"/>
        <v>0</v>
      </c>
      <c r="L374" s="2">
        <f t="shared" si="20"/>
        <v>-1500</v>
      </c>
      <c r="M374" s="2">
        <f t="shared" si="21"/>
        <v>-1</v>
      </c>
    </row>
    <row r="375" spans="1:13">
      <c r="A375" s="2">
        <v>18310</v>
      </c>
      <c r="B375" s="2">
        <v>51</v>
      </c>
      <c r="C375" s="2" t="s">
        <v>378</v>
      </c>
      <c r="D375">
        <v>4</v>
      </c>
      <c r="E375" s="2" t="s">
        <v>0</v>
      </c>
      <c r="F375" s="3">
        <v>207.07</v>
      </c>
      <c r="G375" s="4">
        <v>1400</v>
      </c>
      <c r="H375">
        <f>IFERROR(VLOOKUP(A375,Usage!L:M,2,FALSE),0)</f>
        <v>0</v>
      </c>
      <c r="I375">
        <v>0</v>
      </c>
      <c r="J375" s="12">
        <f t="shared" si="22"/>
        <v>0</v>
      </c>
      <c r="K375">
        <f t="shared" si="23"/>
        <v>0</v>
      </c>
      <c r="L375" s="2">
        <f t="shared" si="20"/>
        <v>0</v>
      </c>
      <c r="M375" s="2">
        <f t="shared" si="21"/>
        <v>0</v>
      </c>
    </row>
    <row r="376" spans="1:13">
      <c r="A376" s="2">
        <v>94827</v>
      </c>
      <c r="B376" s="2">
        <v>51</v>
      </c>
      <c r="C376" s="2" t="s">
        <v>379</v>
      </c>
      <c r="D376">
        <v>4</v>
      </c>
      <c r="E376" s="2" t="s">
        <v>0</v>
      </c>
      <c r="F376" s="3">
        <v>178.55</v>
      </c>
      <c r="G376" s="4">
        <v>120</v>
      </c>
      <c r="H376">
        <f>IFERROR(VLOOKUP(A376,Usage!L:M,2,FALSE),0)</f>
        <v>0</v>
      </c>
      <c r="I376">
        <v>0</v>
      </c>
      <c r="J376" s="12">
        <f t="shared" si="22"/>
        <v>0</v>
      </c>
      <c r="K376">
        <f t="shared" si="23"/>
        <v>0</v>
      </c>
      <c r="L376" s="2">
        <f t="shared" si="20"/>
        <v>0</v>
      </c>
      <c r="M376" s="2">
        <f t="shared" si="21"/>
        <v>0</v>
      </c>
    </row>
    <row r="377" spans="1:13">
      <c r="A377" s="2">
        <v>94830</v>
      </c>
      <c r="B377" s="2">
        <v>51</v>
      </c>
      <c r="C377" s="2" t="s">
        <v>380</v>
      </c>
      <c r="D377">
        <v>4</v>
      </c>
      <c r="E377" s="2" t="s">
        <v>0</v>
      </c>
      <c r="F377" s="3">
        <v>178.55</v>
      </c>
      <c r="G377" s="4">
        <v>1200</v>
      </c>
      <c r="H377">
        <f>IFERROR(VLOOKUP(A377,Usage!L:M,2,FALSE),0)</f>
        <v>0</v>
      </c>
      <c r="I377">
        <v>0</v>
      </c>
      <c r="J377" s="12">
        <f t="shared" si="22"/>
        <v>0</v>
      </c>
      <c r="K377">
        <f t="shared" si="23"/>
        <v>0</v>
      </c>
      <c r="L377" s="2">
        <f t="shared" si="20"/>
        <v>0</v>
      </c>
      <c r="M377" s="2">
        <f t="shared" si="21"/>
        <v>0</v>
      </c>
    </row>
    <row r="378" spans="1:13">
      <c r="A378" s="2">
        <v>94833</v>
      </c>
      <c r="B378" s="2">
        <v>51</v>
      </c>
      <c r="C378" s="2" t="s">
        <v>381</v>
      </c>
      <c r="D378">
        <v>4</v>
      </c>
      <c r="E378" s="2" t="s">
        <v>0</v>
      </c>
      <c r="F378" s="3">
        <v>502.25</v>
      </c>
      <c r="G378" s="4">
        <v>4000</v>
      </c>
      <c r="H378">
        <f>IFERROR(VLOOKUP(A378,Usage!L:M,2,FALSE),0)</f>
        <v>0</v>
      </c>
      <c r="I378">
        <v>0</v>
      </c>
      <c r="J378" s="12">
        <f t="shared" si="22"/>
        <v>0</v>
      </c>
      <c r="K378">
        <f t="shared" si="23"/>
        <v>0</v>
      </c>
      <c r="L378" s="2">
        <f t="shared" si="20"/>
        <v>0</v>
      </c>
      <c r="M378" s="2">
        <f t="shared" si="21"/>
        <v>0</v>
      </c>
    </row>
    <row r="379" spans="1:13">
      <c r="A379" s="2">
        <v>10599</v>
      </c>
      <c r="B379" s="2">
        <v>51</v>
      </c>
      <c r="C379" s="2" t="s">
        <v>382</v>
      </c>
      <c r="D379">
        <v>1</v>
      </c>
      <c r="E379" s="2" t="s">
        <v>17</v>
      </c>
      <c r="F379" s="3">
        <v>13.305</v>
      </c>
      <c r="G379" s="4">
        <v>1</v>
      </c>
      <c r="H379">
        <f>IFERROR(VLOOKUP(A379,Usage!L:M,2,FALSE),0)</f>
        <v>0</v>
      </c>
      <c r="I379">
        <v>0</v>
      </c>
      <c r="J379" s="12">
        <f t="shared" si="22"/>
        <v>0</v>
      </c>
      <c r="K379">
        <f t="shared" si="23"/>
        <v>0</v>
      </c>
      <c r="L379" s="2">
        <f t="shared" si="20"/>
        <v>0</v>
      </c>
      <c r="M379" s="2">
        <f t="shared" si="21"/>
        <v>0</v>
      </c>
    </row>
    <row r="380" spans="1:13">
      <c r="A380" s="2">
        <v>19701</v>
      </c>
      <c r="B380" s="2">
        <v>51</v>
      </c>
      <c r="C380" s="2" t="s">
        <v>383</v>
      </c>
      <c r="D380">
        <v>1</v>
      </c>
      <c r="E380" s="2" t="s">
        <v>0</v>
      </c>
      <c r="F380" s="3">
        <v>163.4</v>
      </c>
      <c r="G380" s="4">
        <v>288</v>
      </c>
      <c r="H380">
        <f>IFERROR(VLOOKUP(A380,Usage!L:M,2,FALSE),0)</f>
        <v>0</v>
      </c>
      <c r="I380">
        <v>0</v>
      </c>
      <c r="J380" s="12">
        <f t="shared" si="22"/>
        <v>0</v>
      </c>
      <c r="K380">
        <f t="shared" si="23"/>
        <v>0</v>
      </c>
      <c r="L380" s="2">
        <f t="shared" si="20"/>
        <v>0</v>
      </c>
      <c r="M380" s="2">
        <f t="shared" si="21"/>
        <v>0</v>
      </c>
    </row>
    <row r="381" spans="1:13">
      <c r="A381" s="2">
        <v>18342</v>
      </c>
      <c r="B381" s="2">
        <v>51</v>
      </c>
      <c r="C381" s="2" t="s">
        <v>384</v>
      </c>
      <c r="D381">
        <v>1</v>
      </c>
      <c r="E381" s="2" t="s">
        <v>0</v>
      </c>
      <c r="F381" s="3">
        <v>203.98</v>
      </c>
      <c r="G381" s="4">
        <v>576</v>
      </c>
      <c r="H381">
        <f>IFERROR(VLOOKUP(A381,Usage!L:M,2,FALSE),0)</f>
        <v>311</v>
      </c>
      <c r="I381">
        <v>792</v>
      </c>
      <c r="J381" s="12">
        <f t="shared" si="22"/>
        <v>1.2937692323372418</v>
      </c>
      <c r="K381">
        <f t="shared" si="23"/>
        <v>333.73761324328808</v>
      </c>
      <c r="L381" s="2">
        <f t="shared" si="20"/>
        <v>-458.26238675671192</v>
      </c>
      <c r="M381" s="2">
        <f t="shared" si="21"/>
        <v>-0.79559442145262482</v>
      </c>
    </row>
    <row r="382" spans="1:13">
      <c r="A382" s="2">
        <v>94836</v>
      </c>
      <c r="B382" s="2">
        <v>51</v>
      </c>
      <c r="C382" s="2" t="s">
        <v>385</v>
      </c>
      <c r="D382">
        <v>4</v>
      </c>
      <c r="E382" s="2" t="s">
        <v>0</v>
      </c>
      <c r="F382" s="3">
        <v>343.83</v>
      </c>
      <c r="G382" s="4">
        <v>2000</v>
      </c>
      <c r="H382">
        <f>IFERROR(VLOOKUP(A382,Usage!L:M,2,FALSE),0)</f>
        <v>0</v>
      </c>
      <c r="I382">
        <v>0</v>
      </c>
      <c r="J382" s="12">
        <f t="shared" si="22"/>
        <v>0</v>
      </c>
      <c r="K382">
        <f t="shared" si="23"/>
        <v>0</v>
      </c>
      <c r="L382" s="2">
        <f t="shared" si="20"/>
        <v>0</v>
      </c>
      <c r="M382" s="2">
        <f t="shared" si="21"/>
        <v>0</v>
      </c>
    </row>
    <row r="383" spans="1:13">
      <c r="A383" s="2">
        <v>94848</v>
      </c>
      <c r="B383" s="2">
        <v>51</v>
      </c>
      <c r="C383" s="2" t="s">
        <v>386</v>
      </c>
      <c r="D383">
        <v>4</v>
      </c>
      <c r="E383" s="2" t="s">
        <v>0</v>
      </c>
      <c r="F383" s="3">
        <v>207.51</v>
      </c>
      <c r="G383" s="4">
        <v>600</v>
      </c>
      <c r="H383">
        <f>IFERROR(VLOOKUP(A383,Usage!L:M,2,FALSE),0)</f>
        <v>0</v>
      </c>
      <c r="I383">
        <v>0</v>
      </c>
      <c r="J383" s="12">
        <f t="shared" si="22"/>
        <v>0</v>
      </c>
      <c r="K383">
        <f t="shared" si="23"/>
        <v>0</v>
      </c>
      <c r="L383" s="2">
        <f t="shared" si="20"/>
        <v>0</v>
      </c>
      <c r="M383" s="2">
        <f t="shared" si="21"/>
        <v>0</v>
      </c>
    </row>
    <row r="384" spans="1:13">
      <c r="A384" s="2">
        <v>94839</v>
      </c>
      <c r="B384" s="2">
        <v>51</v>
      </c>
      <c r="C384" s="2" t="s">
        <v>387</v>
      </c>
      <c r="D384">
        <v>4</v>
      </c>
      <c r="E384" s="2" t="s">
        <v>0</v>
      </c>
      <c r="F384" s="3">
        <v>429.54</v>
      </c>
      <c r="G384" s="4">
        <v>700</v>
      </c>
      <c r="H384">
        <f>IFERROR(VLOOKUP(A384,Usage!L:M,2,FALSE),0)</f>
        <v>0</v>
      </c>
      <c r="I384">
        <v>0</v>
      </c>
      <c r="J384" s="12">
        <f t="shared" si="22"/>
        <v>0</v>
      </c>
      <c r="K384">
        <f t="shared" si="23"/>
        <v>0</v>
      </c>
      <c r="L384" s="2">
        <f t="shared" si="20"/>
        <v>0</v>
      </c>
      <c r="M384" s="2">
        <f t="shared" si="21"/>
        <v>0</v>
      </c>
    </row>
    <row r="385" spans="1:13">
      <c r="A385" s="2">
        <v>94845</v>
      </c>
      <c r="B385" s="2">
        <v>51</v>
      </c>
      <c r="C385" s="2" t="s">
        <v>388</v>
      </c>
      <c r="D385">
        <v>4</v>
      </c>
      <c r="E385" s="2" t="s">
        <v>0</v>
      </c>
      <c r="F385" s="3">
        <v>4241.5</v>
      </c>
      <c r="G385" s="4">
        <v>17500</v>
      </c>
      <c r="H385">
        <f>IFERROR(VLOOKUP(A385,Usage!L:M,2,FALSE),0)</f>
        <v>0</v>
      </c>
      <c r="I385">
        <v>0</v>
      </c>
      <c r="J385" s="12">
        <f t="shared" si="22"/>
        <v>0</v>
      </c>
      <c r="K385">
        <f t="shared" si="23"/>
        <v>0</v>
      </c>
      <c r="L385" s="2">
        <f t="shared" si="20"/>
        <v>0</v>
      </c>
      <c r="M385" s="2">
        <f t="shared" si="21"/>
        <v>0</v>
      </c>
    </row>
    <row r="386" spans="1:13">
      <c r="A386" s="2">
        <v>11597</v>
      </c>
      <c r="B386" s="2">
        <v>51</v>
      </c>
      <c r="C386" s="2" t="s">
        <v>389</v>
      </c>
      <c r="D386">
        <v>2</v>
      </c>
      <c r="E386" s="2" t="s">
        <v>0</v>
      </c>
      <c r="F386" s="3">
        <v>475.3</v>
      </c>
      <c r="G386" s="4">
        <v>275</v>
      </c>
      <c r="H386">
        <f>IFERROR(VLOOKUP(A386,Usage!L:M,2,FALSE),0)</f>
        <v>0</v>
      </c>
      <c r="I386">
        <v>0</v>
      </c>
      <c r="J386" s="12">
        <f t="shared" si="22"/>
        <v>0</v>
      </c>
      <c r="K386">
        <f t="shared" si="23"/>
        <v>0</v>
      </c>
      <c r="L386" s="2">
        <f t="shared" si="20"/>
        <v>0</v>
      </c>
      <c r="M386" s="2">
        <f t="shared" si="21"/>
        <v>0</v>
      </c>
    </row>
    <row r="387" spans="1:13">
      <c r="A387" s="2">
        <v>19500</v>
      </c>
      <c r="B387" s="2">
        <v>51</v>
      </c>
      <c r="C387" s="2" t="s">
        <v>390</v>
      </c>
      <c r="D387">
        <v>4</v>
      </c>
      <c r="E387" s="2" t="s">
        <v>0</v>
      </c>
      <c r="F387" s="3">
        <v>4.5</v>
      </c>
      <c r="G387" s="4">
        <v>1</v>
      </c>
      <c r="H387">
        <f>IFERROR(VLOOKUP(A387,Usage!L:M,2,FALSE),0)</f>
        <v>0</v>
      </c>
      <c r="I387">
        <v>40</v>
      </c>
      <c r="J387" s="12">
        <f t="shared" si="22"/>
        <v>0</v>
      </c>
      <c r="K387">
        <f t="shared" si="23"/>
        <v>0</v>
      </c>
      <c r="L387" s="2">
        <f t="shared" si="20"/>
        <v>-40</v>
      </c>
      <c r="M387" s="2">
        <f t="shared" si="21"/>
        <v>-40</v>
      </c>
    </row>
    <row r="388" spans="1:13">
      <c r="A388" s="2">
        <v>2814</v>
      </c>
      <c r="B388" s="2">
        <v>51</v>
      </c>
      <c r="C388" s="2" t="s">
        <v>391</v>
      </c>
      <c r="D388">
        <v>4</v>
      </c>
      <c r="E388" s="2" t="s">
        <v>0</v>
      </c>
      <c r="F388" s="3">
        <v>18.100000000000001</v>
      </c>
      <c r="G388" s="4">
        <v>1</v>
      </c>
      <c r="H388">
        <f>IFERROR(VLOOKUP(A388,Usage!L:M,2,FALSE),0)</f>
        <v>0</v>
      </c>
      <c r="I388">
        <v>0</v>
      </c>
      <c r="J388" s="12">
        <f t="shared" si="22"/>
        <v>0</v>
      </c>
      <c r="K388">
        <f t="shared" si="23"/>
        <v>0</v>
      </c>
      <c r="L388" s="2">
        <f t="shared" si="20"/>
        <v>0</v>
      </c>
      <c r="M388" s="2">
        <f t="shared" si="21"/>
        <v>0</v>
      </c>
    </row>
    <row r="389" spans="1:13">
      <c r="A389" s="2">
        <v>2815</v>
      </c>
      <c r="B389" s="2">
        <v>51</v>
      </c>
      <c r="C389" s="2" t="s">
        <v>392</v>
      </c>
      <c r="D389">
        <v>4</v>
      </c>
      <c r="E389" s="2" t="s">
        <v>0</v>
      </c>
      <c r="F389" s="3">
        <v>18.100000000000001</v>
      </c>
      <c r="G389" s="4">
        <v>1</v>
      </c>
      <c r="H389">
        <f>IFERROR(VLOOKUP(A389,Usage!L:M,2,FALSE),0)</f>
        <v>0</v>
      </c>
      <c r="I389">
        <v>0</v>
      </c>
      <c r="J389" s="12">
        <f t="shared" si="22"/>
        <v>0</v>
      </c>
      <c r="K389">
        <f t="shared" si="23"/>
        <v>0</v>
      </c>
      <c r="L389" s="2">
        <f t="shared" si="20"/>
        <v>0</v>
      </c>
      <c r="M389" s="2">
        <f t="shared" si="21"/>
        <v>0</v>
      </c>
    </row>
    <row r="390" spans="1:13">
      <c r="A390" s="2">
        <v>2816</v>
      </c>
      <c r="B390" s="2">
        <v>51</v>
      </c>
      <c r="C390" s="2" t="s">
        <v>393</v>
      </c>
      <c r="D390">
        <v>4</v>
      </c>
      <c r="E390" s="2" t="s">
        <v>0</v>
      </c>
      <c r="F390" s="3">
        <v>15.7</v>
      </c>
      <c r="G390" s="4">
        <v>1</v>
      </c>
      <c r="H390">
        <f>IFERROR(VLOOKUP(A390,Usage!L:M,2,FALSE),0)</f>
        <v>0</v>
      </c>
      <c r="I390">
        <v>0</v>
      </c>
      <c r="J390" s="12">
        <f t="shared" si="22"/>
        <v>0</v>
      </c>
      <c r="K390">
        <f t="shared" si="23"/>
        <v>0</v>
      </c>
      <c r="L390" s="2">
        <f t="shared" si="20"/>
        <v>0</v>
      </c>
      <c r="M390" s="2">
        <f t="shared" si="21"/>
        <v>0</v>
      </c>
    </row>
    <row r="391" spans="1:13">
      <c r="A391" s="2">
        <v>2817</v>
      </c>
      <c r="B391" s="2">
        <v>51</v>
      </c>
      <c r="C391" s="2" t="s">
        <v>394</v>
      </c>
      <c r="D391">
        <v>4</v>
      </c>
      <c r="E391" s="2" t="s">
        <v>0</v>
      </c>
      <c r="F391" s="3">
        <v>19.3</v>
      </c>
      <c r="G391" s="4">
        <v>1</v>
      </c>
      <c r="H391">
        <f>IFERROR(VLOOKUP(A391,Usage!L:M,2,FALSE),0)</f>
        <v>0</v>
      </c>
      <c r="I391">
        <v>0</v>
      </c>
      <c r="J391" s="12">
        <f t="shared" si="22"/>
        <v>0</v>
      </c>
      <c r="K391">
        <f t="shared" si="23"/>
        <v>0</v>
      </c>
      <c r="L391" s="2">
        <f t="shared" si="20"/>
        <v>0</v>
      </c>
      <c r="M391" s="2">
        <f t="shared" si="21"/>
        <v>0</v>
      </c>
    </row>
    <row r="392" spans="1:13">
      <c r="A392" s="2">
        <v>17775</v>
      </c>
      <c r="B392" s="2">
        <v>51</v>
      </c>
      <c r="C392" s="2" t="s">
        <v>395</v>
      </c>
      <c r="D392">
        <v>1</v>
      </c>
      <c r="E392" s="2" t="s">
        <v>0</v>
      </c>
      <c r="F392" s="3">
        <v>368.97</v>
      </c>
      <c r="G392" s="4">
        <v>2000</v>
      </c>
      <c r="H392">
        <f>IFERROR(VLOOKUP(A392,Usage!L:M,2,FALSE),0)</f>
        <v>0</v>
      </c>
      <c r="I392">
        <v>0</v>
      </c>
      <c r="J392" s="12">
        <f t="shared" si="22"/>
        <v>0</v>
      </c>
      <c r="K392">
        <f t="shared" si="23"/>
        <v>0</v>
      </c>
      <c r="L392" s="2">
        <f t="shared" si="20"/>
        <v>0</v>
      </c>
      <c r="M392" s="2">
        <f t="shared" si="21"/>
        <v>0</v>
      </c>
    </row>
    <row r="393" spans="1:13">
      <c r="A393" s="2">
        <v>15825</v>
      </c>
      <c r="B393" s="2">
        <v>51</v>
      </c>
      <c r="C393" s="2" t="s">
        <v>396</v>
      </c>
      <c r="D393">
        <v>1</v>
      </c>
      <c r="E393" s="2" t="s">
        <v>0</v>
      </c>
      <c r="F393" s="3">
        <v>128.5</v>
      </c>
      <c r="G393" s="4">
        <v>36</v>
      </c>
      <c r="H393">
        <f>IFERROR(VLOOKUP(A393,Usage!L:M,2,FALSE),0)</f>
        <v>27</v>
      </c>
      <c r="I393">
        <v>10</v>
      </c>
      <c r="J393" s="12">
        <f t="shared" si="22"/>
        <v>0.11232080152123965</v>
      </c>
      <c r="K393">
        <f t="shared" si="23"/>
        <v>28.974005008259738</v>
      </c>
      <c r="L393" s="2">
        <f t="shared" si="20"/>
        <v>18.974005008259738</v>
      </c>
      <c r="M393" s="2">
        <f t="shared" si="21"/>
        <v>0.52705569467388158</v>
      </c>
    </row>
    <row r="394" spans="1:13">
      <c r="A394" s="2">
        <v>94872</v>
      </c>
      <c r="B394" s="2">
        <v>51</v>
      </c>
      <c r="C394" s="2" t="s">
        <v>397</v>
      </c>
      <c r="D394">
        <v>4</v>
      </c>
      <c r="E394" s="2" t="s">
        <v>0</v>
      </c>
      <c r="F394" s="3">
        <v>448.71</v>
      </c>
      <c r="G394" s="4">
        <v>1200</v>
      </c>
      <c r="H394">
        <f>IFERROR(VLOOKUP(A394,Usage!L:M,2,FALSE),0)</f>
        <v>0</v>
      </c>
      <c r="I394">
        <v>0</v>
      </c>
      <c r="J394" s="12">
        <f t="shared" si="22"/>
        <v>0</v>
      </c>
      <c r="K394">
        <f t="shared" si="23"/>
        <v>0</v>
      </c>
      <c r="L394" s="2">
        <f t="shared" si="20"/>
        <v>0</v>
      </c>
      <c r="M394" s="2">
        <f t="shared" si="21"/>
        <v>0</v>
      </c>
    </row>
    <row r="395" spans="1:13">
      <c r="A395" s="2">
        <v>94842</v>
      </c>
      <c r="B395" s="2">
        <v>51</v>
      </c>
      <c r="C395" s="2" t="s">
        <v>398</v>
      </c>
      <c r="D395">
        <v>4</v>
      </c>
      <c r="E395" s="2" t="s">
        <v>0</v>
      </c>
      <c r="F395" s="3">
        <v>292.27999999999997</v>
      </c>
      <c r="G395" s="4">
        <v>238</v>
      </c>
      <c r="H395">
        <f>IFERROR(VLOOKUP(A395,Usage!L:M,2,FALSE),0)</f>
        <v>0</v>
      </c>
      <c r="I395">
        <v>0</v>
      </c>
      <c r="J395" s="12">
        <f t="shared" si="22"/>
        <v>0</v>
      </c>
      <c r="K395">
        <f t="shared" si="23"/>
        <v>0</v>
      </c>
      <c r="L395" s="2">
        <f t="shared" si="20"/>
        <v>0</v>
      </c>
      <c r="M395" s="2">
        <f t="shared" si="21"/>
        <v>0</v>
      </c>
    </row>
    <row r="396" spans="1:13">
      <c r="A396" s="2">
        <v>24276</v>
      </c>
      <c r="B396" s="2">
        <v>51</v>
      </c>
      <c r="C396" s="2" t="s">
        <v>399</v>
      </c>
      <c r="D396">
        <v>4</v>
      </c>
      <c r="E396" s="2" t="s">
        <v>0</v>
      </c>
      <c r="F396" s="3">
        <v>338.33</v>
      </c>
      <c r="G396" s="4">
        <v>1000</v>
      </c>
      <c r="H396">
        <f>IFERROR(VLOOKUP(A396,Usage!L:M,2,FALSE),0)</f>
        <v>0</v>
      </c>
      <c r="I396">
        <v>0</v>
      </c>
      <c r="J396" s="12">
        <f t="shared" si="22"/>
        <v>0</v>
      </c>
      <c r="K396">
        <f t="shared" si="23"/>
        <v>0</v>
      </c>
      <c r="L396" s="2">
        <f t="shared" ref="L396:L459" si="24">K396-I396</f>
        <v>0</v>
      </c>
      <c r="M396" s="2">
        <f t="shared" ref="M396:M459" si="25">L396/G396</f>
        <v>0</v>
      </c>
    </row>
    <row r="397" spans="1:13">
      <c r="A397" s="2">
        <v>6094</v>
      </c>
      <c r="B397" s="2">
        <v>51</v>
      </c>
      <c r="C397" s="2" t="s">
        <v>400</v>
      </c>
      <c r="D397">
        <v>1</v>
      </c>
      <c r="E397" s="2" t="s">
        <v>0</v>
      </c>
      <c r="F397" s="3">
        <v>115.24</v>
      </c>
      <c r="G397" s="4">
        <v>192</v>
      </c>
      <c r="H397">
        <f>IFERROR(VLOOKUP(A397,Usage!L:M,2,FALSE),0)</f>
        <v>93</v>
      </c>
      <c r="I397">
        <v>16</v>
      </c>
      <c r="J397" s="12">
        <f t="shared" ref="J397:J438" si="26">H397/($D$5/1000)</f>
        <v>0.38688276079538103</v>
      </c>
      <c r="K397">
        <f t="shared" ref="K397:K438" si="27">J397*($D$8/1000)</f>
        <v>99.799350584005765</v>
      </c>
      <c r="L397" s="2">
        <f t="shared" si="24"/>
        <v>83.799350584005765</v>
      </c>
      <c r="M397" s="2">
        <f t="shared" si="25"/>
        <v>0.43645495095836334</v>
      </c>
    </row>
    <row r="398" spans="1:13">
      <c r="A398" s="2">
        <v>80174</v>
      </c>
      <c r="B398" s="2">
        <v>51</v>
      </c>
      <c r="C398" s="2" t="s">
        <v>401</v>
      </c>
      <c r="D398">
        <v>1</v>
      </c>
      <c r="E398" s="2" t="s">
        <v>201</v>
      </c>
      <c r="F398" s="3">
        <v>252.67</v>
      </c>
      <c r="G398" s="4">
        <v>24</v>
      </c>
      <c r="H398">
        <f>IFERROR(VLOOKUP(A398,Usage!L:M,2,FALSE),0)</f>
        <v>0</v>
      </c>
      <c r="I398">
        <v>0</v>
      </c>
      <c r="J398" s="12">
        <f t="shared" si="26"/>
        <v>0</v>
      </c>
      <c r="K398">
        <f t="shared" si="27"/>
        <v>0</v>
      </c>
      <c r="L398" s="2">
        <f t="shared" si="24"/>
        <v>0</v>
      </c>
      <c r="M398" s="2">
        <f t="shared" si="25"/>
        <v>0</v>
      </c>
    </row>
    <row r="399" spans="1:13">
      <c r="A399" s="2">
        <v>5378</v>
      </c>
      <c r="B399" s="2">
        <v>51</v>
      </c>
      <c r="C399" s="2" t="s">
        <v>402</v>
      </c>
      <c r="D399">
        <v>1</v>
      </c>
      <c r="E399" s="2" t="s">
        <v>0</v>
      </c>
      <c r="F399" s="3">
        <v>348.68</v>
      </c>
      <c r="G399" s="4">
        <v>300</v>
      </c>
      <c r="H399">
        <f>IFERROR(VLOOKUP(A399,Usage!L:M,2,FALSE),0)</f>
        <v>0</v>
      </c>
      <c r="I399">
        <v>0</v>
      </c>
      <c r="J399" s="12">
        <f t="shared" si="26"/>
        <v>0</v>
      </c>
      <c r="K399">
        <f t="shared" si="27"/>
        <v>0</v>
      </c>
      <c r="L399" s="2">
        <f t="shared" si="24"/>
        <v>0</v>
      </c>
      <c r="M399" s="2">
        <f t="shared" si="25"/>
        <v>0</v>
      </c>
    </row>
    <row r="400" spans="1:13">
      <c r="A400" s="2">
        <v>6810</v>
      </c>
      <c r="B400" s="2">
        <v>51</v>
      </c>
      <c r="C400" s="2" t="s">
        <v>403</v>
      </c>
      <c r="D400">
        <v>1</v>
      </c>
      <c r="E400" s="2" t="s">
        <v>0</v>
      </c>
      <c r="F400" s="3">
        <v>217.23</v>
      </c>
      <c r="G400" s="4">
        <v>275</v>
      </c>
      <c r="H400">
        <f>IFERROR(VLOOKUP(A400,Usage!L:M,2,FALSE),0)</f>
        <v>0</v>
      </c>
      <c r="I400">
        <v>0</v>
      </c>
      <c r="J400" s="12">
        <f t="shared" si="26"/>
        <v>0</v>
      </c>
      <c r="K400">
        <f t="shared" si="27"/>
        <v>0</v>
      </c>
      <c r="L400" s="2">
        <f t="shared" si="24"/>
        <v>0</v>
      </c>
      <c r="M400" s="2">
        <f t="shared" si="25"/>
        <v>0</v>
      </c>
    </row>
    <row r="401" spans="1:13">
      <c r="A401" s="2">
        <v>3596</v>
      </c>
      <c r="B401" s="2">
        <v>51</v>
      </c>
      <c r="C401" s="2" t="s">
        <v>404</v>
      </c>
      <c r="D401">
        <v>2</v>
      </c>
      <c r="E401" s="2" t="s">
        <v>0</v>
      </c>
      <c r="F401" s="3">
        <v>182.61</v>
      </c>
      <c r="G401" s="4">
        <v>1200</v>
      </c>
      <c r="H401">
        <f>IFERROR(VLOOKUP(A401,Usage!L:M,2,FALSE),0)</f>
        <v>0</v>
      </c>
      <c r="I401">
        <v>0</v>
      </c>
      <c r="J401" s="12">
        <f t="shared" si="26"/>
        <v>0</v>
      </c>
      <c r="K401">
        <f t="shared" si="27"/>
        <v>0</v>
      </c>
      <c r="L401" s="2">
        <f t="shared" si="24"/>
        <v>0</v>
      </c>
      <c r="M401" s="2">
        <f t="shared" si="25"/>
        <v>0</v>
      </c>
    </row>
    <row r="402" spans="1:13">
      <c r="A402" s="2">
        <v>12234</v>
      </c>
      <c r="B402" s="2">
        <v>51</v>
      </c>
      <c r="C402" s="2" t="s">
        <v>405</v>
      </c>
      <c r="D402">
        <v>2</v>
      </c>
      <c r="E402" s="2" t="s">
        <v>0</v>
      </c>
      <c r="F402" s="3">
        <v>197.9</v>
      </c>
      <c r="G402" s="4">
        <v>600</v>
      </c>
      <c r="H402">
        <f>IFERROR(VLOOKUP(A402,Usage!L:M,2,FALSE),0)</f>
        <v>105</v>
      </c>
      <c r="I402">
        <v>857</v>
      </c>
      <c r="J402" s="12">
        <f t="shared" si="26"/>
        <v>0.43680311702704311</v>
      </c>
      <c r="K402">
        <f t="shared" si="27"/>
        <v>112.67668614323232</v>
      </c>
      <c r="L402" s="2">
        <f t="shared" si="24"/>
        <v>-744.32331385676764</v>
      </c>
      <c r="M402" s="2">
        <f t="shared" si="25"/>
        <v>-1.240538856427946</v>
      </c>
    </row>
    <row r="403" spans="1:13">
      <c r="A403" s="2">
        <v>6928</v>
      </c>
      <c r="B403" s="2">
        <v>51</v>
      </c>
      <c r="C403" s="2" t="s">
        <v>406</v>
      </c>
      <c r="D403">
        <v>1</v>
      </c>
      <c r="E403" s="2" t="s">
        <v>33</v>
      </c>
      <c r="F403" s="3">
        <v>422.67</v>
      </c>
      <c r="G403" s="4">
        <v>16</v>
      </c>
      <c r="H403">
        <f>IFERROR(VLOOKUP(A403,Usage!L:M,2,FALSE),0)</f>
        <v>4</v>
      </c>
      <c r="I403">
        <v>6</v>
      </c>
      <c r="J403" s="12">
        <f t="shared" si="26"/>
        <v>1.6640118743887357E-2</v>
      </c>
      <c r="K403">
        <f t="shared" si="27"/>
        <v>4.29244518640885</v>
      </c>
      <c r="L403" s="2">
        <f t="shared" si="24"/>
        <v>-1.70755481359115</v>
      </c>
      <c r="M403" s="2">
        <f t="shared" si="25"/>
        <v>-0.10672217584944688</v>
      </c>
    </row>
    <row r="404" spans="1:13">
      <c r="A404" s="2">
        <v>20091</v>
      </c>
      <c r="B404" s="2">
        <v>51</v>
      </c>
      <c r="C404" s="2" t="s">
        <v>407</v>
      </c>
      <c r="D404">
        <v>1</v>
      </c>
      <c r="E404" s="2" t="s">
        <v>201</v>
      </c>
      <c r="F404" s="3">
        <v>329.76</v>
      </c>
      <c r="G404" s="4">
        <v>16</v>
      </c>
      <c r="H404">
        <f>IFERROR(VLOOKUP(A404,Usage!L:M,2,FALSE),0)</f>
        <v>4</v>
      </c>
      <c r="I404">
        <v>3</v>
      </c>
      <c r="J404" s="12">
        <f t="shared" si="26"/>
        <v>1.6640118743887357E-2</v>
      </c>
      <c r="K404">
        <f t="shared" si="27"/>
        <v>4.29244518640885</v>
      </c>
      <c r="L404" s="2">
        <f t="shared" si="24"/>
        <v>1.29244518640885</v>
      </c>
      <c r="M404" s="2">
        <f t="shared" si="25"/>
        <v>8.0777824150553124E-2</v>
      </c>
    </row>
    <row r="405" spans="1:13">
      <c r="A405" s="2">
        <v>10295</v>
      </c>
      <c r="B405" s="2">
        <v>51</v>
      </c>
      <c r="C405" s="2" t="s">
        <v>408</v>
      </c>
      <c r="D405">
        <v>4</v>
      </c>
      <c r="E405" s="2" t="s">
        <v>0</v>
      </c>
      <c r="F405" s="3">
        <v>236.67</v>
      </c>
      <c r="G405" s="4">
        <v>600</v>
      </c>
      <c r="H405">
        <f>IFERROR(VLOOKUP(A405,Usage!L:M,2,FALSE),0)</f>
        <v>0</v>
      </c>
      <c r="I405">
        <v>0</v>
      </c>
      <c r="J405" s="12">
        <f t="shared" si="26"/>
        <v>0</v>
      </c>
      <c r="K405">
        <f t="shared" si="27"/>
        <v>0</v>
      </c>
      <c r="L405" s="2">
        <f t="shared" si="24"/>
        <v>0</v>
      </c>
      <c r="M405" s="2">
        <f t="shared" si="25"/>
        <v>0</v>
      </c>
    </row>
    <row r="406" spans="1:13">
      <c r="A406" s="2">
        <v>10296</v>
      </c>
      <c r="B406" s="2">
        <v>51</v>
      </c>
      <c r="C406" s="2" t="s">
        <v>409</v>
      </c>
      <c r="D406">
        <v>4</v>
      </c>
      <c r="E406" s="2" t="s">
        <v>0</v>
      </c>
      <c r="F406" s="3">
        <v>236.67</v>
      </c>
      <c r="G406" s="4">
        <v>600</v>
      </c>
      <c r="H406">
        <f>IFERROR(VLOOKUP(A406,Usage!L:M,2,FALSE),0)</f>
        <v>0</v>
      </c>
      <c r="I406">
        <v>0</v>
      </c>
      <c r="J406" s="12">
        <f t="shared" si="26"/>
        <v>0</v>
      </c>
      <c r="K406">
        <f t="shared" si="27"/>
        <v>0</v>
      </c>
      <c r="L406" s="2">
        <f t="shared" si="24"/>
        <v>0</v>
      </c>
      <c r="M406" s="2">
        <f t="shared" si="25"/>
        <v>0</v>
      </c>
    </row>
    <row r="407" spans="1:13">
      <c r="A407" s="2">
        <v>10297</v>
      </c>
      <c r="B407" s="2">
        <v>51</v>
      </c>
      <c r="C407" s="2" t="s">
        <v>410</v>
      </c>
      <c r="D407">
        <v>4</v>
      </c>
      <c r="E407" s="2" t="s">
        <v>0</v>
      </c>
      <c r="F407" s="3">
        <v>236.67</v>
      </c>
      <c r="G407" s="4">
        <v>600</v>
      </c>
      <c r="H407">
        <f>IFERROR(VLOOKUP(A407,Usage!L:M,2,FALSE),0)</f>
        <v>0</v>
      </c>
      <c r="I407">
        <v>0</v>
      </c>
      <c r="J407" s="12">
        <f t="shared" si="26"/>
        <v>0</v>
      </c>
      <c r="K407">
        <f t="shared" si="27"/>
        <v>0</v>
      </c>
      <c r="L407" s="2">
        <f t="shared" si="24"/>
        <v>0</v>
      </c>
      <c r="M407" s="2">
        <f t="shared" si="25"/>
        <v>0</v>
      </c>
    </row>
    <row r="408" spans="1:13">
      <c r="A408" s="2">
        <v>10298</v>
      </c>
      <c r="B408" s="2">
        <v>51</v>
      </c>
      <c r="C408" s="2" t="s">
        <v>411</v>
      </c>
      <c r="D408">
        <v>4</v>
      </c>
      <c r="E408" s="2" t="s">
        <v>0</v>
      </c>
      <c r="F408" s="3">
        <v>634.36</v>
      </c>
      <c r="G408" s="4">
        <v>1800</v>
      </c>
      <c r="H408">
        <f>IFERROR(VLOOKUP(A408,Usage!L:M,2,FALSE),0)</f>
        <v>0</v>
      </c>
      <c r="I408">
        <v>1800</v>
      </c>
      <c r="J408" s="12">
        <f t="shared" si="26"/>
        <v>0</v>
      </c>
      <c r="K408">
        <f t="shared" si="27"/>
        <v>0</v>
      </c>
      <c r="L408" s="2">
        <f t="shared" si="24"/>
        <v>-1800</v>
      </c>
      <c r="M408" s="2">
        <f t="shared" si="25"/>
        <v>-1</v>
      </c>
    </row>
    <row r="409" spans="1:13">
      <c r="A409" s="2">
        <v>10299</v>
      </c>
      <c r="B409" s="2">
        <v>51</v>
      </c>
      <c r="C409" s="2" t="s">
        <v>412</v>
      </c>
      <c r="D409">
        <v>4</v>
      </c>
      <c r="E409" s="2" t="s">
        <v>0</v>
      </c>
      <c r="F409" s="3">
        <v>501.12</v>
      </c>
      <c r="G409" s="4">
        <v>1400</v>
      </c>
      <c r="H409">
        <f>IFERROR(VLOOKUP(A409,Usage!L:M,2,FALSE),0)</f>
        <v>0</v>
      </c>
      <c r="I409">
        <v>2800</v>
      </c>
      <c r="J409" s="12">
        <f t="shared" si="26"/>
        <v>0</v>
      </c>
      <c r="K409">
        <f t="shared" si="27"/>
        <v>0</v>
      </c>
      <c r="L409" s="2">
        <f t="shared" si="24"/>
        <v>-2800</v>
      </c>
      <c r="M409" s="2">
        <f t="shared" si="25"/>
        <v>-2</v>
      </c>
    </row>
    <row r="410" spans="1:13">
      <c r="A410" s="2">
        <v>382</v>
      </c>
      <c r="B410" s="2">
        <v>51</v>
      </c>
      <c r="C410" s="2" t="s">
        <v>413</v>
      </c>
      <c r="D410">
        <v>1</v>
      </c>
      <c r="E410" s="2" t="s">
        <v>17</v>
      </c>
      <c r="F410" s="3">
        <v>105.21</v>
      </c>
      <c r="G410" s="4">
        <v>10</v>
      </c>
      <c r="H410">
        <f>IFERROR(VLOOKUP(A410,Usage!L:M,2,FALSE),0)</f>
        <v>14</v>
      </c>
      <c r="I410">
        <v>30</v>
      </c>
      <c r="J410" s="12">
        <f t="shared" si="26"/>
        <v>5.8240415603605745E-2</v>
      </c>
      <c r="K410">
        <f t="shared" si="27"/>
        <v>15.023558152430976</v>
      </c>
      <c r="L410" s="2">
        <f t="shared" si="24"/>
        <v>-14.976441847569024</v>
      </c>
      <c r="M410" s="2">
        <f t="shared" si="25"/>
        <v>-1.4976441847569024</v>
      </c>
    </row>
    <row r="411" spans="1:13">
      <c r="A411" s="2">
        <v>12713</v>
      </c>
      <c r="B411" s="2">
        <v>51</v>
      </c>
      <c r="C411" s="2" t="s">
        <v>414</v>
      </c>
      <c r="D411">
        <v>2</v>
      </c>
      <c r="E411" s="2" t="s">
        <v>0</v>
      </c>
      <c r="F411" s="3">
        <v>128.22999999999999</v>
      </c>
      <c r="G411" s="4">
        <v>700</v>
      </c>
      <c r="H411">
        <f>IFERROR(VLOOKUP(A411,Usage!L:M,2,FALSE),0)</f>
        <v>293</v>
      </c>
      <c r="I411">
        <v>1490</v>
      </c>
      <c r="J411" s="12">
        <f t="shared" si="26"/>
        <v>1.2188886979897489</v>
      </c>
      <c r="K411">
        <f t="shared" si="27"/>
        <v>314.4216099044483</v>
      </c>
      <c r="L411" s="2">
        <f t="shared" si="24"/>
        <v>-1175.5783900955516</v>
      </c>
      <c r="M411" s="2">
        <f t="shared" si="25"/>
        <v>-1.6793977001365024</v>
      </c>
    </row>
    <row r="412" spans="1:13">
      <c r="A412" s="2">
        <v>17113</v>
      </c>
      <c r="B412" s="2">
        <v>51</v>
      </c>
      <c r="C412" s="2" t="s">
        <v>415</v>
      </c>
      <c r="D412">
        <v>2</v>
      </c>
      <c r="E412" s="2" t="s">
        <v>0</v>
      </c>
      <c r="F412" s="3">
        <v>336.1</v>
      </c>
      <c r="G412" s="4">
        <v>5000</v>
      </c>
      <c r="H412">
        <f>IFERROR(VLOOKUP(A412,Usage!L:M,2,FALSE),0)</f>
        <v>0</v>
      </c>
      <c r="I412">
        <v>562</v>
      </c>
      <c r="J412" s="12">
        <f t="shared" si="26"/>
        <v>0</v>
      </c>
      <c r="K412">
        <f t="shared" si="27"/>
        <v>0</v>
      </c>
      <c r="L412" s="2">
        <f t="shared" si="24"/>
        <v>-562</v>
      </c>
      <c r="M412" s="2">
        <f t="shared" si="25"/>
        <v>-0.1124</v>
      </c>
    </row>
    <row r="413" spans="1:13">
      <c r="A413" s="2">
        <v>2254</v>
      </c>
      <c r="B413" s="2">
        <v>51</v>
      </c>
      <c r="C413" s="2" t="s">
        <v>416</v>
      </c>
      <c r="D413">
        <v>1</v>
      </c>
      <c r="E413" s="2" t="s">
        <v>0</v>
      </c>
      <c r="F413" s="3">
        <v>286.62</v>
      </c>
      <c r="G413" s="4">
        <v>144</v>
      </c>
      <c r="H413">
        <f>IFERROR(VLOOKUP(A413,Usage!L:M,2,FALSE),0)</f>
        <v>36</v>
      </c>
      <c r="I413">
        <v>62</v>
      </c>
      <c r="J413" s="12">
        <f t="shared" si="26"/>
        <v>0.1497610686949862</v>
      </c>
      <c r="K413">
        <f t="shared" si="27"/>
        <v>38.632006677679648</v>
      </c>
      <c r="L413" s="2">
        <f t="shared" si="24"/>
        <v>-23.367993322320352</v>
      </c>
      <c r="M413" s="2">
        <f t="shared" si="25"/>
        <v>-0.16227773140500246</v>
      </c>
    </row>
    <row r="414" spans="1:13">
      <c r="A414" s="2">
        <v>19060</v>
      </c>
      <c r="B414" s="2">
        <v>51</v>
      </c>
      <c r="C414" s="2" t="s">
        <v>417</v>
      </c>
      <c r="D414">
        <v>4</v>
      </c>
      <c r="E414" s="2" t="s">
        <v>0</v>
      </c>
      <c r="F414" s="3">
        <v>533.53</v>
      </c>
      <c r="G414" s="4">
        <v>1400</v>
      </c>
      <c r="H414">
        <f>IFERROR(VLOOKUP(A414,Usage!L:M,2,FALSE),0)</f>
        <v>0</v>
      </c>
      <c r="I414">
        <v>2800</v>
      </c>
      <c r="J414" s="12">
        <f t="shared" si="26"/>
        <v>0</v>
      </c>
      <c r="K414">
        <f t="shared" si="27"/>
        <v>0</v>
      </c>
      <c r="L414" s="2">
        <f t="shared" si="24"/>
        <v>-2800</v>
      </c>
      <c r="M414" s="2">
        <f t="shared" si="25"/>
        <v>-2</v>
      </c>
    </row>
    <row r="415" spans="1:13">
      <c r="A415" s="2">
        <v>5551</v>
      </c>
      <c r="B415" s="2">
        <v>51</v>
      </c>
      <c r="C415" s="2" t="s">
        <v>418</v>
      </c>
      <c r="D415">
        <v>1</v>
      </c>
      <c r="E415" s="2" t="s">
        <v>0</v>
      </c>
      <c r="F415" s="3">
        <v>464.19</v>
      </c>
      <c r="G415" s="4">
        <v>2000</v>
      </c>
      <c r="H415">
        <f>IFERROR(VLOOKUP(A415,Usage!L:M,2,FALSE),0)</f>
        <v>0</v>
      </c>
      <c r="I415">
        <v>0</v>
      </c>
      <c r="J415" s="12">
        <f t="shared" si="26"/>
        <v>0</v>
      </c>
      <c r="K415">
        <f t="shared" si="27"/>
        <v>0</v>
      </c>
      <c r="L415" s="2">
        <f t="shared" si="24"/>
        <v>0</v>
      </c>
      <c r="M415" s="2">
        <f t="shared" si="25"/>
        <v>0</v>
      </c>
    </row>
    <row r="416" spans="1:13">
      <c r="A416" s="2">
        <v>99305</v>
      </c>
      <c r="B416" s="2">
        <v>51</v>
      </c>
      <c r="C416" s="2" t="s">
        <v>419</v>
      </c>
      <c r="D416">
        <v>1</v>
      </c>
      <c r="E416" s="2" t="s">
        <v>0</v>
      </c>
      <c r="F416" s="3">
        <v>490.74</v>
      </c>
      <c r="G416" s="4">
        <v>576</v>
      </c>
      <c r="H416">
        <f>IFERROR(VLOOKUP(A416,Usage!L:M,2,FALSE),0)</f>
        <v>0</v>
      </c>
      <c r="I416">
        <v>0</v>
      </c>
      <c r="J416" s="12">
        <f t="shared" si="26"/>
        <v>0</v>
      </c>
      <c r="K416">
        <f t="shared" si="27"/>
        <v>0</v>
      </c>
      <c r="L416" s="2">
        <f t="shared" si="24"/>
        <v>0</v>
      </c>
      <c r="M416" s="2">
        <f t="shared" si="25"/>
        <v>0</v>
      </c>
    </row>
    <row r="417" spans="1:13">
      <c r="A417" s="2">
        <v>92009</v>
      </c>
      <c r="B417" s="2">
        <v>51</v>
      </c>
      <c r="C417" s="2" t="s">
        <v>420</v>
      </c>
      <c r="D417">
        <v>1</v>
      </c>
      <c r="E417" s="2" t="s">
        <v>201</v>
      </c>
      <c r="F417" s="3">
        <v>310.05</v>
      </c>
      <c r="G417" s="4">
        <v>24</v>
      </c>
      <c r="H417">
        <f>IFERROR(VLOOKUP(A417,Usage!L:M,2,FALSE),0)</f>
        <v>0</v>
      </c>
      <c r="I417">
        <v>0</v>
      </c>
      <c r="J417" s="12">
        <f t="shared" si="26"/>
        <v>0</v>
      </c>
      <c r="K417">
        <f t="shared" si="27"/>
        <v>0</v>
      </c>
      <c r="L417" s="2">
        <f t="shared" si="24"/>
        <v>0</v>
      </c>
      <c r="M417" s="2">
        <f t="shared" si="25"/>
        <v>0</v>
      </c>
    </row>
    <row r="418" spans="1:13">
      <c r="A418" s="2">
        <v>11676</v>
      </c>
      <c r="B418" s="2">
        <v>51</v>
      </c>
      <c r="C418" s="2" t="s">
        <v>421</v>
      </c>
      <c r="D418">
        <v>4</v>
      </c>
      <c r="E418" s="2" t="s">
        <v>0</v>
      </c>
      <c r="F418" s="3">
        <v>52</v>
      </c>
      <c r="G418" s="4">
        <v>1</v>
      </c>
      <c r="H418">
        <f>IFERROR(VLOOKUP(A418,Usage!L:M,2,FALSE),0)</f>
        <v>0</v>
      </c>
      <c r="I418">
        <v>0</v>
      </c>
      <c r="J418" s="12">
        <f t="shared" si="26"/>
        <v>0</v>
      </c>
      <c r="K418">
        <f t="shared" si="27"/>
        <v>0</v>
      </c>
      <c r="L418" s="2">
        <f t="shared" si="24"/>
        <v>0</v>
      </c>
      <c r="M418" s="2">
        <f t="shared" si="25"/>
        <v>0</v>
      </c>
    </row>
    <row r="419" spans="1:13">
      <c r="A419" s="2">
        <v>2255</v>
      </c>
      <c r="B419" s="2">
        <v>51</v>
      </c>
      <c r="C419" s="2" t="s">
        <v>422</v>
      </c>
      <c r="D419">
        <v>1</v>
      </c>
      <c r="E419" s="2" t="s">
        <v>0</v>
      </c>
      <c r="F419" s="3">
        <v>127.83</v>
      </c>
      <c r="G419" s="4">
        <v>105</v>
      </c>
      <c r="H419">
        <f>IFERROR(VLOOKUP(A419,Usage!L:M,2,FALSE),0)</f>
        <v>68</v>
      </c>
      <c r="I419">
        <v>302</v>
      </c>
      <c r="J419" s="12">
        <f t="shared" si="26"/>
        <v>0.28288201864608503</v>
      </c>
      <c r="K419">
        <f t="shared" si="27"/>
        <v>72.971568168950441</v>
      </c>
      <c r="L419" s="2">
        <f t="shared" si="24"/>
        <v>-229.02843183104955</v>
      </c>
      <c r="M419" s="2">
        <f t="shared" si="25"/>
        <v>-2.1812231602957102</v>
      </c>
    </row>
    <row r="420" spans="1:13">
      <c r="A420" s="2">
        <v>7127</v>
      </c>
      <c r="B420" s="2">
        <v>51</v>
      </c>
      <c r="C420" s="2" t="s">
        <v>423</v>
      </c>
      <c r="D420">
        <v>2</v>
      </c>
      <c r="E420" s="2" t="s">
        <v>0</v>
      </c>
      <c r="F420" s="3">
        <v>219.39</v>
      </c>
      <c r="G420" s="4">
        <v>750</v>
      </c>
      <c r="H420">
        <f>IFERROR(VLOOKUP(A420,Usage!L:M,2,FALSE),0)</f>
        <v>14</v>
      </c>
      <c r="I420">
        <v>731</v>
      </c>
      <c r="J420" s="12">
        <f t="shared" si="26"/>
        <v>5.8240415603605745E-2</v>
      </c>
      <c r="K420">
        <f t="shared" si="27"/>
        <v>15.023558152430976</v>
      </c>
      <c r="L420" s="2">
        <f t="shared" si="24"/>
        <v>-715.97644184756905</v>
      </c>
      <c r="M420" s="2">
        <f t="shared" si="25"/>
        <v>-0.95463525579675879</v>
      </c>
    </row>
    <row r="421" spans="1:13">
      <c r="A421" s="2">
        <v>87098</v>
      </c>
      <c r="B421" s="2">
        <v>51</v>
      </c>
      <c r="C421" s="2" t="s">
        <v>424</v>
      </c>
      <c r="D421">
        <v>2</v>
      </c>
      <c r="E421" s="2" t="s">
        <v>0</v>
      </c>
      <c r="F421" s="3">
        <v>105.86</v>
      </c>
      <c r="G421" s="4">
        <v>1000</v>
      </c>
      <c r="H421">
        <f>IFERROR(VLOOKUP(A421,Usage!L:M,2,FALSE),0)</f>
        <v>14</v>
      </c>
      <c r="I421">
        <v>300</v>
      </c>
      <c r="J421" s="12">
        <f t="shared" si="26"/>
        <v>5.8240415603605745E-2</v>
      </c>
      <c r="K421">
        <f t="shared" si="27"/>
        <v>15.023558152430976</v>
      </c>
      <c r="L421" s="2">
        <f t="shared" si="24"/>
        <v>-284.97644184756905</v>
      </c>
      <c r="M421" s="2">
        <f t="shared" si="25"/>
        <v>-0.28497644184756904</v>
      </c>
    </row>
    <row r="422" spans="1:13">
      <c r="A422" s="2">
        <v>30154</v>
      </c>
      <c r="B422" s="2">
        <v>51</v>
      </c>
      <c r="C422" s="2" t="s">
        <v>425</v>
      </c>
      <c r="D422">
        <v>1</v>
      </c>
      <c r="E422" s="2" t="s">
        <v>26</v>
      </c>
      <c r="F422" s="3">
        <v>384.08</v>
      </c>
      <c r="G422" s="4">
        <v>10</v>
      </c>
      <c r="H422">
        <f>IFERROR(VLOOKUP(A422,Usage!L:M,2,FALSE),0)</f>
        <v>2</v>
      </c>
      <c r="I422">
        <v>14</v>
      </c>
      <c r="J422" s="12">
        <f t="shared" si="26"/>
        <v>8.3200593719436784E-3</v>
      </c>
      <c r="K422">
        <f t="shared" si="27"/>
        <v>2.146222593204425</v>
      </c>
      <c r="L422" s="2">
        <f t="shared" si="24"/>
        <v>-11.853777406795576</v>
      </c>
      <c r="M422" s="2">
        <f t="shared" si="25"/>
        <v>-1.1853777406795576</v>
      </c>
    </row>
    <row r="423" spans="1:13">
      <c r="A423" s="2">
        <v>6776</v>
      </c>
      <c r="B423" s="2">
        <v>51</v>
      </c>
      <c r="C423" s="2" t="s">
        <v>426</v>
      </c>
      <c r="D423">
        <v>1</v>
      </c>
      <c r="E423" s="2" t="s">
        <v>26</v>
      </c>
      <c r="F423" s="3">
        <v>106.33</v>
      </c>
      <c r="G423" s="4">
        <v>10</v>
      </c>
      <c r="H423">
        <f>IFERROR(VLOOKUP(A423,Usage!L:M,2,FALSE),0)</f>
        <v>0</v>
      </c>
      <c r="I423">
        <v>0</v>
      </c>
      <c r="J423" s="12">
        <f t="shared" si="26"/>
        <v>0</v>
      </c>
      <c r="K423">
        <f t="shared" si="27"/>
        <v>0</v>
      </c>
      <c r="L423" s="2">
        <f t="shared" si="24"/>
        <v>0</v>
      </c>
      <c r="M423" s="2">
        <f t="shared" si="25"/>
        <v>0</v>
      </c>
    </row>
    <row r="424" spans="1:13">
      <c r="A424" s="2">
        <v>76</v>
      </c>
      <c r="B424" s="2">
        <v>51</v>
      </c>
      <c r="C424" s="2" t="s">
        <v>427</v>
      </c>
      <c r="D424">
        <v>1</v>
      </c>
      <c r="E424" s="2" t="s">
        <v>0</v>
      </c>
      <c r="F424" s="3">
        <v>145.63999999999999</v>
      </c>
      <c r="G424" s="4">
        <v>140</v>
      </c>
      <c r="H424">
        <f>IFERROR(VLOOKUP(A424,Usage!L:M,2,FALSE),0)</f>
        <v>179</v>
      </c>
      <c r="I424">
        <v>665</v>
      </c>
      <c r="J424" s="12">
        <f t="shared" si="26"/>
        <v>0.74464531378895915</v>
      </c>
      <c r="K424">
        <f t="shared" si="27"/>
        <v>192.08692209179603</v>
      </c>
      <c r="L424" s="2">
        <f t="shared" si="24"/>
        <v>-472.91307790820395</v>
      </c>
      <c r="M424" s="2">
        <f t="shared" si="25"/>
        <v>-3.3779505564871712</v>
      </c>
    </row>
    <row r="425" spans="1:13">
      <c r="A425" s="2">
        <v>166</v>
      </c>
      <c r="B425" s="2">
        <v>51</v>
      </c>
      <c r="C425" s="2" t="s">
        <v>428</v>
      </c>
      <c r="D425">
        <v>2</v>
      </c>
      <c r="E425" s="2" t="s">
        <v>0</v>
      </c>
      <c r="F425" s="3">
        <v>119.45</v>
      </c>
      <c r="G425" s="4">
        <v>2000</v>
      </c>
      <c r="H425">
        <f>IFERROR(VLOOKUP(A425,Usage!L:M,2,FALSE),0)</f>
        <v>170</v>
      </c>
      <c r="I425">
        <v>1802</v>
      </c>
      <c r="J425" s="12">
        <f t="shared" si="26"/>
        <v>0.70720504661521266</v>
      </c>
      <c r="K425">
        <f t="shared" si="27"/>
        <v>182.42892042237614</v>
      </c>
      <c r="L425" s="2">
        <f t="shared" si="24"/>
        <v>-1619.5710795776238</v>
      </c>
      <c r="M425" s="2">
        <f t="shared" si="25"/>
        <v>-0.80978553978881185</v>
      </c>
    </row>
    <row r="426" spans="1:13">
      <c r="A426" s="2">
        <v>18087</v>
      </c>
      <c r="B426" s="2">
        <v>51</v>
      </c>
      <c r="C426" s="2" t="s">
        <v>429</v>
      </c>
      <c r="D426">
        <v>4</v>
      </c>
      <c r="E426" s="2" t="s">
        <v>0</v>
      </c>
      <c r="F426" s="3">
        <v>15</v>
      </c>
      <c r="G426" s="4">
        <v>1</v>
      </c>
      <c r="H426">
        <f>IFERROR(VLOOKUP(A426,Usage!L:M,2,FALSE),0)</f>
        <v>0</v>
      </c>
      <c r="I426">
        <v>0</v>
      </c>
      <c r="J426" s="12">
        <f t="shared" si="26"/>
        <v>0</v>
      </c>
      <c r="K426">
        <f t="shared" si="27"/>
        <v>0</v>
      </c>
      <c r="L426" s="2">
        <f t="shared" si="24"/>
        <v>0</v>
      </c>
      <c r="M426" s="2">
        <f t="shared" si="25"/>
        <v>0</v>
      </c>
    </row>
    <row r="427" spans="1:13">
      <c r="A427" s="2">
        <v>18088</v>
      </c>
      <c r="B427" s="2">
        <v>51</v>
      </c>
      <c r="C427" s="2" t="s">
        <v>430</v>
      </c>
      <c r="D427">
        <v>4</v>
      </c>
      <c r="E427" s="2" t="s">
        <v>0</v>
      </c>
      <c r="F427" s="3">
        <v>7.93</v>
      </c>
      <c r="G427" s="4">
        <v>1</v>
      </c>
      <c r="H427">
        <f>IFERROR(VLOOKUP(A427,Usage!L:M,2,FALSE),0)</f>
        <v>0</v>
      </c>
      <c r="I427">
        <v>0</v>
      </c>
      <c r="J427" s="12">
        <f t="shared" si="26"/>
        <v>0</v>
      </c>
      <c r="K427">
        <f t="shared" si="27"/>
        <v>0</v>
      </c>
      <c r="L427" s="2">
        <f t="shared" si="24"/>
        <v>0</v>
      </c>
      <c r="M427" s="2">
        <f t="shared" si="25"/>
        <v>0</v>
      </c>
    </row>
    <row r="428" spans="1:13">
      <c r="A428" s="2">
        <v>19670</v>
      </c>
      <c r="B428" s="2">
        <v>51</v>
      </c>
      <c r="C428" s="2" t="s">
        <v>431</v>
      </c>
      <c r="D428">
        <v>4</v>
      </c>
      <c r="E428" s="2" t="s">
        <v>0</v>
      </c>
      <c r="F428" s="3">
        <v>532.99</v>
      </c>
      <c r="G428" s="4">
        <v>1400</v>
      </c>
      <c r="H428">
        <f>IFERROR(VLOOKUP(A428,Usage!L:M,2,FALSE),0)</f>
        <v>0</v>
      </c>
      <c r="I428">
        <v>1400</v>
      </c>
      <c r="J428" s="12">
        <f t="shared" si="26"/>
        <v>0</v>
      </c>
      <c r="K428">
        <f t="shared" si="27"/>
        <v>0</v>
      </c>
      <c r="L428" s="2">
        <f t="shared" si="24"/>
        <v>-1400</v>
      </c>
      <c r="M428" s="2">
        <f t="shared" si="25"/>
        <v>-1</v>
      </c>
    </row>
    <row r="429" spans="1:13">
      <c r="A429" s="2">
        <v>14165</v>
      </c>
      <c r="B429" s="2">
        <v>51</v>
      </c>
      <c r="C429" s="2" t="s">
        <v>432</v>
      </c>
      <c r="D429">
        <v>1</v>
      </c>
      <c r="E429" s="2" t="s">
        <v>0</v>
      </c>
      <c r="F429" s="3">
        <v>168.92</v>
      </c>
      <c r="G429" s="4">
        <v>300</v>
      </c>
      <c r="H429">
        <f>IFERROR(VLOOKUP(A429,Usage!L:M,2,FALSE),0)</f>
        <v>627</v>
      </c>
      <c r="I429">
        <v>4200</v>
      </c>
      <c r="J429" s="12">
        <f t="shared" si="26"/>
        <v>2.6083386131043431</v>
      </c>
      <c r="K429">
        <f t="shared" si="27"/>
        <v>672.84078296958728</v>
      </c>
      <c r="L429" s="2">
        <f t="shared" si="24"/>
        <v>-3527.1592170304129</v>
      </c>
      <c r="M429" s="2">
        <f t="shared" si="25"/>
        <v>-11.757197390101377</v>
      </c>
    </row>
    <row r="430" spans="1:13">
      <c r="A430" s="2">
        <v>3597</v>
      </c>
      <c r="B430" s="2">
        <v>51</v>
      </c>
      <c r="C430" s="2" t="s">
        <v>433</v>
      </c>
      <c r="D430">
        <v>2</v>
      </c>
      <c r="E430" s="2" t="s">
        <v>0</v>
      </c>
      <c r="F430" s="3">
        <v>175.92</v>
      </c>
      <c r="G430" s="4">
        <v>1200</v>
      </c>
      <c r="H430">
        <f>IFERROR(VLOOKUP(A430,Usage!L:M,2,FALSE),0)</f>
        <v>152</v>
      </c>
      <c r="I430">
        <v>601</v>
      </c>
      <c r="J430" s="12">
        <f t="shared" si="26"/>
        <v>0.63232451226771957</v>
      </c>
      <c r="K430">
        <f t="shared" si="27"/>
        <v>163.1129170835363</v>
      </c>
      <c r="L430" s="2">
        <f t="shared" si="24"/>
        <v>-437.88708291646367</v>
      </c>
      <c r="M430" s="2">
        <f t="shared" si="25"/>
        <v>-0.3649059024303864</v>
      </c>
    </row>
    <row r="431" spans="1:13">
      <c r="A431" s="2">
        <v>20124</v>
      </c>
      <c r="B431" s="2">
        <v>51</v>
      </c>
      <c r="C431" s="2" t="s">
        <v>434</v>
      </c>
      <c r="D431">
        <v>1</v>
      </c>
      <c r="E431" s="2" t="s">
        <v>0</v>
      </c>
      <c r="F431" s="3">
        <v>232.22</v>
      </c>
      <c r="G431" s="4">
        <v>288</v>
      </c>
      <c r="H431">
        <f>IFERROR(VLOOKUP(A431,Usage!L:M,2,FALSE),0)</f>
        <v>97</v>
      </c>
      <c r="I431">
        <v>636</v>
      </c>
      <c r="J431" s="12">
        <f t="shared" si="26"/>
        <v>0.40352287953926841</v>
      </c>
      <c r="K431">
        <f t="shared" si="27"/>
        <v>104.09179577041462</v>
      </c>
      <c r="L431" s="2">
        <f t="shared" si="24"/>
        <v>-531.90820422958541</v>
      </c>
      <c r="M431" s="2">
        <f t="shared" si="25"/>
        <v>-1.8469034869082828</v>
      </c>
    </row>
    <row r="432" spans="1:13">
      <c r="A432" s="2">
        <v>16387</v>
      </c>
      <c r="B432" s="2">
        <v>51</v>
      </c>
      <c r="C432" s="2" t="s">
        <v>435</v>
      </c>
      <c r="D432">
        <v>1</v>
      </c>
      <c r="E432" s="2" t="s">
        <v>0</v>
      </c>
      <c r="F432" s="3">
        <v>326.97000000000003</v>
      </c>
      <c r="G432" s="4">
        <v>272</v>
      </c>
      <c r="H432">
        <f>IFERROR(VLOOKUP(A432,Usage!L:M,2,FALSE),0)</f>
        <v>40</v>
      </c>
      <c r="I432">
        <v>1834</v>
      </c>
      <c r="J432" s="12">
        <f t="shared" si="26"/>
        <v>0.16640118743887355</v>
      </c>
      <c r="K432">
        <f t="shared" si="27"/>
        <v>42.924451864088496</v>
      </c>
      <c r="L432" s="2">
        <f t="shared" si="24"/>
        <v>-1791.0755481359115</v>
      </c>
      <c r="M432" s="2">
        <f t="shared" si="25"/>
        <v>-6.5848365740290866</v>
      </c>
    </row>
    <row r="433" spans="1:13">
      <c r="A433" s="2">
        <v>12322</v>
      </c>
      <c r="B433" s="2">
        <v>51</v>
      </c>
      <c r="C433" s="2" t="s">
        <v>436</v>
      </c>
      <c r="D433">
        <v>2</v>
      </c>
      <c r="E433" s="2" t="s">
        <v>0</v>
      </c>
      <c r="F433" s="3">
        <v>272.2</v>
      </c>
      <c r="G433" s="4">
        <v>5000</v>
      </c>
      <c r="H433">
        <f>IFERROR(VLOOKUP(A433,Usage!L:M,2,FALSE),0)</f>
        <v>24</v>
      </c>
      <c r="I433">
        <v>6000</v>
      </c>
      <c r="J433" s="12">
        <f t="shared" si="26"/>
        <v>9.9840712463324141E-2</v>
      </c>
      <c r="K433">
        <f t="shared" si="27"/>
        <v>25.754671118453103</v>
      </c>
      <c r="L433" s="2">
        <f t="shared" si="24"/>
        <v>-5974.2453288815468</v>
      </c>
      <c r="M433" s="2">
        <f t="shared" si="25"/>
        <v>-1.1948490657763093</v>
      </c>
    </row>
    <row r="434" spans="1:13">
      <c r="A434" s="2">
        <v>20096</v>
      </c>
      <c r="B434" s="2">
        <v>51</v>
      </c>
      <c r="C434" s="2" t="s">
        <v>161</v>
      </c>
      <c r="D434">
        <v>1</v>
      </c>
      <c r="E434" s="2" t="s">
        <v>201</v>
      </c>
      <c r="F434" s="3">
        <v>172.55</v>
      </c>
      <c r="G434" s="4">
        <v>24</v>
      </c>
      <c r="H434">
        <f>IFERROR(VLOOKUP(A434,Usage!L:M,2,FALSE),0)</f>
        <v>-5</v>
      </c>
      <c r="I434">
        <v>7</v>
      </c>
      <c r="J434" s="12">
        <f t="shared" si="26"/>
        <v>-2.0800148429859194E-2</v>
      </c>
      <c r="K434">
        <f t="shared" si="27"/>
        <v>-5.365556483011062</v>
      </c>
      <c r="L434" s="2">
        <f t="shared" si="24"/>
        <v>-12.365556483011062</v>
      </c>
      <c r="M434" s="2">
        <f t="shared" si="25"/>
        <v>-0.51523152012546092</v>
      </c>
    </row>
    <row r="435" spans="1:13">
      <c r="A435" s="2">
        <v>5552</v>
      </c>
      <c r="B435" s="2">
        <v>51</v>
      </c>
      <c r="C435" s="2" t="s">
        <v>437</v>
      </c>
      <c r="D435">
        <v>1</v>
      </c>
      <c r="E435" s="2" t="s">
        <v>0</v>
      </c>
      <c r="F435" s="3">
        <v>457.25</v>
      </c>
      <c r="G435" s="4">
        <v>2000</v>
      </c>
      <c r="H435">
        <f>IFERROR(VLOOKUP(A435,Usage!L:M,2,FALSE),0)</f>
        <v>186</v>
      </c>
      <c r="I435">
        <v>1125</v>
      </c>
      <c r="J435" s="12">
        <f t="shared" si="26"/>
        <v>0.77376552159076206</v>
      </c>
      <c r="K435">
        <f t="shared" si="27"/>
        <v>199.59870116801153</v>
      </c>
      <c r="L435" s="2">
        <f t="shared" si="24"/>
        <v>-925.40129883198847</v>
      </c>
      <c r="M435" s="2">
        <f t="shared" si="25"/>
        <v>-0.46270064941599426</v>
      </c>
    </row>
    <row r="436" spans="1:13">
      <c r="A436" s="2">
        <v>10300</v>
      </c>
      <c r="B436" s="2">
        <v>51</v>
      </c>
      <c r="C436" s="2" t="s">
        <v>438</v>
      </c>
      <c r="D436">
        <v>4</v>
      </c>
      <c r="E436" s="2" t="s">
        <v>0</v>
      </c>
      <c r="F436" s="3">
        <v>440.48</v>
      </c>
      <c r="G436" s="4">
        <v>1400</v>
      </c>
      <c r="H436">
        <f>IFERROR(VLOOKUP(A436,Usage!L:M,2,FALSE),0)</f>
        <v>0</v>
      </c>
      <c r="I436">
        <v>0</v>
      </c>
      <c r="J436" s="12">
        <f t="shared" si="26"/>
        <v>0</v>
      </c>
      <c r="K436">
        <f t="shared" si="27"/>
        <v>0</v>
      </c>
      <c r="L436" s="2">
        <f t="shared" si="24"/>
        <v>0</v>
      </c>
      <c r="M436" s="2">
        <f t="shared" si="25"/>
        <v>0</v>
      </c>
    </row>
    <row r="437" spans="1:13">
      <c r="A437" s="2">
        <v>10551</v>
      </c>
      <c r="B437" s="2">
        <v>51</v>
      </c>
      <c r="C437" s="2" t="s">
        <v>439</v>
      </c>
      <c r="D437">
        <v>2</v>
      </c>
      <c r="E437" s="2" t="s">
        <v>0</v>
      </c>
      <c r="F437" s="3">
        <v>197.63</v>
      </c>
      <c r="G437" s="4">
        <v>600</v>
      </c>
      <c r="H437">
        <f>IFERROR(VLOOKUP(A437,Usage!L:M,2,FALSE),0)</f>
        <v>0</v>
      </c>
      <c r="I437">
        <v>0</v>
      </c>
      <c r="J437" s="12">
        <f t="shared" si="26"/>
        <v>0</v>
      </c>
      <c r="K437">
        <f t="shared" si="27"/>
        <v>0</v>
      </c>
      <c r="L437" s="2">
        <f t="shared" si="24"/>
        <v>0</v>
      </c>
      <c r="M437" s="2">
        <f t="shared" si="25"/>
        <v>0</v>
      </c>
    </row>
    <row r="438" spans="1:13">
      <c r="A438" s="2">
        <v>3313</v>
      </c>
      <c r="B438" s="2">
        <v>51</v>
      </c>
      <c r="C438" s="2" t="s">
        <v>440</v>
      </c>
      <c r="D438">
        <v>2</v>
      </c>
      <c r="E438" s="2" t="s">
        <v>0</v>
      </c>
      <c r="F438" s="3">
        <v>51.84</v>
      </c>
      <c r="G438" s="4">
        <v>1000</v>
      </c>
      <c r="H438">
        <f>IFERROR(VLOOKUP(A438,Usage!L:M,2,FALSE),0)</f>
        <v>0</v>
      </c>
      <c r="I438">
        <v>0</v>
      </c>
      <c r="J438" s="12">
        <f t="shared" si="26"/>
        <v>0</v>
      </c>
      <c r="K438">
        <f t="shared" si="27"/>
        <v>0</v>
      </c>
      <c r="L438" s="2">
        <f t="shared" si="24"/>
        <v>0</v>
      </c>
      <c r="M438" s="2">
        <f t="shared" si="25"/>
        <v>0</v>
      </c>
    </row>
  </sheetData>
  <autoFilter ref="A11:M11" xr:uid="{00000000-0001-0000-04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4F3C-2452-4241-B346-E564907BEE1F}">
  <dimension ref="A1:G6"/>
  <sheetViews>
    <sheetView workbookViewId="0">
      <selection activeCell="E7" sqref="E7"/>
    </sheetView>
  </sheetViews>
  <sheetFormatPr defaultRowHeight="14.5"/>
  <cols>
    <col min="1" max="1" width="9.90625" bestFit="1" customWidth="1"/>
    <col min="2" max="2" width="15.1796875" bestFit="1" customWidth="1"/>
    <col min="6" max="6" width="16.1796875" bestFit="1" customWidth="1"/>
    <col min="7" max="7" width="13.54296875" bestFit="1" customWidth="1"/>
  </cols>
  <sheetData>
    <row r="1" spans="1:7">
      <c r="A1" s="1" t="s">
        <v>441</v>
      </c>
      <c r="B1" s="1" t="s">
        <v>442</v>
      </c>
      <c r="F1" s="1" t="s">
        <v>4</v>
      </c>
      <c r="G1" s="1" t="s">
        <v>448</v>
      </c>
    </row>
    <row r="2" spans="1:7">
      <c r="A2" s="1">
        <v>51</v>
      </c>
      <c r="B2" s="1" t="s">
        <v>443</v>
      </c>
      <c r="F2" s="1">
        <v>1</v>
      </c>
      <c r="G2" s="1" t="s">
        <v>449</v>
      </c>
    </row>
    <row r="3" spans="1:7">
      <c r="A3" s="1">
        <v>52</v>
      </c>
      <c r="B3" s="1" t="s">
        <v>444</v>
      </c>
      <c r="F3" s="1">
        <v>2</v>
      </c>
      <c r="G3" s="1" t="s">
        <v>450</v>
      </c>
    </row>
    <row r="4" spans="1:7">
      <c r="A4" s="1">
        <v>53</v>
      </c>
      <c r="B4" s="1" t="s">
        <v>445</v>
      </c>
      <c r="F4" s="1">
        <v>3</v>
      </c>
      <c r="G4" s="1" t="s">
        <v>451</v>
      </c>
    </row>
    <row r="5" spans="1:7">
      <c r="A5" s="1">
        <v>54</v>
      </c>
      <c r="B5" s="1" t="s">
        <v>446</v>
      </c>
      <c r="F5" s="1">
        <v>4</v>
      </c>
      <c r="G5" s="1" t="s">
        <v>452</v>
      </c>
    </row>
    <row r="6" spans="1:7">
      <c r="A6" s="1">
        <v>55</v>
      </c>
      <c r="B6" s="1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6E0A-7E73-4DA8-9E6B-ED1ECDD0FA4D}">
  <dimension ref="A1:M3662"/>
  <sheetViews>
    <sheetView topLeftCell="A505" workbookViewId="0">
      <selection activeCell="M2" sqref="M2:M524"/>
    </sheetView>
  </sheetViews>
  <sheetFormatPr defaultRowHeight="14.5"/>
  <cols>
    <col min="1" max="1" width="9.81640625" bestFit="1" customWidth="1"/>
    <col min="9" max="9" width="12.36328125" bestFit="1" customWidth="1"/>
    <col min="10" max="10" width="14.26953125" bestFit="1" customWidth="1"/>
    <col min="12" max="12" width="10.08984375" bestFit="1" customWidth="1"/>
    <col min="13" max="13" width="14.08984375" bestFit="1" customWidth="1"/>
  </cols>
  <sheetData>
    <row r="1" spans="1:13">
      <c r="A1" t="s">
        <v>453</v>
      </c>
      <c r="B1" t="s">
        <v>454</v>
      </c>
      <c r="C1" t="s">
        <v>455</v>
      </c>
      <c r="D1" t="s">
        <v>456</v>
      </c>
      <c r="E1" t="s">
        <v>457</v>
      </c>
      <c r="L1" t="s">
        <v>453</v>
      </c>
      <c r="M1" t="s">
        <v>468</v>
      </c>
    </row>
    <row r="2" spans="1:13">
      <c r="A2">
        <v>1</v>
      </c>
      <c r="B2">
        <v>1830197</v>
      </c>
      <c r="C2" s="5">
        <v>46054</v>
      </c>
      <c r="D2" t="s">
        <v>458</v>
      </c>
      <c r="E2">
        <v>464</v>
      </c>
      <c r="I2" s="7" t="s">
        <v>465</v>
      </c>
      <c r="J2" t="s">
        <v>468</v>
      </c>
      <c r="L2">
        <v>1</v>
      </c>
      <c r="M2">
        <v>3472</v>
      </c>
    </row>
    <row r="3" spans="1:13">
      <c r="A3">
        <v>2</v>
      </c>
      <c r="B3">
        <v>1830197</v>
      </c>
      <c r="C3" s="5">
        <v>46054</v>
      </c>
      <c r="D3" t="s">
        <v>458</v>
      </c>
      <c r="E3">
        <v>71</v>
      </c>
      <c r="I3" s="8">
        <v>1</v>
      </c>
      <c r="J3">
        <v>3472</v>
      </c>
      <c r="L3">
        <v>2</v>
      </c>
      <c r="M3">
        <v>611</v>
      </c>
    </row>
    <row r="4" spans="1:13">
      <c r="A4">
        <v>3</v>
      </c>
      <c r="B4">
        <v>1830197</v>
      </c>
      <c r="C4" s="5">
        <v>46054</v>
      </c>
      <c r="D4" t="s">
        <v>458</v>
      </c>
      <c r="E4">
        <v>121</v>
      </c>
      <c r="I4" s="8">
        <v>2</v>
      </c>
      <c r="J4">
        <v>611</v>
      </c>
      <c r="L4">
        <v>3</v>
      </c>
      <c r="M4">
        <v>983</v>
      </c>
    </row>
    <row r="5" spans="1:13">
      <c r="A5">
        <v>4</v>
      </c>
      <c r="B5">
        <v>1830197</v>
      </c>
      <c r="C5" s="5">
        <v>46054</v>
      </c>
      <c r="D5" t="s">
        <v>458</v>
      </c>
      <c r="E5">
        <v>494.49</v>
      </c>
      <c r="I5" s="8">
        <v>3</v>
      </c>
      <c r="J5">
        <v>983</v>
      </c>
      <c r="L5">
        <v>4</v>
      </c>
      <c r="M5">
        <v>3760.75</v>
      </c>
    </row>
    <row r="6" spans="1:13">
      <c r="A6">
        <v>5</v>
      </c>
      <c r="B6">
        <v>1830197</v>
      </c>
      <c r="C6" s="5">
        <v>46054</v>
      </c>
      <c r="D6" t="s">
        <v>458</v>
      </c>
      <c r="E6">
        <v>249</v>
      </c>
      <c r="I6" s="8">
        <v>4</v>
      </c>
      <c r="J6">
        <v>3760.75</v>
      </c>
      <c r="L6">
        <v>5</v>
      </c>
      <c r="M6">
        <v>1623</v>
      </c>
    </row>
    <row r="7" spans="1:13">
      <c r="A7">
        <v>6</v>
      </c>
      <c r="B7">
        <v>1830197</v>
      </c>
      <c r="C7" s="5">
        <v>46054</v>
      </c>
      <c r="D7" t="s">
        <v>458</v>
      </c>
      <c r="E7">
        <v>26</v>
      </c>
      <c r="I7" s="8">
        <v>5</v>
      </c>
      <c r="J7">
        <v>1623</v>
      </c>
      <c r="L7">
        <v>6</v>
      </c>
      <c r="M7">
        <v>144</v>
      </c>
    </row>
    <row r="8" spans="1:13">
      <c r="A8">
        <v>7</v>
      </c>
      <c r="B8">
        <v>1830197</v>
      </c>
      <c r="C8" s="5">
        <v>46054</v>
      </c>
      <c r="D8" t="s">
        <v>458</v>
      </c>
      <c r="E8">
        <v>153</v>
      </c>
      <c r="I8" s="8">
        <v>6</v>
      </c>
      <c r="J8">
        <v>144</v>
      </c>
      <c r="L8">
        <v>7</v>
      </c>
      <c r="M8">
        <v>1309</v>
      </c>
    </row>
    <row r="9" spans="1:13">
      <c r="A9">
        <v>8</v>
      </c>
      <c r="B9">
        <v>1830197</v>
      </c>
      <c r="C9" s="5">
        <v>46054</v>
      </c>
      <c r="D9" t="s">
        <v>458</v>
      </c>
      <c r="E9">
        <v>0</v>
      </c>
      <c r="I9" s="8">
        <v>7</v>
      </c>
      <c r="J9">
        <v>1309</v>
      </c>
      <c r="L9">
        <v>8</v>
      </c>
      <c r="M9">
        <v>0</v>
      </c>
    </row>
    <row r="10" spans="1:13">
      <c r="A10">
        <v>9</v>
      </c>
      <c r="B10">
        <v>1830197</v>
      </c>
      <c r="C10" s="5">
        <v>46054</v>
      </c>
      <c r="D10" t="s">
        <v>458</v>
      </c>
      <c r="E10">
        <v>0</v>
      </c>
      <c r="I10" s="8">
        <v>8</v>
      </c>
      <c r="J10">
        <v>0</v>
      </c>
      <c r="L10">
        <v>9</v>
      </c>
      <c r="M10">
        <v>0</v>
      </c>
    </row>
    <row r="11" spans="1:13">
      <c r="A11">
        <v>10</v>
      </c>
      <c r="B11">
        <v>1830197</v>
      </c>
      <c r="C11" s="5">
        <v>46054</v>
      </c>
      <c r="D11" t="s">
        <v>458</v>
      </c>
      <c r="E11">
        <v>4.1100000000000003</v>
      </c>
      <c r="I11" s="8">
        <v>9</v>
      </c>
      <c r="J11">
        <v>0</v>
      </c>
      <c r="L11">
        <v>10</v>
      </c>
      <c r="M11">
        <v>26.320000000000004</v>
      </c>
    </row>
    <row r="12" spans="1:13">
      <c r="A12">
        <v>12</v>
      </c>
      <c r="B12">
        <v>1830197</v>
      </c>
      <c r="C12" s="5">
        <v>46054</v>
      </c>
      <c r="D12" t="s">
        <v>458</v>
      </c>
      <c r="E12">
        <v>10.119999999999999</v>
      </c>
      <c r="I12" s="8">
        <v>10</v>
      </c>
      <c r="J12">
        <v>26.320000000000004</v>
      </c>
      <c r="L12">
        <v>12</v>
      </c>
      <c r="M12">
        <v>96</v>
      </c>
    </row>
    <row r="13" spans="1:13">
      <c r="A13">
        <v>13</v>
      </c>
      <c r="B13">
        <v>1830197</v>
      </c>
      <c r="C13" s="5">
        <v>46054</v>
      </c>
      <c r="D13" t="s">
        <v>458</v>
      </c>
      <c r="E13">
        <v>588</v>
      </c>
      <c r="I13" s="8">
        <v>12</v>
      </c>
      <c r="J13">
        <v>96</v>
      </c>
      <c r="L13">
        <v>13</v>
      </c>
      <c r="M13">
        <v>4567</v>
      </c>
    </row>
    <row r="14" spans="1:13">
      <c r="A14">
        <v>19</v>
      </c>
      <c r="B14">
        <v>1830197</v>
      </c>
      <c r="C14" s="5">
        <v>46054</v>
      </c>
      <c r="D14" t="s">
        <v>458</v>
      </c>
      <c r="E14">
        <v>40</v>
      </c>
      <c r="I14" s="8">
        <v>13</v>
      </c>
      <c r="J14">
        <v>4567</v>
      </c>
      <c r="L14">
        <v>19</v>
      </c>
      <c r="M14">
        <v>322.77</v>
      </c>
    </row>
    <row r="15" spans="1:13">
      <c r="A15">
        <v>20</v>
      </c>
      <c r="B15">
        <v>1830197</v>
      </c>
      <c r="C15" s="5">
        <v>46054</v>
      </c>
      <c r="D15" t="s">
        <v>458</v>
      </c>
      <c r="E15">
        <v>262</v>
      </c>
      <c r="I15" s="8">
        <v>19</v>
      </c>
      <c r="J15">
        <v>322.77</v>
      </c>
      <c r="L15">
        <v>20</v>
      </c>
      <c r="M15">
        <v>2043</v>
      </c>
    </row>
    <row r="16" spans="1:13">
      <c r="A16">
        <v>21</v>
      </c>
      <c r="B16">
        <v>1830197</v>
      </c>
      <c r="C16" s="5">
        <v>46054</v>
      </c>
      <c r="D16" t="s">
        <v>458</v>
      </c>
      <c r="E16">
        <v>2</v>
      </c>
      <c r="I16" s="8">
        <v>20</v>
      </c>
      <c r="J16">
        <v>2043</v>
      </c>
      <c r="L16">
        <v>21</v>
      </c>
      <c r="M16">
        <v>38.49</v>
      </c>
    </row>
    <row r="17" spans="1:13">
      <c r="A17">
        <v>23</v>
      </c>
      <c r="B17">
        <v>1830197</v>
      </c>
      <c r="C17" s="5">
        <v>46054</v>
      </c>
      <c r="D17" t="s">
        <v>458</v>
      </c>
      <c r="E17">
        <v>56</v>
      </c>
      <c r="I17" s="8">
        <v>21</v>
      </c>
      <c r="J17">
        <v>38.49</v>
      </c>
      <c r="L17">
        <v>23</v>
      </c>
      <c r="M17">
        <v>563</v>
      </c>
    </row>
    <row r="18" spans="1:13">
      <c r="A18">
        <v>26</v>
      </c>
      <c r="B18">
        <v>1830197</v>
      </c>
      <c r="C18" s="5">
        <v>46054</v>
      </c>
      <c r="D18" t="s">
        <v>458</v>
      </c>
      <c r="E18">
        <v>0.02</v>
      </c>
      <c r="I18" s="8">
        <v>23</v>
      </c>
      <c r="J18">
        <v>563</v>
      </c>
      <c r="L18">
        <v>26</v>
      </c>
      <c r="M18">
        <v>0.13</v>
      </c>
    </row>
    <row r="19" spans="1:13">
      <c r="A19">
        <v>31</v>
      </c>
      <c r="B19">
        <v>1830197</v>
      </c>
      <c r="C19" s="5">
        <v>46054</v>
      </c>
      <c r="D19" t="s">
        <v>458</v>
      </c>
      <c r="E19">
        <v>0</v>
      </c>
      <c r="I19" s="8">
        <v>26</v>
      </c>
      <c r="J19">
        <v>0.13</v>
      </c>
      <c r="L19">
        <v>31</v>
      </c>
      <c r="M19">
        <v>0</v>
      </c>
    </row>
    <row r="20" spans="1:13">
      <c r="A20">
        <v>33</v>
      </c>
      <c r="B20">
        <v>1830197</v>
      </c>
      <c r="C20" s="5">
        <v>46054</v>
      </c>
      <c r="D20" t="s">
        <v>458</v>
      </c>
      <c r="E20">
        <v>0</v>
      </c>
      <c r="I20" s="8">
        <v>31</v>
      </c>
      <c r="J20">
        <v>0</v>
      </c>
      <c r="L20">
        <v>33</v>
      </c>
      <c r="M20">
        <v>0</v>
      </c>
    </row>
    <row r="21" spans="1:13">
      <c r="A21">
        <v>42</v>
      </c>
      <c r="B21">
        <v>1830197</v>
      </c>
      <c r="C21" s="5">
        <v>46054</v>
      </c>
      <c r="D21" t="s">
        <v>458</v>
      </c>
      <c r="E21">
        <v>0</v>
      </c>
      <c r="I21" s="8">
        <v>33</v>
      </c>
      <c r="J21">
        <v>0</v>
      </c>
      <c r="L21">
        <v>42</v>
      </c>
      <c r="M21">
        <v>0</v>
      </c>
    </row>
    <row r="22" spans="1:13">
      <c r="A22">
        <v>45</v>
      </c>
      <c r="B22">
        <v>1830197</v>
      </c>
      <c r="C22" s="5">
        <v>46054</v>
      </c>
      <c r="D22" t="s">
        <v>458</v>
      </c>
      <c r="E22">
        <v>2060</v>
      </c>
      <c r="I22" s="8">
        <v>42</v>
      </c>
      <c r="J22">
        <v>0</v>
      </c>
      <c r="L22">
        <v>45</v>
      </c>
      <c r="M22">
        <v>19139</v>
      </c>
    </row>
    <row r="23" spans="1:13">
      <c r="A23">
        <v>48</v>
      </c>
      <c r="B23">
        <v>1830197</v>
      </c>
      <c r="C23" s="5">
        <v>46054</v>
      </c>
      <c r="D23" t="s">
        <v>458</v>
      </c>
      <c r="E23">
        <v>0</v>
      </c>
      <c r="I23" s="8">
        <v>45</v>
      </c>
      <c r="J23">
        <v>19139</v>
      </c>
      <c r="L23">
        <v>48</v>
      </c>
      <c r="M23">
        <v>0</v>
      </c>
    </row>
    <row r="24" spans="1:13">
      <c r="A24">
        <v>50</v>
      </c>
      <c r="B24">
        <v>1830197</v>
      </c>
      <c r="C24" s="5">
        <v>46054</v>
      </c>
      <c r="D24" t="s">
        <v>458</v>
      </c>
      <c r="E24">
        <v>198</v>
      </c>
      <c r="I24" s="8">
        <v>48</v>
      </c>
      <c r="J24">
        <v>0</v>
      </c>
      <c r="L24">
        <v>50</v>
      </c>
      <c r="M24">
        <v>1435</v>
      </c>
    </row>
    <row r="25" spans="1:13">
      <c r="A25">
        <v>55</v>
      </c>
      <c r="B25">
        <v>1830197</v>
      </c>
      <c r="C25" s="5">
        <v>46054</v>
      </c>
      <c r="D25" t="s">
        <v>458</v>
      </c>
      <c r="E25">
        <v>2.1800000000000002</v>
      </c>
      <c r="I25" s="8">
        <v>50</v>
      </c>
      <c r="J25">
        <v>1435</v>
      </c>
      <c r="L25">
        <v>55</v>
      </c>
      <c r="M25">
        <v>19.369999999999997</v>
      </c>
    </row>
    <row r="26" spans="1:13">
      <c r="A26">
        <v>56</v>
      </c>
      <c r="B26">
        <v>1830197</v>
      </c>
      <c r="C26" s="5">
        <v>46054</v>
      </c>
      <c r="D26" t="s">
        <v>458</v>
      </c>
      <c r="E26">
        <v>1.04</v>
      </c>
      <c r="I26" s="8">
        <v>55</v>
      </c>
      <c r="J26">
        <v>19.369999999999997</v>
      </c>
      <c r="L26">
        <v>56</v>
      </c>
      <c r="M26">
        <v>6.6499999999999995</v>
      </c>
    </row>
    <row r="27" spans="1:13">
      <c r="A27">
        <v>62</v>
      </c>
      <c r="B27">
        <v>1830197</v>
      </c>
      <c r="C27" s="5">
        <v>46054</v>
      </c>
      <c r="D27" t="s">
        <v>458</v>
      </c>
      <c r="E27">
        <v>0</v>
      </c>
      <c r="I27" s="8">
        <v>56</v>
      </c>
      <c r="J27">
        <v>6.6499999999999995</v>
      </c>
      <c r="L27">
        <v>62</v>
      </c>
      <c r="M27">
        <v>0</v>
      </c>
    </row>
    <row r="28" spans="1:13">
      <c r="A28">
        <v>63</v>
      </c>
      <c r="B28">
        <v>1830197</v>
      </c>
      <c r="C28" s="5">
        <v>46054</v>
      </c>
      <c r="D28" t="s">
        <v>458</v>
      </c>
      <c r="E28">
        <v>0.52</v>
      </c>
      <c r="I28" s="8">
        <v>62</v>
      </c>
      <c r="J28">
        <v>0</v>
      </c>
      <c r="L28">
        <v>63</v>
      </c>
      <c r="M28">
        <v>2</v>
      </c>
    </row>
    <row r="29" spans="1:13">
      <c r="A29">
        <v>65</v>
      </c>
      <c r="B29">
        <v>1830197</v>
      </c>
      <c r="C29" s="5">
        <v>46054</v>
      </c>
      <c r="D29" t="s">
        <v>458</v>
      </c>
      <c r="E29">
        <v>4.5</v>
      </c>
      <c r="I29" s="8">
        <v>63</v>
      </c>
      <c r="J29">
        <v>2</v>
      </c>
      <c r="L29">
        <v>65</v>
      </c>
      <c r="M29">
        <v>50</v>
      </c>
    </row>
    <row r="30" spans="1:13">
      <c r="A30">
        <v>67</v>
      </c>
      <c r="B30">
        <v>1830197</v>
      </c>
      <c r="C30" s="5">
        <v>46054</v>
      </c>
      <c r="D30" t="s">
        <v>458</v>
      </c>
      <c r="E30">
        <v>0</v>
      </c>
      <c r="I30" s="8">
        <v>65</v>
      </c>
      <c r="J30">
        <v>50</v>
      </c>
      <c r="L30">
        <v>67</v>
      </c>
      <c r="M30">
        <v>0</v>
      </c>
    </row>
    <row r="31" spans="1:13">
      <c r="A31">
        <v>69</v>
      </c>
      <c r="B31">
        <v>1830197</v>
      </c>
      <c r="C31" s="5">
        <v>46054</v>
      </c>
      <c r="D31" t="s">
        <v>458</v>
      </c>
      <c r="E31">
        <v>5</v>
      </c>
      <c r="I31" s="8">
        <v>67</v>
      </c>
      <c r="J31">
        <v>0</v>
      </c>
      <c r="L31">
        <v>69</v>
      </c>
      <c r="M31">
        <v>29.16</v>
      </c>
    </row>
    <row r="32" spans="1:13">
      <c r="A32">
        <v>70</v>
      </c>
      <c r="B32">
        <v>1830197</v>
      </c>
      <c r="C32" s="5">
        <v>46054</v>
      </c>
      <c r="D32" t="s">
        <v>458</v>
      </c>
      <c r="E32">
        <v>1</v>
      </c>
      <c r="I32" s="8">
        <v>69</v>
      </c>
      <c r="J32">
        <v>29.16</v>
      </c>
      <c r="L32">
        <v>70</v>
      </c>
      <c r="M32">
        <v>26</v>
      </c>
    </row>
    <row r="33" spans="1:13">
      <c r="A33">
        <v>76</v>
      </c>
      <c r="B33">
        <v>1830197</v>
      </c>
      <c r="C33" s="5">
        <v>46054</v>
      </c>
      <c r="D33" t="s">
        <v>458</v>
      </c>
      <c r="E33">
        <v>23</v>
      </c>
      <c r="I33" s="8">
        <v>70</v>
      </c>
      <c r="J33">
        <v>26</v>
      </c>
      <c r="L33">
        <v>76</v>
      </c>
      <c r="M33">
        <v>179</v>
      </c>
    </row>
    <row r="34" spans="1:13">
      <c r="A34">
        <v>86</v>
      </c>
      <c r="B34">
        <v>1830197</v>
      </c>
      <c r="C34" s="5">
        <v>46054</v>
      </c>
      <c r="D34" t="s">
        <v>458</v>
      </c>
      <c r="E34">
        <v>88</v>
      </c>
      <c r="I34" s="8">
        <v>76</v>
      </c>
      <c r="J34">
        <v>179</v>
      </c>
      <c r="L34">
        <v>86</v>
      </c>
      <c r="M34">
        <v>727</v>
      </c>
    </row>
    <row r="35" spans="1:13">
      <c r="A35">
        <v>90</v>
      </c>
      <c r="B35">
        <v>1830197</v>
      </c>
      <c r="C35" s="5">
        <v>46054</v>
      </c>
      <c r="D35" t="s">
        <v>458</v>
      </c>
      <c r="E35">
        <v>1</v>
      </c>
      <c r="I35" s="8">
        <v>86</v>
      </c>
      <c r="J35">
        <v>727</v>
      </c>
      <c r="L35">
        <v>90</v>
      </c>
      <c r="M35">
        <v>46</v>
      </c>
    </row>
    <row r="36" spans="1:13">
      <c r="A36">
        <v>93</v>
      </c>
      <c r="B36">
        <v>1830197</v>
      </c>
      <c r="C36" s="5">
        <v>46054</v>
      </c>
      <c r="D36" t="s">
        <v>458</v>
      </c>
      <c r="E36">
        <v>0</v>
      </c>
      <c r="I36" s="8">
        <v>90</v>
      </c>
      <c r="J36">
        <v>46</v>
      </c>
      <c r="L36">
        <v>93</v>
      </c>
      <c r="M36">
        <v>0</v>
      </c>
    </row>
    <row r="37" spans="1:13">
      <c r="A37">
        <v>94</v>
      </c>
      <c r="B37">
        <v>1830197</v>
      </c>
      <c r="C37" s="5">
        <v>46054</v>
      </c>
      <c r="D37" t="s">
        <v>458</v>
      </c>
      <c r="E37">
        <v>6</v>
      </c>
      <c r="I37" s="8">
        <v>93</v>
      </c>
      <c r="J37">
        <v>0</v>
      </c>
      <c r="L37">
        <v>94</v>
      </c>
      <c r="M37">
        <v>63</v>
      </c>
    </row>
    <row r="38" spans="1:13">
      <c r="A38">
        <v>97</v>
      </c>
      <c r="B38">
        <v>1830197</v>
      </c>
      <c r="C38" s="5">
        <v>46054</v>
      </c>
      <c r="D38" t="s">
        <v>458</v>
      </c>
      <c r="E38">
        <v>0</v>
      </c>
      <c r="I38" s="8">
        <v>94</v>
      </c>
      <c r="J38">
        <v>63</v>
      </c>
      <c r="L38">
        <v>97</v>
      </c>
      <c r="M38">
        <v>0</v>
      </c>
    </row>
    <row r="39" spans="1:13">
      <c r="A39">
        <v>98</v>
      </c>
      <c r="B39">
        <v>1830197</v>
      </c>
      <c r="C39" s="5">
        <v>46054</v>
      </c>
      <c r="D39" t="s">
        <v>458</v>
      </c>
      <c r="E39">
        <v>0</v>
      </c>
      <c r="I39" s="8">
        <v>97</v>
      </c>
      <c r="J39">
        <v>0</v>
      </c>
      <c r="L39">
        <v>98</v>
      </c>
      <c r="M39">
        <v>0</v>
      </c>
    </row>
    <row r="40" spans="1:13">
      <c r="A40">
        <v>101</v>
      </c>
      <c r="B40">
        <v>1830197</v>
      </c>
      <c r="C40" s="5">
        <v>46054</v>
      </c>
      <c r="D40" t="s">
        <v>458</v>
      </c>
      <c r="E40">
        <v>44</v>
      </c>
      <c r="I40" s="8">
        <v>98</v>
      </c>
      <c r="J40">
        <v>0</v>
      </c>
      <c r="L40">
        <v>101</v>
      </c>
      <c r="M40">
        <v>430</v>
      </c>
    </row>
    <row r="41" spans="1:13">
      <c r="A41">
        <v>102</v>
      </c>
      <c r="B41">
        <v>1830197</v>
      </c>
      <c r="C41" s="5">
        <v>46054</v>
      </c>
      <c r="D41" t="s">
        <v>458</v>
      </c>
      <c r="E41">
        <v>0</v>
      </c>
      <c r="I41" s="8">
        <v>101</v>
      </c>
      <c r="J41">
        <v>430</v>
      </c>
      <c r="L41">
        <v>102</v>
      </c>
      <c r="M41">
        <v>0</v>
      </c>
    </row>
    <row r="42" spans="1:13">
      <c r="A42">
        <v>103</v>
      </c>
      <c r="B42">
        <v>1830197</v>
      </c>
      <c r="C42" s="5">
        <v>46054</v>
      </c>
      <c r="D42" t="s">
        <v>458</v>
      </c>
      <c r="E42">
        <v>6</v>
      </c>
      <c r="I42" s="8">
        <v>102</v>
      </c>
      <c r="J42">
        <v>0</v>
      </c>
      <c r="L42">
        <v>103</v>
      </c>
      <c r="M42">
        <v>60</v>
      </c>
    </row>
    <row r="43" spans="1:13">
      <c r="A43">
        <v>109</v>
      </c>
      <c r="B43">
        <v>1830197</v>
      </c>
      <c r="C43" s="5">
        <v>46054</v>
      </c>
      <c r="D43" t="s">
        <v>458</v>
      </c>
      <c r="E43">
        <v>79</v>
      </c>
      <c r="I43" s="8">
        <v>103</v>
      </c>
      <c r="J43">
        <v>60</v>
      </c>
      <c r="L43">
        <v>109</v>
      </c>
      <c r="M43">
        <v>607</v>
      </c>
    </row>
    <row r="44" spans="1:13">
      <c r="A44">
        <v>110</v>
      </c>
      <c r="B44">
        <v>1830197</v>
      </c>
      <c r="C44" s="5">
        <v>46054</v>
      </c>
      <c r="D44" t="s">
        <v>458</v>
      </c>
      <c r="E44">
        <v>33</v>
      </c>
      <c r="I44" s="8">
        <v>109</v>
      </c>
      <c r="J44">
        <v>607</v>
      </c>
      <c r="L44">
        <v>110</v>
      </c>
      <c r="M44">
        <v>189</v>
      </c>
    </row>
    <row r="45" spans="1:13">
      <c r="A45">
        <v>111</v>
      </c>
      <c r="B45">
        <v>1830197</v>
      </c>
      <c r="C45" s="5">
        <v>46054</v>
      </c>
      <c r="D45" t="s">
        <v>458</v>
      </c>
      <c r="E45">
        <v>74</v>
      </c>
      <c r="I45" s="8">
        <v>110</v>
      </c>
      <c r="J45">
        <v>189</v>
      </c>
      <c r="L45">
        <v>111</v>
      </c>
      <c r="M45">
        <v>537</v>
      </c>
    </row>
    <row r="46" spans="1:13">
      <c r="A46">
        <v>116</v>
      </c>
      <c r="B46">
        <v>1830197</v>
      </c>
      <c r="C46" s="5">
        <v>46054</v>
      </c>
      <c r="D46" t="s">
        <v>458</v>
      </c>
      <c r="E46">
        <v>131</v>
      </c>
      <c r="I46" s="8">
        <v>111</v>
      </c>
      <c r="J46">
        <v>537</v>
      </c>
      <c r="L46">
        <v>116</v>
      </c>
      <c r="M46">
        <v>1027</v>
      </c>
    </row>
    <row r="47" spans="1:13">
      <c r="A47">
        <v>117</v>
      </c>
      <c r="B47">
        <v>1830197</v>
      </c>
      <c r="C47" s="5">
        <v>46054</v>
      </c>
      <c r="D47" t="s">
        <v>458</v>
      </c>
      <c r="E47">
        <v>717</v>
      </c>
      <c r="I47" s="8">
        <v>116</v>
      </c>
      <c r="J47">
        <v>1027</v>
      </c>
      <c r="L47">
        <v>117</v>
      </c>
      <c r="M47">
        <v>5388</v>
      </c>
    </row>
    <row r="48" spans="1:13">
      <c r="A48">
        <v>118</v>
      </c>
      <c r="B48">
        <v>1830197</v>
      </c>
      <c r="C48" s="5">
        <v>46054</v>
      </c>
      <c r="D48" t="s">
        <v>458</v>
      </c>
      <c r="E48">
        <v>0</v>
      </c>
      <c r="I48" s="8">
        <v>117</v>
      </c>
      <c r="J48">
        <v>5388</v>
      </c>
      <c r="L48">
        <v>118</v>
      </c>
      <c r="M48">
        <v>0</v>
      </c>
    </row>
    <row r="49" spans="1:13">
      <c r="A49">
        <v>127</v>
      </c>
      <c r="B49">
        <v>1830197</v>
      </c>
      <c r="C49" s="5">
        <v>46054</v>
      </c>
      <c r="D49" t="s">
        <v>458</v>
      </c>
      <c r="E49">
        <v>196</v>
      </c>
      <c r="I49" s="8">
        <v>118</v>
      </c>
      <c r="J49">
        <v>0</v>
      </c>
      <c r="L49">
        <v>127</v>
      </c>
      <c r="M49">
        <v>1672</v>
      </c>
    </row>
    <row r="50" spans="1:13">
      <c r="A50">
        <v>128</v>
      </c>
      <c r="B50">
        <v>1830197</v>
      </c>
      <c r="C50" s="5">
        <v>46054</v>
      </c>
      <c r="D50" t="s">
        <v>458</v>
      </c>
      <c r="E50">
        <v>0</v>
      </c>
      <c r="I50" s="8">
        <v>127</v>
      </c>
      <c r="J50">
        <v>1672</v>
      </c>
      <c r="L50">
        <v>128</v>
      </c>
      <c r="M50">
        <v>0</v>
      </c>
    </row>
    <row r="51" spans="1:13">
      <c r="A51">
        <v>131</v>
      </c>
      <c r="B51">
        <v>1830197</v>
      </c>
      <c r="C51" s="5">
        <v>46054</v>
      </c>
      <c r="D51" t="s">
        <v>458</v>
      </c>
      <c r="E51">
        <v>0</v>
      </c>
      <c r="I51" s="8">
        <v>128</v>
      </c>
      <c r="J51">
        <v>0</v>
      </c>
      <c r="L51">
        <v>131</v>
      </c>
      <c r="M51">
        <v>0</v>
      </c>
    </row>
    <row r="52" spans="1:13">
      <c r="A52">
        <v>141</v>
      </c>
      <c r="B52">
        <v>1830197</v>
      </c>
      <c r="C52" s="5">
        <v>46054</v>
      </c>
      <c r="D52" t="s">
        <v>458</v>
      </c>
      <c r="E52">
        <v>0</v>
      </c>
      <c r="I52" s="8">
        <v>131</v>
      </c>
      <c r="J52">
        <v>0</v>
      </c>
      <c r="L52">
        <v>141</v>
      </c>
      <c r="M52">
        <v>0</v>
      </c>
    </row>
    <row r="53" spans="1:13">
      <c r="A53">
        <v>142</v>
      </c>
      <c r="B53">
        <v>1830197</v>
      </c>
      <c r="C53" s="5">
        <v>46054</v>
      </c>
      <c r="D53" t="s">
        <v>458</v>
      </c>
      <c r="E53">
        <v>0</v>
      </c>
      <c r="I53" s="8">
        <v>141</v>
      </c>
      <c r="J53">
        <v>0</v>
      </c>
      <c r="L53">
        <v>142</v>
      </c>
      <c r="M53">
        <v>0</v>
      </c>
    </row>
    <row r="54" spans="1:13">
      <c r="A54">
        <v>143</v>
      </c>
      <c r="B54">
        <v>1830197</v>
      </c>
      <c r="C54" s="5">
        <v>46054</v>
      </c>
      <c r="D54" t="s">
        <v>458</v>
      </c>
      <c r="E54">
        <v>0</v>
      </c>
      <c r="I54" s="8">
        <v>142</v>
      </c>
      <c r="J54">
        <v>0</v>
      </c>
      <c r="L54">
        <v>143</v>
      </c>
      <c r="M54">
        <v>0</v>
      </c>
    </row>
    <row r="55" spans="1:13">
      <c r="A55">
        <v>155</v>
      </c>
      <c r="B55">
        <v>1830197</v>
      </c>
      <c r="C55" s="5">
        <v>46054</v>
      </c>
      <c r="D55" t="s">
        <v>458</v>
      </c>
      <c r="E55">
        <v>131</v>
      </c>
      <c r="I55" s="8">
        <v>143</v>
      </c>
      <c r="J55">
        <v>0</v>
      </c>
      <c r="L55">
        <v>155</v>
      </c>
      <c r="M55">
        <v>1027</v>
      </c>
    </row>
    <row r="56" spans="1:13">
      <c r="A56">
        <v>163</v>
      </c>
      <c r="B56">
        <v>1830197</v>
      </c>
      <c r="C56" s="5">
        <v>46054</v>
      </c>
      <c r="D56" t="s">
        <v>458</v>
      </c>
      <c r="E56">
        <v>312</v>
      </c>
      <c r="I56" s="8">
        <v>155</v>
      </c>
      <c r="J56">
        <v>1027</v>
      </c>
      <c r="L56">
        <v>163</v>
      </c>
      <c r="M56">
        <v>2247</v>
      </c>
    </row>
    <row r="57" spans="1:13">
      <c r="A57">
        <v>166</v>
      </c>
      <c r="B57">
        <v>1830197</v>
      </c>
      <c r="C57" s="5">
        <v>46054</v>
      </c>
      <c r="D57" t="s">
        <v>458</v>
      </c>
      <c r="E57">
        <v>23</v>
      </c>
      <c r="I57" s="8">
        <v>163</v>
      </c>
      <c r="J57">
        <v>2247</v>
      </c>
      <c r="L57">
        <v>166</v>
      </c>
      <c r="M57">
        <v>170</v>
      </c>
    </row>
    <row r="58" spans="1:13">
      <c r="A58">
        <v>168</v>
      </c>
      <c r="B58">
        <v>1830197</v>
      </c>
      <c r="C58" s="5">
        <v>46054</v>
      </c>
      <c r="D58" t="s">
        <v>458</v>
      </c>
      <c r="E58">
        <v>4.5599999999999996</v>
      </c>
      <c r="I58" s="8">
        <v>166</v>
      </c>
      <c r="J58">
        <v>170</v>
      </c>
      <c r="L58">
        <v>168</v>
      </c>
      <c r="M58">
        <v>70.319999999999993</v>
      </c>
    </row>
    <row r="59" spans="1:13">
      <c r="A59">
        <v>170</v>
      </c>
      <c r="B59">
        <v>1830197</v>
      </c>
      <c r="C59" s="5">
        <v>46054</v>
      </c>
      <c r="D59" t="s">
        <v>458</v>
      </c>
      <c r="E59">
        <v>0</v>
      </c>
      <c r="I59" s="8">
        <v>168</v>
      </c>
      <c r="J59">
        <v>70.319999999999993</v>
      </c>
      <c r="L59">
        <v>170</v>
      </c>
      <c r="M59">
        <v>0</v>
      </c>
    </row>
    <row r="60" spans="1:13">
      <c r="A60">
        <v>187</v>
      </c>
      <c r="B60">
        <v>1830197</v>
      </c>
      <c r="C60" s="5">
        <v>46054</v>
      </c>
      <c r="D60" t="s">
        <v>458</v>
      </c>
      <c r="E60">
        <v>5</v>
      </c>
      <c r="I60" s="8">
        <v>170</v>
      </c>
      <c r="J60">
        <v>0</v>
      </c>
      <c r="L60">
        <v>187</v>
      </c>
      <c r="M60">
        <v>70</v>
      </c>
    </row>
    <row r="61" spans="1:13">
      <c r="A61">
        <v>193</v>
      </c>
      <c r="B61">
        <v>1830197</v>
      </c>
      <c r="C61" s="5">
        <v>46054</v>
      </c>
      <c r="D61" t="s">
        <v>458</v>
      </c>
      <c r="E61">
        <v>6408</v>
      </c>
      <c r="I61" s="8">
        <v>187</v>
      </c>
      <c r="J61">
        <v>70</v>
      </c>
      <c r="L61">
        <v>193</v>
      </c>
      <c r="M61">
        <v>49399</v>
      </c>
    </row>
    <row r="62" spans="1:13">
      <c r="A62">
        <v>205</v>
      </c>
      <c r="B62">
        <v>1830197</v>
      </c>
      <c r="C62" s="5">
        <v>46054</v>
      </c>
      <c r="D62" t="s">
        <v>458</v>
      </c>
      <c r="E62">
        <v>0</v>
      </c>
      <c r="I62" s="8">
        <v>193</v>
      </c>
      <c r="J62">
        <v>49399</v>
      </c>
      <c r="L62">
        <v>205</v>
      </c>
      <c r="M62">
        <v>0</v>
      </c>
    </row>
    <row r="63" spans="1:13">
      <c r="A63">
        <v>206</v>
      </c>
      <c r="B63">
        <v>1830197</v>
      </c>
      <c r="C63" s="5">
        <v>46054</v>
      </c>
      <c r="D63" t="s">
        <v>458</v>
      </c>
      <c r="E63">
        <v>14</v>
      </c>
      <c r="I63" s="8">
        <v>205</v>
      </c>
      <c r="J63">
        <v>0</v>
      </c>
      <c r="L63">
        <v>206</v>
      </c>
      <c r="M63">
        <v>113</v>
      </c>
    </row>
    <row r="64" spans="1:13">
      <c r="A64">
        <v>209</v>
      </c>
      <c r="B64">
        <v>1830197</v>
      </c>
      <c r="C64" s="5">
        <v>46054</v>
      </c>
      <c r="D64" t="s">
        <v>458</v>
      </c>
      <c r="E64">
        <v>0</v>
      </c>
      <c r="I64" s="8">
        <v>206</v>
      </c>
      <c r="J64">
        <v>113</v>
      </c>
      <c r="L64">
        <v>209</v>
      </c>
      <c r="M64">
        <v>0</v>
      </c>
    </row>
    <row r="65" spans="1:13">
      <c r="A65">
        <v>210</v>
      </c>
      <c r="B65">
        <v>1830197</v>
      </c>
      <c r="C65" s="5">
        <v>46054</v>
      </c>
      <c r="D65" t="s">
        <v>458</v>
      </c>
      <c r="E65">
        <v>0</v>
      </c>
      <c r="I65" s="8">
        <v>209</v>
      </c>
      <c r="J65">
        <v>0</v>
      </c>
      <c r="L65">
        <v>210</v>
      </c>
      <c r="M65">
        <v>12</v>
      </c>
    </row>
    <row r="66" spans="1:13">
      <c r="A66">
        <v>223</v>
      </c>
      <c r="B66">
        <v>1830197</v>
      </c>
      <c r="C66" s="5">
        <v>46054</v>
      </c>
      <c r="D66" t="s">
        <v>458</v>
      </c>
      <c r="E66">
        <v>1108</v>
      </c>
      <c r="I66" s="8">
        <v>210</v>
      </c>
      <c r="J66">
        <v>12</v>
      </c>
      <c r="L66">
        <v>223</v>
      </c>
      <c r="M66">
        <v>8532</v>
      </c>
    </row>
    <row r="67" spans="1:13">
      <c r="A67">
        <v>247</v>
      </c>
      <c r="B67">
        <v>1830197</v>
      </c>
      <c r="C67" s="5">
        <v>46054</v>
      </c>
      <c r="D67" t="s">
        <v>458</v>
      </c>
      <c r="E67">
        <v>0</v>
      </c>
      <c r="I67" s="8">
        <v>223</v>
      </c>
      <c r="J67">
        <v>8532</v>
      </c>
      <c r="L67">
        <v>247</v>
      </c>
      <c r="M67">
        <v>0</v>
      </c>
    </row>
    <row r="68" spans="1:13">
      <c r="A68">
        <v>253</v>
      </c>
      <c r="B68">
        <v>1830197</v>
      </c>
      <c r="C68" s="5">
        <v>46054</v>
      </c>
      <c r="D68" t="s">
        <v>458</v>
      </c>
      <c r="E68">
        <v>12.03</v>
      </c>
      <c r="I68" s="8">
        <v>247</v>
      </c>
      <c r="J68">
        <v>0</v>
      </c>
      <c r="L68">
        <v>253</v>
      </c>
      <c r="M68">
        <v>56.74</v>
      </c>
    </row>
    <row r="69" spans="1:13">
      <c r="A69">
        <v>254</v>
      </c>
      <c r="B69">
        <v>1830197</v>
      </c>
      <c r="C69" s="5">
        <v>46054</v>
      </c>
      <c r="D69" t="s">
        <v>458</v>
      </c>
      <c r="E69">
        <v>6</v>
      </c>
      <c r="I69" s="8">
        <v>253</v>
      </c>
      <c r="J69">
        <v>56.74</v>
      </c>
      <c r="L69">
        <v>254</v>
      </c>
      <c r="M69">
        <v>55</v>
      </c>
    </row>
    <row r="70" spans="1:13">
      <c r="A70">
        <v>261</v>
      </c>
      <c r="B70">
        <v>1830197</v>
      </c>
      <c r="C70" s="5">
        <v>46054</v>
      </c>
      <c r="D70" t="s">
        <v>458</v>
      </c>
      <c r="E70">
        <v>21</v>
      </c>
      <c r="I70" s="8">
        <v>254</v>
      </c>
      <c r="J70">
        <v>55</v>
      </c>
      <c r="L70">
        <v>261</v>
      </c>
      <c r="M70">
        <v>99</v>
      </c>
    </row>
    <row r="71" spans="1:13">
      <c r="A71">
        <v>262</v>
      </c>
      <c r="B71">
        <v>1830197</v>
      </c>
      <c r="C71" s="5">
        <v>46054</v>
      </c>
      <c r="D71" t="s">
        <v>458</v>
      </c>
      <c r="E71">
        <v>0</v>
      </c>
      <c r="I71" s="8">
        <v>261</v>
      </c>
      <c r="J71">
        <v>99</v>
      </c>
      <c r="L71">
        <v>262</v>
      </c>
      <c r="M71">
        <v>0</v>
      </c>
    </row>
    <row r="72" spans="1:13">
      <c r="A72">
        <v>268</v>
      </c>
      <c r="B72">
        <v>1830197</v>
      </c>
      <c r="C72" s="5">
        <v>46054</v>
      </c>
      <c r="D72" t="s">
        <v>458</v>
      </c>
      <c r="E72">
        <v>37</v>
      </c>
      <c r="I72" s="8">
        <v>262</v>
      </c>
      <c r="J72">
        <v>0</v>
      </c>
      <c r="L72">
        <v>268</v>
      </c>
      <c r="M72">
        <v>270</v>
      </c>
    </row>
    <row r="73" spans="1:13">
      <c r="A73">
        <v>269</v>
      </c>
      <c r="B73">
        <v>1830197</v>
      </c>
      <c r="C73" s="5">
        <v>46054</v>
      </c>
      <c r="D73" t="s">
        <v>458</v>
      </c>
      <c r="E73">
        <v>48</v>
      </c>
      <c r="I73" s="8">
        <v>268</v>
      </c>
      <c r="J73">
        <v>270</v>
      </c>
      <c r="L73">
        <v>269</v>
      </c>
      <c r="M73">
        <v>392</v>
      </c>
    </row>
    <row r="74" spans="1:13">
      <c r="A74">
        <v>284</v>
      </c>
      <c r="B74">
        <v>1830197</v>
      </c>
      <c r="C74" s="5">
        <v>46054</v>
      </c>
      <c r="D74" t="s">
        <v>458</v>
      </c>
      <c r="E74">
        <v>10</v>
      </c>
      <c r="I74" s="8">
        <v>269</v>
      </c>
      <c r="J74">
        <v>392</v>
      </c>
      <c r="L74">
        <v>284</v>
      </c>
      <c r="M74">
        <v>70</v>
      </c>
    </row>
    <row r="75" spans="1:13">
      <c r="A75">
        <v>285</v>
      </c>
      <c r="B75">
        <v>1830197</v>
      </c>
      <c r="C75" s="5">
        <v>46054</v>
      </c>
      <c r="D75" t="s">
        <v>458</v>
      </c>
      <c r="E75">
        <v>32</v>
      </c>
      <c r="I75" s="8">
        <v>284</v>
      </c>
      <c r="J75">
        <v>70</v>
      </c>
      <c r="L75">
        <v>285</v>
      </c>
      <c r="M75">
        <v>249</v>
      </c>
    </row>
    <row r="76" spans="1:13">
      <c r="A76">
        <v>288</v>
      </c>
      <c r="B76">
        <v>1830197</v>
      </c>
      <c r="C76" s="5">
        <v>46054</v>
      </c>
      <c r="D76" t="s">
        <v>458</v>
      </c>
      <c r="E76">
        <v>47</v>
      </c>
      <c r="I76" s="8">
        <v>285</v>
      </c>
      <c r="J76">
        <v>249</v>
      </c>
      <c r="L76">
        <v>288</v>
      </c>
      <c r="M76">
        <v>330</v>
      </c>
    </row>
    <row r="77" spans="1:13">
      <c r="A77">
        <v>289</v>
      </c>
      <c r="B77">
        <v>1830197</v>
      </c>
      <c r="C77" s="5">
        <v>46054</v>
      </c>
      <c r="D77" t="s">
        <v>458</v>
      </c>
      <c r="E77">
        <v>0</v>
      </c>
      <c r="I77" s="8">
        <v>288</v>
      </c>
      <c r="J77">
        <v>330</v>
      </c>
      <c r="L77">
        <v>289</v>
      </c>
      <c r="M77">
        <v>0</v>
      </c>
    </row>
    <row r="78" spans="1:13">
      <c r="A78">
        <v>295</v>
      </c>
      <c r="B78">
        <v>1830197</v>
      </c>
      <c r="C78" s="5">
        <v>46054</v>
      </c>
      <c r="D78" t="s">
        <v>458</v>
      </c>
      <c r="E78">
        <v>25</v>
      </c>
      <c r="I78" s="8">
        <v>289</v>
      </c>
      <c r="J78">
        <v>0</v>
      </c>
      <c r="L78">
        <v>295</v>
      </c>
      <c r="M78">
        <v>174</v>
      </c>
    </row>
    <row r="79" spans="1:13">
      <c r="A79">
        <v>300</v>
      </c>
      <c r="B79">
        <v>1830197</v>
      </c>
      <c r="C79" s="5">
        <v>46054</v>
      </c>
      <c r="D79" t="s">
        <v>458</v>
      </c>
      <c r="E79">
        <v>0</v>
      </c>
      <c r="I79" s="8">
        <v>295</v>
      </c>
      <c r="J79">
        <v>174</v>
      </c>
      <c r="L79">
        <v>300</v>
      </c>
      <c r="M79">
        <v>0</v>
      </c>
    </row>
    <row r="80" spans="1:13">
      <c r="A80">
        <v>311</v>
      </c>
      <c r="B80">
        <v>1830197</v>
      </c>
      <c r="C80" s="5">
        <v>46054</v>
      </c>
      <c r="D80" t="s">
        <v>458</v>
      </c>
      <c r="E80">
        <v>0</v>
      </c>
      <c r="I80" s="8">
        <v>300</v>
      </c>
      <c r="J80">
        <v>0</v>
      </c>
      <c r="L80">
        <v>311</v>
      </c>
      <c r="M80">
        <v>0</v>
      </c>
    </row>
    <row r="81" spans="1:13">
      <c r="A81">
        <v>330</v>
      </c>
      <c r="B81">
        <v>1830197</v>
      </c>
      <c r="C81" s="5">
        <v>46054</v>
      </c>
      <c r="D81" t="s">
        <v>458</v>
      </c>
      <c r="E81">
        <v>6</v>
      </c>
      <c r="I81" s="8">
        <v>311</v>
      </c>
      <c r="J81">
        <v>0</v>
      </c>
      <c r="L81">
        <v>330</v>
      </c>
      <c r="M81">
        <v>55</v>
      </c>
    </row>
    <row r="82" spans="1:13">
      <c r="A82">
        <v>335</v>
      </c>
      <c r="B82">
        <v>1830197</v>
      </c>
      <c r="C82" s="5">
        <v>46054</v>
      </c>
      <c r="D82" t="s">
        <v>458</v>
      </c>
      <c r="E82">
        <v>21</v>
      </c>
      <c r="I82" s="8">
        <v>330</v>
      </c>
      <c r="J82">
        <v>55</v>
      </c>
      <c r="L82">
        <v>335</v>
      </c>
      <c r="M82">
        <v>99</v>
      </c>
    </row>
    <row r="83" spans="1:13">
      <c r="A83">
        <v>336</v>
      </c>
      <c r="B83">
        <v>1830197</v>
      </c>
      <c r="C83" s="5">
        <v>46054</v>
      </c>
      <c r="D83" t="s">
        <v>458</v>
      </c>
      <c r="E83">
        <v>0</v>
      </c>
      <c r="I83" s="8">
        <v>335</v>
      </c>
      <c r="J83">
        <v>99</v>
      </c>
      <c r="L83">
        <v>336</v>
      </c>
      <c r="M83">
        <v>0</v>
      </c>
    </row>
    <row r="84" spans="1:13">
      <c r="A84">
        <v>337</v>
      </c>
      <c r="B84">
        <v>1830197</v>
      </c>
      <c r="C84" s="5">
        <v>46054</v>
      </c>
      <c r="D84" t="s">
        <v>458</v>
      </c>
      <c r="E84">
        <v>0</v>
      </c>
      <c r="I84" s="8">
        <v>336</v>
      </c>
      <c r="J84">
        <v>0</v>
      </c>
      <c r="L84">
        <v>337</v>
      </c>
      <c r="M84">
        <v>0</v>
      </c>
    </row>
    <row r="85" spans="1:13">
      <c r="A85">
        <v>382</v>
      </c>
      <c r="B85">
        <v>1830197</v>
      </c>
      <c r="C85" s="5">
        <v>46054</v>
      </c>
      <c r="D85" t="s">
        <v>458</v>
      </c>
      <c r="E85">
        <v>0</v>
      </c>
      <c r="I85" s="8">
        <v>337</v>
      </c>
      <c r="J85">
        <v>0</v>
      </c>
      <c r="L85">
        <v>382</v>
      </c>
      <c r="M85">
        <v>14</v>
      </c>
    </row>
    <row r="86" spans="1:13">
      <c r="A86">
        <v>385</v>
      </c>
      <c r="B86">
        <v>1830197</v>
      </c>
      <c r="C86" s="5">
        <v>46054</v>
      </c>
      <c r="D86" t="s">
        <v>458</v>
      </c>
      <c r="E86">
        <v>56</v>
      </c>
      <c r="I86" s="8">
        <v>382</v>
      </c>
      <c r="J86">
        <v>14</v>
      </c>
      <c r="L86">
        <v>385</v>
      </c>
      <c r="M86">
        <v>564</v>
      </c>
    </row>
    <row r="87" spans="1:13">
      <c r="A87">
        <v>386</v>
      </c>
      <c r="B87">
        <v>1830197</v>
      </c>
      <c r="C87" s="5">
        <v>46054</v>
      </c>
      <c r="D87" t="s">
        <v>458</v>
      </c>
      <c r="E87">
        <v>0</v>
      </c>
      <c r="I87" s="8">
        <v>385</v>
      </c>
      <c r="J87">
        <v>564</v>
      </c>
      <c r="L87">
        <v>386</v>
      </c>
      <c r="M87">
        <v>0</v>
      </c>
    </row>
    <row r="88" spans="1:13">
      <c r="A88">
        <v>391</v>
      </c>
      <c r="B88">
        <v>1830197</v>
      </c>
      <c r="C88" s="5">
        <v>46054</v>
      </c>
      <c r="D88" t="s">
        <v>458</v>
      </c>
      <c r="E88">
        <v>0</v>
      </c>
      <c r="I88" s="8">
        <v>386</v>
      </c>
      <c r="J88">
        <v>0</v>
      </c>
      <c r="L88">
        <v>391</v>
      </c>
      <c r="M88">
        <v>0</v>
      </c>
    </row>
    <row r="89" spans="1:13">
      <c r="A89">
        <v>397</v>
      </c>
      <c r="B89">
        <v>1830197</v>
      </c>
      <c r="C89" s="5">
        <v>46054</v>
      </c>
      <c r="D89" t="s">
        <v>458</v>
      </c>
      <c r="E89">
        <v>0</v>
      </c>
      <c r="I89" s="8">
        <v>391</v>
      </c>
      <c r="J89">
        <v>0</v>
      </c>
      <c r="L89">
        <v>397</v>
      </c>
      <c r="M89">
        <v>0</v>
      </c>
    </row>
    <row r="90" spans="1:13">
      <c r="A90">
        <v>398</v>
      </c>
      <c r="B90">
        <v>1830197</v>
      </c>
      <c r="C90" s="5">
        <v>46054</v>
      </c>
      <c r="D90" t="s">
        <v>458</v>
      </c>
      <c r="E90">
        <v>0</v>
      </c>
      <c r="I90" s="8">
        <v>397</v>
      </c>
      <c r="J90">
        <v>0</v>
      </c>
      <c r="L90">
        <v>398</v>
      </c>
      <c r="M90">
        <v>0</v>
      </c>
    </row>
    <row r="91" spans="1:13">
      <c r="A91">
        <v>406</v>
      </c>
      <c r="B91">
        <v>1830197</v>
      </c>
      <c r="C91" s="5">
        <v>46054</v>
      </c>
      <c r="D91" t="s">
        <v>458</v>
      </c>
      <c r="E91">
        <v>0</v>
      </c>
      <c r="I91" s="8">
        <v>398</v>
      </c>
      <c r="J91">
        <v>0</v>
      </c>
      <c r="L91">
        <v>406</v>
      </c>
      <c r="M91">
        <v>1.4000000000000001</v>
      </c>
    </row>
    <row r="92" spans="1:13">
      <c r="A92">
        <v>407</v>
      </c>
      <c r="B92">
        <v>1830197</v>
      </c>
      <c r="C92" s="5">
        <v>46054</v>
      </c>
      <c r="D92" t="s">
        <v>458</v>
      </c>
      <c r="E92">
        <v>1325</v>
      </c>
      <c r="I92" s="8">
        <v>406</v>
      </c>
      <c r="J92">
        <v>1.4000000000000001</v>
      </c>
      <c r="L92">
        <v>407</v>
      </c>
      <c r="M92">
        <v>10063</v>
      </c>
    </row>
    <row r="93" spans="1:13">
      <c r="A93">
        <v>408</v>
      </c>
      <c r="B93">
        <v>1830197</v>
      </c>
      <c r="C93" s="5">
        <v>46054</v>
      </c>
      <c r="D93" t="s">
        <v>458</v>
      </c>
      <c r="E93">
        <v>130</v>
      </c>
      <c r="I93" s="8">
        <v>407</v>
      </c>
      <c r="J93">
        <v>10063</v>
      </c>
      <c r="L93">
        <v>408</v>
      </c>
      <c r="M93">
        <v>1061</v>
      </c>
    </row>
    <row r="94" spans="1:13">
      <c r="A94">
        <v>409</v>
      </c>
      <c r="B94">
        <v>1830197</v>
      </c>
      <c r="C94" s="5">
        <v>46054</v>
      </c>
      <c r="D94" t="s">
        <v>458</v>
      </c>
      <c r="E94">
        <v>0</v>
      </c>
      <c r="I94" s="8">
        <v>408</v>
      </c>
      <c r="J94">
        <v>1061</v>
      </c>
      <c r="L94">
        <v>409</v>
      </c>
      <c r="M94">
        <v>0</v>
      </c>
    </row>
    <row r="95" spans="1:13">
      <c r="A95">
        <v>410</v>
      </c>
      <c r="B95">
        <v>1830197</v>
      </c>
      <c r="C95" s="5">
        <v>46054</v>
      </c>
      <c r="D95" t="s">
        <v>458</v>
      </c>
      <c r="E95">
        <v>0</v>
      </c>
      <c r="I95" s="8">
        <v>409</v>
      </c>
      <c r="J95">
        <v>0</v>
      </c>
      <c r="L95">
        <v>410</v>
      </c>
      <c r="M95">
        <v>0</v>
      </c>
    </row>
    <row r="96" spans="1:13">
      <c r="A96">
        <v>419</v>
      </c>
      <c r="B96">
        <v>1830197</v>
      </c>
      <c r="C96" s="5">
        <v>46054</v>
      </c>
      <c r="D96" t="s">
        <v>458</v>
      </c>
      <c r="E96">
        <v>288</v>
      </c>
      <c r="I96" s="8">
        <v>410</v>
      </c>
      <c r="J96">
        <v>0</v>
      </c>
      <c r="L96">
        <v>419</v>
      </c>
      <c r="M96">
        <v>2164</v>
      </c>
    </row>
    <row r="97" spans="1:13">
      <c r="A97">
        <v>472</v>
      </c>
      <c r="B97">
        <v>1830197</v>
      </c>
      <c r="C97" s="5">
        <v>46054</v>
      </c>
      <c r="D97" t="s">
        <v>458</v>
      </c>
      <c r="E97">
        <v>0</v>
      </c>
      <c r="I97" s="8">
        <v>419</v>
      </c>
      <c r="J97">
        <v>2164</v>
      </c>
      <c r="L97">
        <v>472</v>
      </c>
      <c r="M97">
        <v>0</v>
      </c>
    </row>
    <row r="98" spans="1:13">
      <c r="A98">
        <v>483</v>
      </c>
      <c r="B98">
        <v>1830197</v>
      </c>
      <c r="C98" s="5">
        <v>46054</v>
      </c>
      <c r="D98" t="s">
        <v>458</v>
      </c>
      <c r="E98">
        <v>197</v>
      </c>
      <c r="I98" s="8">
        <v>472</v>
      </c>
      <c r="J98">
        <v>0</v>
      </c>
      <c r="L98">
        <v>483</v>
      </c>
      <c r="M98">
        <v>1435</v>
      </c>
    </row>
    <row r="99" spans="1:13">
      <c r="A99">
        <v>591</v>
      </c>
      <c r="B99">
        <v>1830197</v>
      </c>
      <c r="C99" s="5">
        <v>46054</v>
      </c>
      <c r="D99" t="s">
        <v>458</v>
      </c>
      <c r="E99">
        <v>26</v>
      </c>
      <c r="I99" s="8">
        <v>483</v>
      </c>
      <c r="J99">
        <v>1435</v>
      </c>
      <c r="L99">
        <v>591</v>
      </c>
      <c r="M99">
        <v>194</v>
      </c>
    </row>
    <row r="100" spans="1:13">
      <c r="A100">
        <v>592</v>
      </c>
      <c r="B100">
        <v>1830197</v>
      </c>
      <c r="C100" s="5">
        <v>46054</v>
      </c>
      <c r="D100" t="s">
        <v>458</v>
      </c>
      <c r="E100">
        <v>67</v>
      </c>
      <c r="I100" s="8">
        <v>591</v>
      </c>
      <c r="J100">
        <v>194</v>
      </c>
      <c r="L100">
        <v>592</v>
      </c>
      <c r="M100">
        <v>466</v>
      </c>
    </row>
    <row r="101" spans="1:13">
      <c r="A101">
        <v>609</v>
      </c>
      <c r="B101">
        <v>1830197</v>
      </c>
      <c r="C101" s="5">
        <v>46054</v>
      </c>
      <c r="D101" t="s">
        <v>458</v>
      </c>
      <c r="E101">
        <v>202</v>
      </c>
      <c r="I101" s="8">
        <v>592</v>
      </c>
      <c r="J101">
        <v>466</v>
      </c>
      <c r="L101">
        <v>609</v>
      </c>
      <c r="M101">
        <v>1522</v>
      </c>
    </row>
    <row r="102" spans="1:13">
      <c r="A102">
        <v>708</v>
      </c>
      <c r="B102">
        <v>1830197</v>
      </c>
      <c r="C102" s="5">
        <v>46054</v>
      </c>
      <c r="D102" t="s">
        <v>458</v>
      </c>
      <c r="E102">
        <v>8</v>
      </c>
      <c r="I102" s="8">
        <v>609</v>
      </c>
      <c r="J102">
        <v>1522</v>
      </c>
      <c r="L102">
        <v>708</v>
      </c>
      <c r="M102">
        <v>46</v>
      </c>
    </row>
    <row r="103" spans="1:13">
      <c r="A103">
        <v>731</v>
      </c>
      <c r="B103">
        <v>1830197</v>
      </c>
      <c r="C103" s="5">
        <v>46054</v>
      </c>
      <c r="D103" t="s">
        <v>458</v>
      </c>
      <c r="E103">
        <v>0</v>
      </c>
      <c r="I103" s="8">
        <v>708</v>
      </c>
      <c r="J103">
        <v>46</v>
      </c>
      <c r="L103">
        <v>731</v>
      </c>
      <c r="M103">
        <v>0</v>
      </c>
    </row>
    <row r="104" spans="1:13">
      <c r="A104">
        <v>736</v>
      </c>
      <c r="B104">
        <v>1830197</v>
      </c>
      <c r="C104" s="5">
        <v>46054</v>
      </c>
      <c r="D104" t="s">
        <v>458</v>
      </c>
      <c r="E104">
        <v>48</v>
      </c>
      <c r="I104" s="8">
        <v>731</v>
      </c>
      <c r="J104">
        <v>0</v>
      </c>
      <c r="L104">
        <v>736</v>
      </c>
      <c r="M104">
        <v>509</v>
      </c>
    </row>
    <row r="105" spans="1:13">
      <c r="A105">
        <v>803</v>
      </c>
      <c r="B105">
        <v>1830197</v>
      </c>
      <c r="C105" s="5">
        <v>46054</v>
      </c>
      <c r="D105" t="s">
        <v>458</v>
      </c>
      <c r="E105">
        <v>0</v>
      </c>
      <c r="I105" s="8">
        <v>736</v>
      </c>
      <c r="J105">
        <v>509</v>
      </c>
      <c r="L105">
        <v>803</v>
      </c>
      <c r="M105">
        <v>0</v>
      </c>
    </row>
    <row r="106" spans="1:13">
      <c r="A106">
        <v>804</v>
      </c>
      <c r="B106">
        <v>1830197</v>
      </c>
      <c r="C106" s="5">
        <v>46054</v>
      </c>
      <c r="D106" t="s">
        <v>458</v>
      </c>
      <c r="E106">
        <v>0</v>
      </c>
      <c r="I106" s="8">
        <v>803</v>
      </c>
      <c r="J106">
        <v>0</v>
      </c>
      <c r="L106">
        <v>804</v>
      </c>
      <c r="M106">
        <v>0</v>
      </c>
    </row>
    <row r="107" spans="1:13">
      <c r="A107">
        <v>808</v>
      </c>
      <c r="B107">
        <v>1830197</v>
      </c>
      <c r="C107" s="5">
        <v>46054</v>
      </c>
      <c r="D107" t="s">
        <v>458</v>
      </c>
      <c r="E107">
        <v>0</v>
      </c>
      <c r="I107" s="8">
        <v>804</v>
      </c>
      <c r="J107">
        <v>0</v>
      </c>
      <c r="L107">
        <v>808</v>
      </c>
      <c r="M107">
        <v>153</v>
      </c>
    </row>
    <row r="108" spans="1:13">
      <c r="A108">
        <v>821</v>
      </c>
      <c r="B108">
        <v>1830197</v>
      </c>
      <c r="C108" s="5">
        <v>46054</v>
      </c>
      <c r="D108" t="s">
        <v>458</v>
      </c>
      <c r="E108">
        <v>325</v>
      </c>
      <c r="I108" s="8">
        <v>808</v>
      </c>
      <c r="J108">
        <v>153</v>
      </c>
      <c r="L108">
        <v>821</v>
      </c>
      <c r="M108">
        <v>2105</v>
      </c>
    </row>
    <row r="109" spans="1:13">
      <c r="A109">
        <v>880</v>
      </c>
      <c r="B109">
        <v>1830197</v>
      </c>
      <c r="C109" s="5">
        <v>46054</v>
      </c>
      <c r="D109" t="s">
        <v>458</v>
      </c>
      <c r="E109">
        <v>0</v>
      </c>
      <c r="I109" s="8">
        <v>821</v>
      </c>
      <c r="J109">
        <v>2105</v>
      </c>
      <c r="L109">
        <v>880</v>
      </c>
      <c r="M109">
        <v>0</v>
      </c>
    </row>
    <row r="110" spans="1:13">
      <c r="A110">
        <v>894</v>
      </c>
      <c r="B110">
        <v>1830197</v>
      </c>
      <c r="C110" s="5">
        <v>46054</v>
      </c>
      <c r="D110" t="s">
        <v>458</v>
      </c>
      <c r="E110">
        <v>0</v>
      </c>
      <c r="I110" s="8">
        <v>880</v>
      </c>
      <c r="J110">
        <v>0</v>
      </c>
      <c r="L110">
        <v>894</v>
      </c>
      <c r="M110">
        <v>0</v>
      </c>
    </row>
    <row r="111" spans="1:13">
      <c r="A111">
        <v>994</v>
      </c>
      <c r="B111">
        <v>1830197</v>
      </c>
      <c r="C111" s="5">
        <v>46054</v>
      </c>
      <c r="D111" t="s">
        <v>458</v>
      </c>
      <c r="E111">
        <v>0</v>
      </c>
      <c r="I111" s="8">
        <v>894</v>
      </c>
      <c r="J111">
        <v>0</v>
      </c>
      <c r="L111">
        <v>994</v>
      </c>
      <c r="M111">
        <v>0</v>
      </c>
    </row>
    <row r="112" spans="1:13">
      <c r="A112">
        <v>995</v>
      </c>
      <c r="B112">
        <v>1830197</v>
      </c>
      <c r="C112" s="5">
        <v>46054</v>
      </c>
      <c r="D112" t="s">
        <v>458</v>
      </c>
      <c r="E112">
        <v>0</v>
      </c>
      <c r="I112" s="8">
        <v>994</v>
      </c>
      <c r="J112">
        <v>0</v>
      </c>
      <c r="L112">
        <v>995</v>
      </c>
      <c r="M112">
        <v>0</v>
      </c>
    </row>
    <row r="113" spans="1:13">
      <c r="A113">
        <v>996</v>
      </c>
      <c r="B113">
        <v>1830197</v>
      </c>
      <c r="C113" s="5">
        <v>46054</v>
      </c>
      <c r="D113" t="s">
        <v>458</v>
      </c>
      <c r="E113">
        <v>0</v>
      </c>
      <c r="I113" s="8">
        <v>995</v>
      </c>
      <c r="J113">
        <v>0</v>
      </c>
      <c r="L113">
        <v>996</v>
      </c>
      <c r="M113">
        <v>0</v>
      </c>
    </row>
    <row r="114" spans="1:13">
      <c r="A114">
        <v>997</v>
      </c>
      <c r="B114">
        <v>1830197</v>
      </c>
      <c r="C114" s="5">
        <v>46054</v>
      </c>
      <c r="D114" t="s">
        <v>458</v>
      </c>
      <c r="E114">
        <v>0</v>
      </c>
      <c r="I114" s="8">
        <v>996</v>
      </c>
      <c r="J114">
        <v>0</v>
      </c>
      <c r="L114">
        <v>997</v>
      </c>
      <c r="M114">
        <v>0</v>
      </c>
    </row>
    <row r="115" spans="1:13">
      <c r="A115">
        <v>1007</v>
      </c>
      <c r="B115">
        <v>1830197</v>
      </c>
      <c r="C115" s="5">
        <v>46054</v>
      </c>
      <c r="D115" t="s">
        <v>458</v>
      </c>
      <c r="E115">
        <v>1.58</v>
      </c>
      <c r="I115" s="8">
        <v>997</v>
      </c>
      <c r="J115">
        <v>0</v>
      </c>
      <c r="L115">
        <v>1007</v>
      </c>
      <c r="M115">
        <v>13.160000000000002</v>
      </c>
    </row>
    <row r="116" spans="1:13">
      <c r="A116">
        <v>1116</v>
      </c>
      <c r="B116">
        <v>1830197</v>
      </c>
      <c r="C116" s="5">
        <v>46054</v>
      </c>
      <c r="D116" t="s">
        <v>458</v>
      </c>
      <c r="E116">
        <v>21.21</v>
      </c>
      <c r="I116" s="8">
        <v>1007</v>
      </c>
      <c r="J116">
        <v>13.160000000000002</v>
      </c>
      <c r="L116">
        <v>1116</v>
      </c>
      <c r="M116">
        <v>171.34</v>
      </c>
    </row>
    <row r="117" spans="1:13">
      <c r="A117">
        <v>1125</v>
      </c>
      <c r="B117">
        <v>1830197</v>
      </c>
      <c r="C117" s="5">
        <v>46054</v>
      </c>
      <c r="D117" t="s">
        <v>458</v>
      </c>
      <c r="E117">
        <v>61</v>
      </c>
      <c r="I117" s="8">
        <v>1116</v>
      </c>
      <c r="J117">
        <v>171.34</v>
      </c>
      <c r="L117">
        <v>1125</v>
      </c>
      <c r="M117">
        <v>466</v>
      </c>
    </row>
    <row r="118" spans="1:13">
      <c r="A118">
        <v>1127</v>
      </c>
      <c r="B118">
        <v>1830197</v>
      </c>
      <c r="C118" s="5">
        <v>46054</v>
      </c>
      <c r="D118" t="s">
        <v>458</v>
      </c>
      <c r="E118">
        <v>0</v>
      </c>
      <c r="I118" s="8">
        <v>1125</v>
      </c>
      <c r="J118">
        <v>466</v>
      </c>
      <c r="L118">
        <v>1127</v>
      </c>
      <c r="M118">
        <v>0</v>
      </c>
    </row>
    <row r="119" spans="1:13">
      <c r="A119">
        <v>1131</v>
      </c>
      <c r="B119">
        <v>1830197</v>
      </c>
      <c r="C119" s="5">
        <v>46054</v>
      </c>
      <c r="D119" t="s">
        <v>458</v>
      </c>
      <c r="E119">
        <v>0</v>
      </c>
      <c r="I119" s="8">
        <v>1127</v>
      </c>
      <c r="J119">
        <v>0</v>
      </c>
      <c r="L119">
        <v>1131</v>
      </c>
      <c r="M119">
        <v>0</v>
      </c>
    </row>
    <row r="120" spans="1:13">
      <c r="A120">
        <v>1139</v>
      </c>
      <c r="B120">
        <v>1830197</v>
      </c>
      <c r="C120" s="5">
        <v>46054</v>
      </c>
      <c r="D120" t="s">
        <v>458</v>
      </c>
      <c r="E120">
        <v>457</v>
      </c>
      <c r="I120" s="8">
        <v>1131</v>
      </c>
      <c r="J120">
        <v>0</v>
      </c>
      <c r="L120">
        <v>1139</v>
      </c>
      <c r="M120">
        <v>3476</v>
      </c>
    </row>
    <row r="121" spans="1:13">
      <c r="A121">
        <v>1146</v>
      </c>
      <c r="B121">
        <v>1830197</v>
      </c>
      <c r="C121" s="5">
        <v>46054</v>
      </c>
      <c r="D121" t="s">
        <v>458</v>
      </c>
      <c r="E121">
        <v>66</v>
      </c>
      <c r="I121" s="8">
        <v>1139</v>
      </c>
      <c r="J121">
        <v>3476</v>
      </c>
      <c r="L121">
        <v>1146</v>
      </c>
      <c r="M121">
        <v>479</v>
      </c>
    </row>
    <row r="122" spans="1:13">
      <c r="A122">
        <v>1179</v>
      </c>
      <c r="B122">
        <v>1830197</v>
      </c>
      <c r="C122" s="5">
        <v>46054</v>
      </c>
      <c r="D122" t="s">
        <v>458</v>
      </c>
      <c r="E122">
        <v>20</v>
      </c>
      <c r="I122" s="8">
        <v>1146</v>
      </c>
      <c r="J122">
        <v>479</v>
      </c>
      <c r="L122">
        <v>1179</v>
      </c>
      <c r="M122">
        <v>133</v>
      </c>
    </row>
    <row r="123" spans="1:13">
      <c r="A123">
        <v>1224</v>
      </c>
      <c r="B123">
        <v>1830197</v>
      </c>
      <c r="C123" s="5">
        <v>46054</v>
      </c>
      <c r="D123" t="s">
        <v>458</v>
      </c>
      <c r="E123">
        <v>0</v>
      </c>
      <c r="I123" s="8">
        <v>1179</v>
      </c>
      <c r="J123">
        <v>133</v>
      </c>
      <c r="L123">
        <v>1224</v>
      </c>
      <c r="M123">
        <v>0</v>
      </c>
    </row>
    <row r="124" spans="1:13">
      <c r="A124">
        <v>1242</v>
      </c>
      <c r="B124">
        <v>1830197</v>
      </c>
      <c r="C124" s="5">
        <v>46054</v>
      </c>
      <c r="D124" t="s">
        <v>458</v>
      </c>
      <c r="E124">
        <v>213</v>
      </c>
      <c r="I124" s="8">
        <v>1224</v>
      </c>
      <c r="J124">
        <v>0</v>
      </c>
      <c r="L124">
        <v>1242</v>
      </c>
      <c r="M124">
        <v>1625</v>
      </c>
    </row>
    <row r="125" spans="1:13">
      <c r="A125">
        <v>1243</v>
      </c>
      <c r="B125">
        <v>1830197</v>
      </c>
      <c r="C125" s="5">
        <v>46054</v>
      </c>
      <c r="D125" t="s">
        <v>458</v>
      </c>
      <c r="E125">
        <v>0</v>
      </c>
      <c r="I125" s="8">
        <v>1242</v>
      </c>
      <c r="J125">
        <v>1625</v>
      </c>
      <c r="L125">
        <v>1243</v>
      </c>
      <c r="M125">
        <v>0</v>
      </c>
    </row>
    <row r="126" spans="1:13">
      <c r="A126">
        <v>1244</v>
      </c>
      <c r="B126">
        <v>1830197</v>
      </c>
      <c r="C126" s="5">
        <v>46054</v>
      </c>
      <c r="D126" t="s">
        <v>458</v>
      </c>
      <c r="E126">
        <v>0</v>
      </c>
      <c r="I126" s="8">
        <v>1243</v>
      </c>
      <c r="J126">
        <v>0</v>
      </c>
      <c r="L126">
        <v>1244</v>
      </c>
      <c r="M126">
        <v>0</v>
      </c>
    </row>
    <row r="127" spans="1:13">
      <c r="A127">
        <v>1245</v>
      </c>
      <c r="B127">
        <v>1830197</v>
      </c>
      <c r="C127" s="5">
        <v>46054</v>
      </c>
      <c r="D127" t="s">
        <v>458</v>
      </c>
      <c r="E127">
        <v>0</v>
      </c>
      <c r="I127" s="8">
        <v>1244</v>
      </c>
      <c r="J127">
        <v>0</v>
      </c>
      <c r="L127">
        <v>1245</v>
      </c>
      <c r="M127">
        <v>0</v>
      </c>
    </row>
    <row r="128" spans="1:13">
      <c r="A128">
        <v>1394</v>
      </c>
      <c r="B128">
        <v>1830197</v>
      </c>
      <c r="C128" s="5">
        <v>46054</v>
      </c>
      <c r="D128" t="s">
        <v>458</v>
      </c>
      <c r="E128">
        <v>0</v>
      </c>
      <c r="I128" s="8">
        <v>1245</v>
      </c>
      <c r="J128">
        <v>0</v>
      </c>
      <c r="L128">
        <v>1394</v>
      </c>
      <c r="M128">
        <v>0</v>
      </c>
    </row>
    <row r="129" spans="1:13">
      <c r="A129">
        <v>1441</v>
      </c>
      <c r="B129">
        <v>1830197</v>
      </c>
      <c r="C129" s="5">
        <v>46054</v>
      </c>
      <c r="D129" t="s">
        <v>458</v>
      </c>
      <c r="E129">
        <v>97</v>
      </c>
      <c r="I129" s="8">
        <v>1394</v>
      </c>
      <c r="J129">
        <v>0</v>
      </c>
      <c r="L129">
        <v>1441</v>
      </c>
      <c r="M129">
        <v>775</v>
      </c>
    </row>
    <row r="130" spans="1:13">
      <c r="A130">
        <v>1494</v>
      </c>
      <c r="B130">
        <v>1830197</v>
      </c>
      <c r="C130" s="5">
        <v>46054</v>
      </c>
      <c r="D130" t="s">
        <v>458</v>
      </c>
      <c r="E130">
        <v>0</v>
      </c>
      <c r="I130" s="8">
        <v>1441</v>
      </c>
      <c r="J130">
        <v>775</v>
      </c>
      <c r="L130">
        <v>1494</v>
      </c>
      <c r="M130">
        <v>0</v>
      </c>
    </row>
    <row r="131" spans="1:13">
      <c r="A131">
        <v>1503</v>
      </c>
      <c r="B131">
        <v>1830197</v>
      </c>
      <c r="C131" s="5">
        <v>46054</v>
      </c>
      <c r="D131" t="s">
        <v>458</v>
      </c>
      <c r="E131">
        <v>0</v>
      </c>
      <c r="I131" s="8">
        <v>1494</v>
      </c>
      <c r="J131">
        <v>0</v>
      </c>
      <c r="L131">
        <v>1503</v>
      </c>
      <c r="M131">
        <v>0.4</v>
      </c>
    </row>
    <row r="132" spans="1:13">
      <c r="A132">
        <v>1541</v>
      </c>
      <c r="B132">
        <v>1830197</v>
      </c>
      <c r="C132" s="5">
        <v>46054</v>
      </c>
      <c r="D132" t="s">
        <v>458</v>
      </c>
      <c r="E132">
        <v>1</v>
      </c>
      <c r="I132" s="8">
        <v>1503</v>
      </c>
      <c r="J132">
        <v>0.4</v>
      </c>
      <c r="L132">
        <v>1541</v>
      </c>
      <c r="M132">
        <v>14</v>
      </c>
    </row>
    <row r="133" spans="1:13">
      <c r="A133">
        <v>1637</v>
      </c>
      <c r="B133">
        <v>1830197</v>
      </c>
      <c r="C133" s="5">
        <v>46054</v>
      </c>
      <c r="D133" t="s">
        <v>458</v>
      </c>
      <c r="E133">
        <v>684</v>
      </c>
      <c r="I133" s="8">
        <v>1541</v>
      </c>
      <c r="J133">
        <v>14</v>
      </c>
      <c r="L133">
        <v>1637</v>
      </c>
      <c r="M133">
        <v>5204</v>
      </c>
    </row>
    <row r="134" spans="1:13">
      <c r="A134">
        <v>1782</v>
      </c>
      <c r="B134">
        <v>1830197</v>
      </c>
      <c r="C134" s="5">
        <v>46054</v>
      </c>
      <c r="D134" t="s">
        <v>458</v>
      </c>
      <c r="E134">
        <v>0</v>
      </c>
      <c r="I134" s="8">
        <v>1637</v>
      </c>
      <c r="J134">
        <v>5204</v>
      </c>
      <c r="L134">
        <v>1782</v>
      </c>
      <c r="M134">
        <v>0</v>
      </c>
    </row>
    <row r="135" spans="1:13">
      <c r="A135">
        <v>1798</v>
      </c>
      <c r="B135">
        <v>1830197</v>
      </c>
      <c r="C135" s="5">
        <v>46054</v>
      </c>
      <c r="D135" t="s">
        <v>458</v>
      </c>
      <c r="E135">
        <v>0</v>
      </c>
      <c r="I135" s="8">
        <v>1782</v>
      </c>
      <c r="J135">
        <v>0</v>
      </c>
      <c r="L135">
        <v>1798</v>
      </c>
      <c r="M135">
        <v>0</v>
      </c>
    </row>
    <row r="136" spans="1:13">
      <c r="A136">
        <v>1799</v>
      </c>
      <c r="B136">
        <v>1830197</v>
      </c>
      <c r="C136" s="5">
        <v>46054</v>
      </c>
      <c r="D136" t="s">
        <v>458</v>
      </c>
      <c r="E136">
        <v>0</v>
      </c>
      <c r="I136" s="8">
        <v>1798</v>
      </c>
      <c r="J136">
        <v>0</v>
      </c>
      <c r="L136">
        <v>1799</v>
      </c>
      <c r="M136">
        <v>0</v>
      </c>
    </row>
    <row r="137" spans="1:13">
      <c r="A137">
        <v>1811</v>
      </c>
      <c r="B137">
        <v>1830197</v>
      </c>
      <c r="C137" s="5">
        <v>46054</v>
      </c>
      <c r="D137" t="s">
        <v>458</v>
      </c>
      <c r="E137">
        <v>155</v>
      </c>
      <c r="I137" s="8">
        <v>1799</v>
      </c>
      <c r="J137">
        <v>0</v>
      </c>
      <c r="L137">
        <v>1811</v>
      </c>
      <c r="M137">
        <v>332</v>
      </c>
    </row>
    <row r="138" spans="1:13">
      <c r="A138">
        <v>1812</v>
      </c>
      <c r="B138">
        <v>1830197</v>
      </c>
      <c r="C138" s="5">
        <v>46054</v>
      </c>
      <c r="D138" t="s">
        <v>458</v>
      </c>
      <c r="E138">
        <v>0</v>
      </c>
      <c r="I138" s="8">
        <v>1811</v>
      </c>
      <c r="J138">
        <v>332</v>
      </c>
      <c r="L138">
        <v>1812</v>
      </c>
      <c r="M138">
        <v>0</v>
      </c>
    </row>
    <row r="139" spans="1:13">
      <c r="A139">
        <v>1850</v>
      </c>
      <c r="B139">
        <v>1830197</v>
      </c>
      <c r="C139" s="5">
        <v>46054</v>
      </c>
      <c r="D139" t="s">
        <v>458</v>
      </c>
      <c r="E139">
        <v>0</v>
      </c>
      <c r="I139" s="8">
        <v>1812</v>
      </c>
      <c r="J139">
        <v>0</v>
      </c>
      <c r="L139">
        <v>1850</v>
      </c>
      <c r="M139">
        <v>0</v>
      </c>
    </row>
    <row r="140" spans="1:13">
      <c r="A140">
        <v>1863</v>
      </c>
      <c r="B140">
        <v>1830197</v>
      </c>
      <c r="C140" s="5">
        <v>46054</v>
      </c>
      <c r="D140" t="s">
        <v>458</v>
      </c>
      <c r="E140">
        <v>0</v>
      </c>
      <c r="I140" s="8">
        <v>1850</v>
      </c>
      <c r="J140">
        <v>0</v>
      </c>
      <c r="L140">
        <v>1863</v>
      </c>
      <c r="M140">
        <v>0</v>
      </c>
    </row>
    <row r="141" spans="1:13">
      <c r="A141">
        <v>1870</v>
      </c>
      <c r="B141">
        <v>1830197</v>
      </c>
      <c r="C141" s="5">
        <v>46054</v>
      </c>
      <c r="D141" t="s">
        <v>458</v>
      </c>
      <c r="E141">
        <v>0</v>
      </c>
      <c r="I141" s="8">
        <v>1863</v>
      </c>
      <c r="J141">
        <v>0</v>
      </c>
      <c r="L141">
        <v>1870</v>
      </c>
      <c r="M141">
        <v>0</v>
      </c>
    </row>
    <row r="142" spans="1:13">
      <c r="A142">
        <v>1912</v>
      </c>
      <c r="B142">
        <v>1830197</v>
      </c>
      <c r="C142" s="5">
        <v>46054</v>
      </c>
      <c r="D142" t="s">
        <v>458</v>
      </c>
      <c r="E142">
        <v>0</v>
      </c>
      <c r="I142" s="8">
        <v>1870</v>
      </c>
      <c r="J142">
        <v>0</v>
      </c>
      <c r="L142">
        <v>1912</v>
      </c>
      <c r="M142">
        <v>0</v>
      </c>
    </row>
    <row r="143" spans="1:13">
      <c r="A143">
        <v>2016</v>
      </c>
      <c r="B143">
        <v>1830197</v>
      </c>
      <c r="C143" s="5">
        <v>46054</v>
      </c>
      <c r="D143" t="s">
        <v>458</v>
      </c>
      <c r="E143">
        <v>0</v>
      </c>
      <c r="I143" s="8">
        <v>1912</v>
      </c>
      <c r="J143">
        <v>0</v>
      </c>
      <c r="L143">
        <v>2016</v>
      </c>
      <c r="M143">
        <v>0</v>
      </c>
    </row>
    <row r="144" spans="1:13">
      <c r="A144">
        <v>2254</v>
      </c>
      <c r="B144">
        <v>1830197</v>
      </c>
      <c r="C144" s="5">
        <v>46054</v>
      </c>
      <c r="D144" t="s">
        <v>458</v>
      </c>
      <c r="E144">
        <v>1</v>
      </c>
      <c r="I144" s="8">
        <v>2016</v>
      </c>
      <c r="J144">
        <v>0</v>
      </c>
      <c r="L144">
        <v>2254</v>
      </c>
      <c r="M144">
        <v>36</v>
      </c>
    </row>
    <row r="145" spans="1:13">
      <c r="A145">
        <v>2255</v>
      </c>
      <c r="B145">
        <v>1830197</v>
      </c>
      <c r="C145" s="5">
        <v>46054</v>
      </c>
      <c r="D145" t="s">
        <v>458</v>
      </c>
      <c r="E145">
        <v>4</v>
      </c>
      <c r="I145" s="8">
        <v>2254</v>
      </c>
      <c r="J145">
        <v>36</v>
      </c>
      <c r="L145">
        <v>2255</v>
      </c>
      <c r="M145">
        <v>68</v>
      </c>
    </row>
    <row r="146" spans="1:13">
      <c r="A146">
        <v>2399</v>
      </c>
      <c r="B146">
        <v>1830197</v>
      </c>
      <c r="C146" s="5">
        <v>46054</v>
      </c>
      <c r="D146" t="s">
        <v>458</v>
      </c>
      <c r="E146">
        <v>6.68</v>
      </c>
      <c r="I146" s="8">
        <v>2255</v>
      </c>
      <c r="J146">
        <v>68</v>
      </c>
      <c r="L146">
        <v>2399</v>
      </c>
      <c r="M146">
        <v>22.259999999999998</v>
      </c>
    </row>
    <row r="147" spans="1:13">
      <c r="A147">
        <v>2441</v>
      </c>
      <c r="B147">
        <v>1830197</v>
      </c>
      <c r="C147" s="5">
        <v>46054</v>
      </c>
      <c r="D147" t="s">
        <v>458</v>
      </c>
      <c r="E147">
        <v>0</v>
      </c>
      <c r="I147" s="8">
        <v>2399</v>
      </c>
      <c r="J147">
        <v>22.259999999999998</v>
      </c>
      <c r="L147">
        <v>2441</v>
      </c>
      <c r="M147">
        <v>0</v>
      </c>
    </row>
    <row r="148" spans="1:13">
      <c r="A148">
        <v>2442</v>
      </c>
      <c r="B148">
        <v>1830197</v>
      </c>
      <c r="C148" s="5">
        <v>46054</v>
      </c>
      <c r="D148" t="s">
        <v>458</v>
      </c>
      <c r="E148">
        <v>0</v>
      </c>
      <c r="I148" s="8">
        <v>2441</v>
      </c>
      <c r="J148">
        <v>0</v>
      </c>
      <c r="L148">
        <v>2442</v>
      </c>
      <c r="M148">
        <v>0</v>
      </c>
    </row>
    <row r="149" spans="1:13">
      <c r="A149">
        <v>2481</v>
      </c>
      <c r="B149">
        <v>1830197</v>
      </c>
      <c r="C149" s="5">
        <v>46054</v>
      </c>
      <c r="D149" t="s">
        <v>458</v>
      </c>
      <c r="E149">
        <v>0.27</v>
      </c>
      <c r="I149" s="8">
        <v>2442</v>
      </c>
      <c r="J149">
        <v>0</v>
      </c>
      <c r="L149">
        <v>2481</v>
      </c>
      <c r="M149">
        <v>1.48</v>
      </c>
    </row>
    <row r="150" spans="1:13">
      <c r="A150">
        <v>2540</v>
      </c>
      <c r="B150">
        <v>1830197</v>
      </c>
      <c r="C150" s="5">
        <v>46054</v>
      </c>
      <c r="D150" t="s">
        <v>458</v>
      </c>
      <c r="E150">
        <v>10</v>
      </c>
      <c r="I150" s="8">
        <v>2481</v>
      </c>
      <c r="J150">
        <v>1.48</v>
      </c>
      <c r="L150">
        <v>2540</v>
      </c>
      <c r="M150">
        <v>86</v>
      </c>
    </row>
    <row r="151" spans="1:13">
      <c r="A151">
        <v>2549</v>
      </c>
      <c r="B151">
        <v>1830197</v>
      </c>
      <c r="C151" s="5">
        <v>46054</v>
      </c>
      <c r="D151" t="s">
        <v>458</v>
      </c>
      <c r="E151">
        <v>176</v>
      </c>
      <c r="I151" s="8">
        <v>2540</v>
      </c>
      <c r="J151">
        <v>86</v>
      </c>
      <c r="L151">
        <v>2549</v>
      </c>
      <c r="M151">
        <v>1237</v>
      </c>
    </row>
    <row r="152" spans="1:13">
      <c r="A152">
        <v>2550</v>
      </c>
      <c r="B152">
        <v>1830197</v>
      </c>
      <c r="C152" s="5">
        <v>46054</v>
      </c>
      <c r="D152" t="s">
        <v>458</v>
      </c>
      <c r="E152">
        <v>13</v>
      </c>
      <c r="I152" s="8">
        <v>2549</v>
      </c>
      <c r="J152">
        <v>1237</v>
      </c>
      <c r="L152">
        <v>2550</v>
      </c>
      <c r="M152">
        <v>93</v>
      </c>
    </row>
    <row r="153" spans="1:13">
      <c r="A153">
        <v>2589</v>
      </c>
      <c r="B153">
        <v>1830197</v>
      </c>
      <c r="C153" s="5">
        <v>46054</v>
      </c>
      <c r="D153" t="s">
        <v>458</v>
      </c>
      <c r="E153">
        <v>0</v>
      </c>
      <c r="I153" s="8">
        <v>2550</v>
      </c>
      <c r="J153">
        <v>93</v>
      </c>
      <c r="L153">
        <v>2589</v>
      </c>
      <c r="M153">
        <v>0</v>
      </c>
    </row>
    <row r="154" spans="1:13">
      <c r="A154">
        <v>2590</v>
      </c>
      <c r="B154">
        <v>1830197</v>
      </c>
      <c r="C154" s="5">
        <v>46054</v>
      </c>
      <c r="D154" t="s">
        <v>458</v>
      </c>
      <c r="E154">
        <v>0</v>
      </c>
      <c r="I154" s="8">
        <v>2589</v>
      </c>
      <c r="J154">
        <v>0</v>
      </c>
      <c r="L154">
        <v>2590</v>
      </c>
      <c r="M154">
        <v>0</v>
      </c>
    </row>
    <row r="155" spans="1:13">
      <c r="A155">
        <v>2591</v>
      </c>
      <c r="B155">
        <v>1830197</v>
      </c>
      <c r="C155" s="5">
        <v>46054</v>
      </c>
      <c r="D155" t="s">
        <v>458</v>
      </c>
      <c r="E155">
        <v>4</v>
      </c>
      <c r="I155" s="8">
        <v>2590</v>
      </c>
      <c r="J155">
        <v>0</v>
      </c>
      <c r="L155">
        <v>2591</v>
      </c>
      <c r="M155">
        <v>61</v>
      </c>
    </row>
    <row r="156" spans="1:13">
      <c r="A156">
        <v>2601</v>
      </c>
      <c r="B156">
        <v>1830197</v>
      </c>
      <c r="C156" s="5">
        <v>46054</v>
      </c>
      <c r="D156" t="s">
        <v>458</v>
      </c>
      <c r="E156">
        <v>0</v>
      </c>
      <c r="I156" s="8">
        <v>2591</v>
      </c>
      <c r="J156">
        <v>61</v>
      </c>
      <c r="L156">
        <v>2601</v>
      </c>
      <c r="M156">
        <v>0.4</v>
      </c>
    </row>
    <row r="157" spans="1:13">
      <c r="A157">
        <v>2679</v>
      </c>
      <c r="B157">
        <v>1830197</v>
      </c>
      <c r="C157" s="5">
        <v>46054</v>
      </c>
      <c r="D157" t="s">
        <v>458</v>
      </c>
      <c r="E157">
        <v>7.15</v>
      </c>
      <c r="I157" s="8">
        <v>2601</v>
      </c>
      <c r="J157">
        <v>0.4</v>
      </c>
      <c r="L157">
        <v>2679</v>
      </c>
      <c r="M157">
        <v>10.230000000000002</v>
      </c>
    </row>
    <row r="158" spans="1:13">
      <c r="A158">
        <v>2683</v>
      </c>
      <c r="B158">
        <v>1830197</v>
      </c>
      <c r="C158" s="5">
        <v>46054</v>
      </c>
      <c r="D158" t="s">
        <v>458</v>
      </c>
      <c r="E158">
        <v>0</v>
      </c>
      <c r="I158" s="8">
        <v>2679</v>
      </c>
      <c r="J158">
        <v>10.230000000000002</v>
      </c>
      <c r="L158">
        <v>2683</v>
      </c>
      <c r="M158">
        <v>0</v>
      </c>
    </row>
    <row r="159" spans="1:13">
      <c r="A159">
        <v>2684</v>
      </c>
      <c r="B159">
        <v>1830197</v>
      </c>
      <c r="C159" s="5">
        <v>46054</v>
      </c>
      <c r="D159" t="s">
        <v>458</v>
      </c>
      <c r="E159">
        <v>0</v>
      </c>
      <c r="I159" s="8">
        <v>2683</v>
      </c>
      <c r="J159">
        <v>0</v>
      </c>
      <c r="L159">
        <v>2684</v>
      </c>
      <c r="M159">
        <v>0</v>
      </c>
    </row>
    <row r="160" spans="1:13">
      <c r="A160">
        <v>2685</v>
      </c>
      <c r="B160">
        <v>1830197</v>
      </c>
      <c r="C160" s="5">
        <v>46054</v>
      </c>
      <c r="D160" t="s">
        <v>458</v>
      </c>
      <c r="E160">
        <v>0</v>
      </c>
      <c r="I160" s="8">
        <v>2684</v>
      </c>
      <c r="J160">
        <v>0</v>
      </c>
      <c r="L160">
        <v>2685</v>
      </c>
      <c r="M160">
        <v>0</v>
      </c>
    </row>
    <row r="161" spans="1:13">
      <c r="A161">
        <v>2784</v>
      </c>
      <c r="B161">
        <v>1830197</v>
      </c>
      <c r="C161" s="5">
        <v>46054</v>
      </c>
      <c r="D161" t="s">
        <v>458</v>
      </c>
      <c r="E161">
        <v>15.33</v>
      </c>
      <c r="I161" s="8">
        <v>2685</v>
      </c>
      <c r="J161">
        <v>0</v>
      </c>
      <c r="L161">
        <v>2784</v>
      </c>
      <c r="M161">
        <v>99.87</v>
      </c>
    </row>
    <row r="162" spans="1:13">
      <c r="A162">
        <v>2785</v>
      </c>
      <c r="B162">
        <v>1830197</v>
      </c>
      <c r="C162" s="5">
        <v>46054</v>
      </c>
      <c r="D162" t="s">
        <v>458</v>
      </c>
      <c r="E162">
        <v>1</v>
      </c>
      <c r="I162" s="8">
        <v>2784</v>
      </c>
      <c r="J162">
        <v>99.87</v>
      </c>
      <c r="L162">
        <v>2785</v>
      </c>
      <c r="M162">
        <v>5</v>
      </c>
    </row>
    <row r="163" spans="1:13">
      <c r="A163">
        <v>2786</v>
      </c>
      <c r="B163">
        <v>1830197</v>
      </c>
      <c r="C163" s="5">
        <v>46054</v>
      </c>
      <c r="D163" t="s">
        <v>458</v>
      </c>
      <c r="E163">
        <v>3</v>
      </c>
      <c r="I163" s="8">
        <v>2785</v>
      </c>
      <c r="J163">
        <v>5</v>
      </c>
      <c r="L163">
        <v>2786</v>
      </c>
      <c r="M163">
        <v>7</v>
      </c>
    </row>
    <row r="164" spans="1:13">
      <c r="A164">
        <v>2787</v>
      </c>
      <c r="B164">
        <v>1830197</v>
      </c>
      <c r="C164" s="5">
        <v>46054</v>
      </c>
      <c r="D164" t="s">
        <v>458</v>
      </c>
      <c r="E164">
        <v>7</v>
      </c>
      <c r="I164" s="8">
        <v>2786</v>
      </c>
      <c r="J164">
        <v>7</v>
      </c>
      <c r="L164">
        <v>2787</v>
      </c>
      <c r="M164">
        <v>38</v>
      </c>
    </row>
    <row r="165" spans="1:13">
      <c r="A165">
        <v>2814</v>
      </c>
      <c r="B165">
        <v>1830197</v>
      </c>
      <c r="C165" s="5">
        <v>46054</v>
      </c>
      <c r="D165" t="s">
        <v>458</v>
      </c>
      <c r="E165">
        <v>0</v>
      </c>
      <c r="I165" s="8">
        <v>2787</v>
      </c>
      <c r="J165">
        <v>38</v>
      </c>
      <c r="L165">
        <v>2814</v>
      </c>
      <c r="M165">
        <v>0</v>
      </c>
    </row>
    <row r="166" spans="1:13">
      <c r="A166">
        <v>2815</v>
      </c>
      <c r="B166">
        <v>1830197</v>
      </c>
      <c r="C166" s="5">
        <v>46054</v>
      </c>
      <c r="D166" t="s">
        <v>458</v>
      </c>
      <c r="E166">
        <v>0</v>
      </c>
      <c r="I166" s="8">
        <v>2814</v>
      </c>
      <c r="J166">
        <v>0</v>
      </c>
      <c r="L166">
        <v>2815</v>
      </c>
      <c r="M166">
        <v>0</v>
      </c>
    </row>
    <row r="167" spans="1:13">
      <c r="A167">
        <v>2816</v>
      </c>
      <c r="B167">
        <v>1830197</v>
      </c>
      <c r="C167" s="5">
        <v>46054</v>
      </c>
      <c r="D167" t="s">
        <v>458</v>
      </c>
      <c r="E167">
        <v>0</v>
      </c>
      <c r="I167" s="8">
        <v>2815</v>
      </c>
      <c r="J167">
        <v>0</v>
      </c>
      <c r="L167">
        <v>2816</v>
      </c>
      <c r="M167">
        <v>0</v>
      </c>
    </row>
    <row r="168" spans="1:13">
      <c r="A168">
        <v>2817</v>
      </c>
      <c r="B168">
        <v>1830197</v>
      </c>
      <c r="C168" s="5">
        <v>46054</v>
      </c>
      <c r="D168" t="s">
        <v>458</v>
      </c>
      <c r="E168">
        <v>0</v>
      </c>
      <c r="I168" s="8">
        <v>2816</v>
      </c>
      <c r="J168">
        <v>0</v>
      </c>
      <c r="L168">
        <v>2817</v>
      </c>
      <c r="M168">
        <v>0</v>
      </c>
    </row>
    <row r="169" spans="1:13">
      <c r="A169">
        <v>2856</v>
      </c>
      <c r="B169">
        <v>1830197</v>
      </c>
      <c r="C169" s="5">
        <v>46054</v>
      </c>
      <c r="D169" t="s">
        <v>458</v>
      </c>
      <c r="E169">
        <v>0</v>
      </c>
      <c r="I169" s="8">
        <v>2817</v>
      </c>
      <c r="J169">
        <v>0</v>
      </c>
      <c r="L169">
        <v>2856</v>
      </c>
      <c r="M169">
        <v>0</v>
      </c>
    </row>
    <row r="170" spans="1:13">
      <c r="A170">
        <v>2872</v>
      </c>
      <c r="B170">
        <v>1830197</v>
      </c>
      <c r="C170" s="5">
        <v>46054</v>
      </c>
      <c r="D170" t="s">
        <v>458</v>
      </c>
      <c r="E170">
        <v>0</v>
      </c>
      <c r="I170" s="8">
        <v>2856</v>
      </c>
      <c r="J170">
        <v>0</v>
      </c>
      <c r="L170">
        <v>2872</v>
      </c>
      <c r="M170">
        <v>0</v>
      </c>
    </row>
    <row r="171" spans="1:13">
      <c r="A171">
        <v>2956</v>
      </c>
      <c r="B171">
        <v>1830197</v>
      </c>
      <c r="C171" s="5">
        <v>46054</v>
      </c>
      <c r="D171" t="s">
        <v>458</v>
      </c>
      <c r="E171">
        <v>0</v>
      </c>
      <c r="I171" s="8">
        <v>2872</v>
      </c>
      <c r="J171">
        <v>0</v>
      </c>
      <c r="L171">
        <v>2956</v>
      </c>
      <c r="M171">
        <v>0.30000000000000004</v>
      </c>
    </row>
    <row r="172" spans="1:13">
      <c r="A172">
        <v>2963</v>
      </c>
      <c r="B172">
        <v>1830197</v>
      </c>
      <c r="C172" s="5">
        <v>46054</v>
      </c>
      <c r="D172" t="s">
        <v>458</v>
      </c>
      <c r="E172">
        <v>0</v>
      </c>
      <c r="I172" s="8">
        <v>2956</v>
      </c>
      <c r="J172">
        <v>0.30000000000000004</v>
      </c>
      <c r="L172">
        <v>2963</v>
      </c>
      <c r="M172">
        <v>0</v>
      </c>
    </row>
    <row r="173" spans="1:13">
      <c r="A173">
        <v>3034</v>
      </c>
      <c r="B173">
        <v>1830197</v>
      </c>
      <c r="C173" s="5">
        <v>46054</v>
      </c>
      <c r="D173" t="s">
        <v>458</v>
      </c>
      <c r="E173">
        <v>26</v>
      </c>
      <c r="I173" s="8">
        <v>2963</v>
      </c>
      <c r="J173">
        <v>0</v>
      </c>
      <c r="L173">
        <v>3034</v>
      </c>
      <c r="M173">
        <v>183</v>
      </c>
    </row>
    <row r="174" spans="1:13">
      <c r="A174">
        <v>3087</v>
      </c>
      <c r="B174">
        <v>1830197</v>
      </c>
      <c r="C174" s="5">
        <v>46054</v>
      </c>
      <c r="D174" t="s">
        <v>458</v>
      </c>
      <c r="E174">
        <v>188</v>
      </c>
      <c r="I174" s="8">
        <v>3034</v>
      </c>
      <c r="J174">
        <v>183</v>
      </c>
      <c r="L174">
        <v>3087</v>
      </c>
      <c r="M174">
        <v>1634</v>
      </c>
    </row>
    <row r="175" spans="1:13">
      <c r="A175">
        <v>3143</v>
      </c>
      <c r="B175">
        <v>1830197</v>
      </c>
      <c r="C175" s="5">
        <v>46054</v>
      </c>
      <c r="D175" t="s">
        <v>458</v>
      </c>
      <c r="E175">
        <v>0</v>
      </c>
      <c r="I175" s="8">
        <v>3087</v>
      </c>
      <c r="J175">
        <v>1634</v>
      </c>
      <c r="L175">
        <v>3143</v>
      </c>
      <c r="M175">
        <v>0</v>
      </c>
    </row>
    <row r="176" spans="1:13">
      <c r="A176">
        <v>3206</v>
      </c>
      <c r="B176">
        <v>1830197</v>
      </c>
      <c r="C176" s="5">
        <v>46054</v>
      </c>
      <c r="D176" t="s">
        <v>458</v>
      </c>
      <c r="E176">
        <v>2</v>
      </c>
      <c r="I176" s="8">
        <v>3143</v>
      </c>
      <c r="J176">
        <v>0</v>
      </c>
      <c r="L176">
        <v>3206</v>
      </c>
      <c r="M176">
        <v>2</v>
      </c>
    </row>
    <row r="177" spans="1:13">
      <c r="A177">
        <v>3236</v>
      </c>
      <c r="B177">
        <v>1830197</v>
      </c>
      <c r="C177" s="5">
        <v>46054</v>
      </c>
      <c r="D177" t="s">
        <v>458</v>
      </c>
      <c r="E177">
        <v>784</v>
      </c>
      <c r="I177" s="8">
        <v>3206</v>
      </c>
      <c r="J177">
        <v>2</v>
      </c>
      <c r="L177">
        <v>3236</v>
      </c>
      <c r="M177">
        <v>3881</v>
      </c>
    </row>
    <row r="178" spans="1:13">
      <c r="A178">
        <v>3278</v>
      </c>
      <c r="B178">
        <v>1830197</v>
      </c>
      <c r="C178" s="5">
        <v>46054</v>
      </c>
      <c r="D178" t="s">
        <v>458</v>
      </c>
      <c r="E178">
        <v>202</v>
      </c>
      <c r="I178" s="8">
        <v>3236</v>
      </c>
      <c r="J178">
        <v>3881</v>
      </c>
      <c r="L178">
        <v>3278</v>
      </c>
      <c r="M178">
        <v>1522</v>
      </c>
    </row>
    <row r="179" spans="1:13">
      <c r="A179">
        <v>3297</v>
      </c>
      <c r="B179">
        <v>1830197</v>
      </c>
      <c r="C179" s="5">
        <v>46054</v>
      </c>
      <c r="D179" t="s">
        <v>458</v>
      </c>
      <c r="E179">
        <v>0</v>
      </c>
      <c r="I179" s="8">
        <v>3278</v>
      </c>
      <c r="J179">
        <v>1522</v>
      </c>
      <c r="L179">
        <v>3297</v>
      </c>
      <c r="M179">
        <v>0</v>
      </c>
    </row>
    <row r="180" spans="1:13">
      <c r="A180">
        <v>3309</v>
      </c>
      <c r="B180">
        <v>1830197</v>
      </c>
      <c r="C180" s="5">
        <v>46054</v>
      </c>
      <c r="D180" t="s">
        <v>458</v>
      </c>
      <c r="E180">
        <v>50</v>
      </c>
      <c r="I180" s="8">
        <v>3297</v>
      </c>
      <c r="J180">
        <v>0</v>
      </c>
      <c r="L180">
        <v>3309</v>
      </c>
      <c r="M180">
        <v>513</v>
      </c>
    </row>
    <row r="181" spans="1:13">
      <c r="A181">
        <v>3423</v>
      </c>
      <c r="B181">
        <v>1830197</v>
      </c>
      <c r="C181" s="5">
        <v>46054</v>
      </c>
      <c r="D181" t="s">
        <v>458</v>
      </c>
      <c r="E181">
        <v>0.01</v>
      </c>
      <c r="I181" s="8">
        <v>3309</v>
      </c>
      <c r="J181">
        <v>513</v>
      </c>
      <c r="L181">
        <v>3423</v>
      </c>
      <c r="M181">
        <v>0.78999999999999992</v>
      </c>
    </row>
    <row r="182" spans="1:13">
      <c r="A182">
        <v>3439</v>
      </c>
      <c r="B182">
        <v>1830197</v>
      </c>
      <c r="C182" s="5">
        <v>46054</v>
      </c>
      <c r="D182" t="s">
        <v>458</v>
      </c>
      <c r="E182">
        <v>0</v>
      </c>
      <c r="I182" s="8">
        <v>3423</v>
      </c>
      <c r="J182">
        <v>0.78999999999999992</v>
      </c>
      <c r="L182">
        <v>3439</v>
      </c>
      <c r="M182">
        <v>0</v>
      </c>
    </row>
    <row r="183" spans="1:13">
      <c r="A183">
        <v>3471</v>
      </c>
      <c r="B183">
        <v>1830197</v>
      </c>
      <c r="C183" s="5">
        <v>46054</v>
      </c>
      <c r="D183" t="s">
        <v>458</v>
      </c>
      <c r="E183">
        <v>0.45</v>
      </c>
      <c r="I183" s="8">
        <v>3439</v>
      </c>
      <c r="J183">
        <v>0</v>
      </c>
      <c r="L183">
        <v>3471</v>
      </c>
      <c r="M183">
        <v>9.99</v>
      </c>
    </row>
    <row r="184" spans="1:13">
      <c r="A184">
        <v>3488</v>
      </c>
      <c r="B184">
        <v>1830197</v>
      </c>
      <c r="C184" s="5">
        <v>46054</v>
      </c>
      <c r="D184" t="s">
        <v>458</v>
      </c>
      <c r="E184">
        <v>0</v>
      </c>
      <c r="I184" s="8">
        <v>3471</v>
      </c>
      <c r="J184">
        <v>9.99</v>
      </c>
      <c r="L184">
        <v>3488</v>
      </c>
      <c r="M184">
        <v>0</v>
      </c>
    </row>
    <row r="185" spans="1:13">
      <c r="A185">
        <v>3496</v>
      </c>
      <c r="B185">
        <v>1830197</v>
      </c>
      <c r="C185" s="5">
        <v>46054</v>
      </c>
      <c r="D185" t="s">
        <v>458</v>
      </c>
      <c r="E185">
        <v>0</v>
      </c>
      <c r="I185" s="8">
        <v>3488</v>
      </c>
      <c r="J185">
        <v>0</v>
      </c>
      <c r="L185">
        <v>3496</v>
      </c>
      <c r="M185">
        <v>0</v>
      </c>
    </row>
    <row r="186" spans="1:13">
      <c r="A186">
        <v>3557</v>
      </c>
      <c r="B186">
        <v>1830197</v>
      </c>
      <c r="C186" s="5">
        <v>46054</v>
      </c>
      <c r="D186" t="s">
        <v>458</v>
      </c>
      <c r="E186">
        <v>0</v>
      </c>
      <c r="I186" s="8">
        <v>3496</v>
      </c>
      <c r="J186">
        <v>0</v>
      </c>
      <c r="L186">
        <v>3557</v>
      </c>
      <c r="M186">
        <v>0</v>
      </c>
    </row>
    <row r="187" spans="1:13">
      <c r="A187">
        <v>3584</v>
      </c>
      <c r="B187">
        <v>1830197</v>
      </c>
      <c r="C187" s="5">
        <v>46054</v>
      </c>
      <c r="D187" t="s">
        <v>458</v>
      </c>
      <c r="E187">
        <v>25</v>
      </c>
      <c r="I187" s="8">
        <v>3557</v>
      </c>
      <c r="J187">
        <v>0</v>
      </c>
      <c r="L187">
        <v>3584</v>
      </c>
      <c r="M187">
        <v>134.68</v>
      </c>
    </row>
    <row r="188" spans="1:13">
      <c r="A188">
        <v>3593</v>
      </c>
      <c r="B188">
        <v>1830197</v>
      </c>
      <c r="C188" s="5">
        <v>46054</v>
      </c>
      <c r="D188" t="s">
        <v>458</v>
      </c>
      <c r="E188">
        <v>66</v>
      </c>
      <c r="I188" s="8">
        <v>3584</v>
      </c>
      <c r="J188">
        <v>134.68</v>
      </c>
      <c r="L188">
        <v>3593</v>
      </c>
      <c r="M188">
        <v>536</v>
      </c>
    </row>
    <row r="189" spans="1:13">
      <c r="A189">
        <v>3594</v>
      </c>
      <c r="B189">
        <v>1830197</v>
      </c>
      <c r="C189" s="5">
        <v>46054</v>
      </c>
      <c r="D189" t="s">
        <v>458</v>
      </c>
      <c r="E189">
        <v>169</v>
      </c>
      <c r="I189" s="8">
        <v>3593</v>
      </c>
      <c r="J189">
        <v>536</v>
      </c>
      <c r="L189">
        <v>3594</v>
      </c>
      <c r="M189">
        <v>1322</v>
      </c>
    </row>
    <row r="190" spans="1:13">
      <c r="A190">
        <v>3595</v>
      </c>
      <c r="B190">
        <v>1830197</v>
      </c>
      <c r="C190" s="5">
        <v>46054</v>
      </c>
      <c r="D190" t="s">
        <v>458</v>
      </c>
      <c r="E190">
        <v>0</v>
      </c>
      <c r="I190" s="8">
        <v>3594</v>
      </c>
      <c r="J190">
        <v>1322</v>
      </c>
      <c r="L190">
        <v>3595</v>
      </c>
      <c r="M190">
        <v>0</v>
      </c>
    </row>
    <row r="191" spans="1:13">
      <c r="A191">
        <v>3596</v>
      </c>
      <c r="B191">
        <v>1830197</v>
      </c>
      <c r="C191" s="5">
        <v>46054</v>
      </c>
      <c r="D191" t="s">
        <v>458</v>
      </c>
      <c r="E191">
        <v>0</v>
      </c>
      <c r="I191" s="8">
        <v>3595</v>
      </c>
      <c r="J191">
        <v>0</v>
      </c>
      <c r="L191">
        <v>3596</v>
      </c>
      <c r="M191">
        <v>0</v>
      </c>
    </row>
    <row r="192" spans="1:13">
      <c r="A192">
        <v>3597</v>
      </c>
      <c r="B192">
        <v>1830197</v>
      </c>
      <c r="C192" s="5">
        <v>46054</v>
      </c>
      <c r="D192" t="s">
        <v>458</v>
      </c>
      <c r="E192">
        <v>17</v>
      </c>
      <c r="I192" s="8">
        <v>3596</v>
      </c>
      <c r="J192">
        <v>0</v>
      </c>
      <c r="L192">
        <v>3597</v>
      </c>
      <c r="M192">
        <v>152</v>
      </c>
    </row>
    <row r="193" spans="1:13">
      <c r="A193">
        <v>3617</v>
      </c>
      <c r="B193">
        <v>1830197</v>
      </c>
      <c r="C193" s="5">
        <v>46054</v>
      </c>
      <c r="D193" t="s">
        <v>458</v>
      </c>
      <c r="E193">
        <v>1.08</v>
      </c>
      <c r="I193" s="8">
        <v>3597</v>
      </c>
      <c r="J193">
        <v>152</v>
      </c>
      <c r="L193">
        <v>3617</v>
      </c>
      <c r="M193">
        <v>14.27</v>
      </c>
    </row>
    <row r="194" spans="1:13">
      <c r="A194">
        <v>3636</v>
      </c>
      <c r="B194">
        <v>1830197</v>
      </c>
      <c r="C194" s="5">
        <v>46054</v>
      </c>
      <c r="D194" t="s">
        <v>458</v>
      </c>
      <c r="E194">
        <v>0</v>
      </c>
      <c r="I194" s="8">
        <v>3617</v>
      </c>
      <c r="J194">
        <v>14.27</v>
      </c>
      <c r="L194">
        <v>3636</v>
      </c>
      <c r="M194">
        <v>0</v>
      </c>
    </row>
    <row r="195" spans="1:13">
      <c r="A195">
        <v>3646</v>
      </c>
      <c r="B195">
        <v>1830197</v>
      </c>
      <c r="C195" s="5">
        <v>46054</v>
      </c>
      <c r="D195" t="s">
        <v>458</v>
      </c>
      <c r="E195">
        <v>0</v>
      </c>
      <c r="I195" s="8">
        <v>3636</v>
      </c>
      <c r="J195">
        <v>0</v>
      </c>
      <c r="L195">
        <v>3646</v>
      </c>
      <c r="M195">
        <v>0</v>
      </c>
    </row>
    <row r="196" spans="1:13">
      <c r="A196">
        <v>3647</v>
      </c>
      <c r="B196">
        <v>1830197</v>
      </c>
      <c r="C196" s="5">
        <v>46054</v>
      </c>
      <c r="D196" t="s">
        <v>458</v>
      </c>
      <c r="E196">
        <v>0</v>
      </c>
      <c r="I196" s="8">
        <v>3646</v>
      </c>
      <c r="J196">
        <v>0</v>
      </c>
      <c r="L196">
        <v>3647</v>
      </c>
      <c r="M196">
        <v>0</v>
      </c>
    </row>
    <row r="197" spans="1:13">
      <c r="A197">
        <v>3648</v>
      </c>
      <c r="B197">
        <v>1830197</v>
      </c>
      <c r="C197" s="5">
        <v>46054</v>
      </c>
      <c r="D197" t="s">
        <v>458</v>
      </c>
      <c r="E197">
        <v>0</v>
      </c>
      <c r="I197" s="8">
        <v>3647</v>
      </c>
      <c r="J197">
        <v>0</v>
      </c>
      <c r="L197">
        <v>3648</v>
      </c>
      <c r="M197">
        <v>0</v>
      </c>
    </row>
    <row r="198" spans="1:13">
      <c r="A198">
        <v>3735</v>
      </c>
      <c r="B198">
        <v>1830197</v>
      </c>
      <c r="C198" s="5">
        <v>46054</v>
      </c>
      <c r="D198" t="s">
        <v>458</v>
      </c>
      <c r="E198">
        <v>0</v>
      </c>
      <c r="I198" s="8">
        <v>3648</v>
      </c>
      <c r="J198">
        <v>0</v>
      </c>
      <c r="L198">
        <v>3735</v>
      </c>
      <c r="M198">
        <v>0</v>
      </c>
    </row>
    <row r="199" spans="1:13">
      <c r="A199">
        <v>3761</v>
      </c>
      <c r="B199">
        <v>1830197</v>
      </c>
      <c r="C199" s="5">
        <v>46054</v>
      </c>
      <c r="D199" t="s">
        <v>458</v>
      </c>
      <c r="E199">
        <v>243</v>
      </c>
      <c r="I199" s="8">
        <v>3735</v>
      </c>
      <c r="J199">
        <v>0</v>
      </c>
      <c r="L199">
        <v>3761</v>
      </c>
      <c r="M199">
        <v>1800</v>
      </c>
    </row>
    <row r="200" spans="1:13">
      <c r="A200">
        <v>3815</v>
      </c>
      <c r="B200">
        <v>1830197</v>
      </c>
      <c r="C200" s="5">
        <v>46054</v>
      </c>
      <c r="D200" t="s">
        <v>458</v>
      </c>
      <c r="E200">
        <v>0</v>
      </c>
      <c r="I200" s="8">
        <v>3761</v>
      </c>
      <c r="J200">
        <v>1800</v>
      </c>
      <c r="L200">
        <v>3815</v>
      </c>
      <c r="M200">
        <v>0</v>
      </c>
    </row>
    <row r="201" spans="1:13">
      <c r="A201">
        <v>3866</v>
      </c>
      <c r="B201">
        <v>1830197</v>
      </c>
      <c r="C201" s="5">
        <v>46054</v>
      </c>
      <c r="D201" t="s">
        <v>458</v>
      </c>
      <c r="E201">
        <v>0</v>
      </c>
      <c r="I201" s="8">
        <v>3815</v>
      </c>
      <c r="J201">
        <v>0</v>
      </c>
      <c r="L201">
        <v>3866</v>
      </c>
      <c r="M201">
        <v>0</v>
      </c>
    </row>
    <row r="202" spans="1:13">
      <c r="A202">
        <v>3867</v>
      </c>
      <c r="B202">
        <v>1830197</v>
      </c>
      <c r="C202" s="5">
        <v>46054</v>
      </c>
      <c r="D202" t="s">
        <v>458</v>
      </c>
      <c r="E202">
        <v>0</v>
      </c>
      <c r="I202" s="8">
        <v>3866</v>
      </c>
      <c r="J202">
        <v>0</v>
      </c>
      <c r="L202">
        <v>3867</v>
      </c>
      <c r="M202">
        <v>0</v>
      </c>
    </row>
    <row r="203" spans="1:13">
      <c r="A203">
        <v>3868</v>
      </c>
      <c r="B203">
        <v>1830197</v>
      </c>
      <c r="C203" s="5">
        <v>46054</v>
      </c>
      <c r="D203" t="s">
        <v>458</v>
      </c>
      <c r="E203">
        <v>0</v>
      </c>
      <c r="I203" s="8">
        <v>3867</v>
      </c>
      <c r="J203">
        <v>0</v>
      </c>
      <c r="L203">
        <v>3868</v>
      </c>
      <c r="M203">
        <v>0</v>
      </c>
    </row>
    <row r="204" spans="1:13">
      <c r="A204">
        <v>4027</v>
      </c>
      <c r="B204">
        <v>1830197</v>
      </c>
      <c r="C204" s="5">
        <v>46054</v>
      </c>
      <c r="D204" t="s">
        <v>458</v>
      </c>
      <c r="E204">
        <v>0</v>
      </c>
      <c r="I204" s="8">
        <v>3868</v>
      </c>
      <c r="J204">
        <v>0</v>
      </c>
      <c r="L204">
        <v>4027</v>
      </c>
      <c r="M204">
        <v>0</v>
      </c>
    </row>
    <row r="205" spans="1:13">
      <c r="A205">
        <v>4111</v>
      </c>
      <c r="B205">
        <v>1830197</v>
      </c>
      <c r="C205" s="5">
        <v>46054</v>
      </c>
      <c r="D205" t="s">
        <v>458</v>
      </c>
      <c r="E205">
        <v>2</v>
      </c>
      <c r="I205" s="8">
        <v>4027</v>
      </c>
      <c r="J205">
        <v>0</v>
      </c>
      <c r="L205">
        <v>4111</v>
      </c>
      <c r="M205">
        <v>37</v>
      </c>
    </row>
    <row r="206" spans="1:13">
      <c r="A206">
        <v>4209</v>
      </c>
      <c r="B206">
        <v>1830197</v>
      </c>
      <c r="C206" s="5">
        <v>46054</v>
      </c>
      <c r="D206" t="s">
        <v>458</v>
      </c>
      <c r="E206">
        <v>1.05</v>
      </c>
      <c r="I206" s="8">
        <v>4111</v>
      </c>
      <c r="J206">
        <v>37</v>
      </c>
      <c r="L206">
        <v>4209</v>
      </c>
      <c r="M206">
        <v>4.05</v>
      </c>
    </row>
    <row r="207" spans="1:13">
      <c r="A207">
        <v>4334</v>
      </c>
      <c r="B207">
        <v>1830197</v>
      </c>
      <c r="C207" s="5">
        <v>46054</v>
      </c>
      <c r="D207" t="s">
        <v>458</v>
      </c>
      <c r="E207">
        <v>0</v>
      </c>
      <c r="I207" s="8">
        <v>4209</v>
      </c>
      <c r="J207">
        <v>4.05</v>
      </c>
      <c r="L207">
        <v>4334</v>
      </c>
      <c r="M207">
        <v>0</v>
      </c>
    </row>
    <row r="208" spans="1:13">
      <c r="A208">
        <v>4422</v>
      </c>
      <c r="B208">
        <v>1830197</v>
      </c>
      <c r="C208" s="5">
        <v>46054</v>
      </c>
      <c r="D208" t="s">
        <v>458</v>
      </c>
      <c r="E208">
        <v>0</v>
      </c>
      <c r="I208" s="8">
        <v>4334</v>
      </c>
      <c r="J208">
        <v>0</v>
      </c>
      <c r="L208">
        <v>4422</v>
      </c>
      <c r="M208">
        <v>0</v>
      </c>
    </row>
    <row r="209" spans="1:13">
      <c r="A209">
        <v>4551</v>
      </c>
      <c r="B209">
        <v>1830197</v>
      </c>
      <c r="C209" s="5">
        <v>46054</v>
      </c>
      <c r="D209" t="s">
        <v>458</v>
      </c>
      <c r="E209">
        <v>57</v>
      </c>
      <c r="I209" s="8">
        <v>4422</v>
      </c>
      <c r="J209">
        <v>0</v>
      </c>
      <c r="L209">
        <v>4551</v>
      </c>
      <c r="M209">
        <v>412</v>
      </c>
    </row>
    <row r="210" spans="1:13">
      <c r="A210">
        <v>4596</v>
      </c>
      <c r="B210">
        <v>1830197</v>
      </c>
      <c r="C210" s="5">
        <v>46054</v>
      </c>
      <c r="D210" t="s">
        <v>458</v>
      </c>
      <c r="E210">
        <v>0</v>
      </c>
      <c r="I210" s="8">
        <v>4551</v>
      </c>
      <c r="J210">
        <v>412</v>
      </c>
      <c r="L210">
        <v>4596</v>
      </c>
      <c r="M210">
        <v>0</v>
      </c>
    </row>
    <row r="211" spans="1:13">
      <c r="A211">
        <v>4607</v>
      </c>
      <c r="B211">
        <v>1830197</v>
      </c>
      <c r="C211" s="5">
        <v>46054</v>
      </c>
      <c r="D211" t="s">
        <v>458</v>
      </c>
      <c r="E211">
        <v>26</v>
      </c>
      <c r="I211" s="8">
        <v>4596</v>
      </c>
      <c r="J211">
        <v>0</v>
      </c>
      <c r="L211">
        <v>4607</v>
      </c>
      <c r="M211">
        <v>176</v>
      </c>
    </row>
    <row r="212" spans="1:13">
      <c r="A212">
        <v>4703</v>
      </c>
      <c r="B212">
        <v>1830197</v>
      </c>
      <c r="C212" s="5">
        <v>46054</v>
      </c>
      <c r="D212" t="s">
        <v>458</v>
      </c>
      <c r="E212">
        <v>0</v>
      </c>
      <c r="I212" s="8">
        <v>4607</v>
      </c>
      <c r="J212">
        <v>176</v>
      </c>
      <c r="L212">
        <v>4703</v>
      </c>
      <c r="M212">
        <v>0</v>
      </c>
    </row>
    <row r="213" spans="1:13">
      <c r="A213">
        <v>4704</v>
      </c>
      <c r="B213">
        <v>1830197</v>
      </c>
      <c r="C213" s="5">
        <v>46054</v>
      </c>
      <c r="D213" t="s">
        <v>458</v>
      </c>
      <c r="E213">
        <v>0</v>
      </c>
      <c r="I213" s="8">
        <v>4703</v>
      </c>
      <c r="J213">
        <v>0</v>
      </c>
      <c r="L213">
        <v>4704</v>
      </c>
      <c r="M213">
        <v>0</v>
      </c>
    </row>
    <row r="214" spans="1:13">
      <c r="A214">
        <v>4853</v>
      </c>
      <c r="B214">
        <v>1830197</v>
      </c>
      <c r="C214" s="5">
        <v>46054</v>
      </c>
      <c r="D214" t="s">
        <v>458</v>
      </c>
      <c r="E214">
        <v>114</v>
      </c>
      <c r="I214" s="8">
        <v>4704</v>
      </c>
      <c r="J214">
        <v>0</v>
      </c>
      <c r="L214">
        <v>4853</v>
      </c>
      <c r="M214">
        <v>822</v>
      </c>
    </row>
    <row r="215" spans="1:13">
      <c r="A215">
        <v>4887</v>
      </c>
      <c r="B215">
        <v>1830197</v>
      </c>
      <c r="C215" s="5">
        <v>46054</v>
      </c>
      <c r="D215" t="s">
        <v>458</v>
      </c>
      <c r="E215">
        <v>0</v>
      </c>
      <c r="I215" s="8">
        <v>4853</v>
      </c>
      <c r="J215">
        <v>822</v>
      </c>
      <c r="L215">
        <v>4887</v>
      </c>
      <c r="M215">
        <v>0</v>
      </c>
    </row>
    <row r="216" spans="1:13">
      <c r="A216">
        <v>4926</v>
      </c>
      <c r="B216">
        <v>1830197</v>
      </c>
      <c r="C216" s="5">
        <v>46054</v>
      </c>
      <c r="D216" t="s">
        <v>458</v>
      </c>
      <c r="E216">
        <v>0</v>
      </c>
      <c r="I216" s="8">
        <v>4887</v>
      </c>
      <c r="J216">
        <v>0</v>
      </c>
      <c r="L216">
        <v>4926</v>
      </c>
      <c r="M216">
        <v>0</v>
      </c>
    </row>
    <row r="217" spans="1:13">
      <c r="A217">
        <v>4954</v>
      </c>
      <c r="B217">
        <v>1830197</v>
      </c>
      <c r="C217" s="5">
        <v>46054</v>
      </c>
      <c r="D217" t="s">
        <v>458</v>
      </c>
      <c r="E217">
        <v>0</v>
      </c>
      <c r="I217" s="8">
        <v>4926</v>
      </c>
      <c r="J217">
        <v>0</v>
      </c>
      <c r="L217">
        <v>4954</v>
      </c>
      <c r="M217">
        <v>0</v>
      </c>
    </row>
    <row r="218" spans="1:13">
      <c r="A218">
        <v>4970</v>
      </c>
      <c r="B218">
        <v>1830197</v>
      </c>
      <c r="C218" s="5">
        <v>46054</v>
      </c>
      <c r="D218" t="s">
        <v>458</v>
      </c>
      <c r="E218">
        <v>0</v>
      </c>
      <c r="I218" s="8">
        <v>4954</v>
      </c>
      <c r="J218">
        <v>0</v>
      </c>
      <c r="L218">
        <v>4970</v>
      </c>
      <c r="M218">
        <v>0</v>
      </c>
    </row>
    <row r="219" spans="1:13">
      <c r="A219">
        <v>4980</v>
      </c>
      <c r="B219">
        <v>1830197</v>
      </c>
      <c r="C219" s="5">
        <v>46054</v>
      </c>
      <c r="D219" t="s">
        <v>458</v>
      </c>
      <c r="E219">
        <v>0</v>
      </c>
      <c r="I219" s="8">
        <v>4970</v>
      </c>
      <c r="J219">
        <v>0</v>
      </c>
      <c r="L219">
        <v>4980</v>
      </c>
      <c r="M219">
        <v>0</v>
      </c>
    </row>
    <row r="220" spans="1:13">
      <c r="A220">
        <v>4995</v>
      </c>
      <c r="B220">
        <v>1830197</v>
      </c>
      <c r="C220" s="5">
        <v>46054</v>
      </c>
      <c r="D220" t="s">
        <v>458</v>
      </c>
      <c r="E220">
        <v>0</v>
      </c>
      <c r="I220" s="8">
        <v>4980</v>
      </c>
      <c r="J220">
        <v>0</v>
      </c>
      <c r="L220">
        <v>4995</v>
      </c>
      <c r="M220">
        <v>0</v>
      </c>
    </row>
    <row r="221" spans="1:13">
      <c r="A221">
        <v>4996</v>
      </c>
      <c r="B221">
        <v>1830197</v>
      </c>
      <c r="C221" s="5">
        <v>46054</v>
      </c>
      <c r="D221" t="s">
        <v>458</v>
      </c>
      <c r="E221">
        <v>0</v>
      </c>
      <c r="I221" s="8">
        <v>4995</v>
      </c>
      <c r="J221">
        <v>0</v>
      </c>
      <c r="L221">
        <v>4996</v>
      </c>
      <c r="M221">
        <v>0</v>
      </c>
    </row>
    <row r="222" spans="1:13">
      <c r="A222">
        <v>4997</v>
      </c>
      <c r="B222">
        <v>1830197</v>
      </c>
      <c r="C222" s="5">
        <v>46054</v>
      </c>
      <c r="D222" t="s">
        <v>458</v>
      </c>
      <c r="E222">
        <v>8</v>
      </c>
      <c r="I222" s="8">
        <v>4996</v>
      </c>
      <c r="J222">
        <v>0</v>
      </c>
      <c r="L222">
        <v>4997</v>
      </c>
      <c r="M222">
        <v>86</v>
      </c>
    </row>
    <row r="223" spans="1:13">
      <c r="A223">
        <v>4998</v>
      </c>
      <c r="B223">
        <v>1830197</v>
      </c>
      <c r="C223" s="5">
        <v>46054</v>
      </c>
      <c r="D223" t="s">
        <v>458</v>
      </c>
      <c r="E223">
        <v>26</v>
      </c>
      <c r="I223" s="8">
        <v>4997</v>
      </c>
      <c r="J223">
        <v>86</v>
      </c>
      <c r="L223">
        <v>4998</v>
      </c>
      <c r="M223">
        <v>144</v>
      </c>
    </row>
    <row r="224" spans="1:13">
      <c r="A224">
        <v>4999</v>
      </c>
      <c r="B224">
        <v>1830197</v>
      </c>
      <c r="C224" s="5">
        <v>46054</v>
      </c>
      <c r="D224" t="s">
        <v>458</v>
      </c>
      <c r="E224">
        <v>359</v>
      </c>
      <c r="I224" s="8">
        <v>4998</v>
      </c>
      <c r="J224">
        <v>144</v>
      </c>
      <c r="L224">
        <v>4999</v>
      </c>
      <c r="M224">
        <v>2737</v>
      </c>
    </row>
    <row r="225" spans="1:13">
      <c r="A225">
        <v>5012</v>
      </c>
      <c r="B225">
        <v>1830197</v>
      </c>
      <c r="C225" s="5">
        <v>46054</v>
      </c>
      <c r="D225" t="s">
        <v>458</v>
      </c>
      <c r="E225">
        <v>3.6</v>
      </c>
      <c r="I225" s="8">
        <v>4999</v>
      </c>
      <c r="J225">
        <v>2737</v>
      </c>
      <c r="L225">
        <v>5012</v>
      </c>
      <c r="M225">
        <v>21.62</v>
      </c>
    </row>
    <row r="226" spans="1:13">
      <c r="A226">
        <v>5054</v>
      </c>
      <c r="B226">
        <v>1830197</v>
      </c>
      <c r="C226" s="5">
        <v>46054</v>
      </c>
      <c r="D226" t="s">
        <v>458</v>
      </c>
      <c r="E226">
        <v>11.27</v>
      </c>
      <c r="I226" s="8">
        <v>5012</v>
      </c>
      <c r="J226">
        <v>21.62</v>
      </c>
      <c r="L226">
        <v>5054</v>
      </c>
      <c r="M226">
        <v>93.28</v>
      </c>
    </row>
    <row r="227" spans="1:13">
      <c r="A227">
        <v>5163</v>
      </c>
      <c r="B227">
        <v>1830197</v>
      </c>
      <c r="C227" s="5">
        <v>46054</v>
      </c>
      <c r="D227" t="s">
        <v>458</v>
      </c>
      <c r="E227">
        <v>0</v>
      </c>
      <c r="I227" s="8">
        <v>5054</v>
      </c>
      <c r="J227">
        <v>93.28</v>
      </c>
      <c r="L227">
        <v>5163</v>
      </c>
      <c r="M227">
        <v>0</v>
      </c>
    </row>
    <row r="228" spans="1:13">
      <c r="A228">
        <v>5209</v>
      </c>
      <c r="B228">
        <v>1830197</v>
      </c>
      <c r="C228" s="5">
        <v>46054</v>
      </c>
      <c r="D228" t="s">
        <v>458</v>
      </c>
      <c r="E228">
        <v>1.06</v>
      </c>
      <c r="I228" s="8">
        <v>5163</v>
      </c>
      <c r="J228">
        <v>0</v>
      </c>
      <c r="L228">
        <v>5209</v>
      </c>
      <c r="M228">
        <v>11.5</v>
      </c>
    </row>
    <row r="229" spans="1:13">
      <c r="A229">
        <v>5349</v>
      </c>
      <c r="B229">
        <v>1830197</v>
      </c>
      <c r="C229" s="5">
        <v>46054</v>
      </c>
      <c r="D229" t="s">
        <v>458</v>
      </c>
      <c r="E229">
        <v>0</v>
      </c>
      <c r="I229" s="8">
        <v>5209</v>
      </c>
      <c r="J229">
        <v>11.5</v>
      </c>
      <c r="L229">
        <v>5349</v>
      </c>
      <c r="M229">
        <v>0</v>
      </c>
    </row>
    <row r="230" spans="1:13">
      <c r="A230">
        <v>5351</v>
      </c>
      <c r="B230">
        <v>1830197</v>
      </c>
      <c r="C230" s="5">
        <v>46054</v>
      </c>
      <c r="D230" t="s">
        <v>458</v>
      </c>
      <c r="E230">
        <v>0</v>
      </c>
      <c r="I230" s="8">
        <v>5349</v>
      </c>
      <c r="J230">
        <v>0</v>
      </c>
      <c r="L230">
        <v>5351</v>
      </c>
      <c r="M230">
        <v>0</v>
      </c>
    </row>
    <row r="231" spans="1:13">
      <c r="A231">
        <v>5358</v>
      </c>
      <c r="B231">
        <v>1830197</v>
      </c>
      <c r="C231" s="5">
        <v>46054</v>
      </c>
      <c r="D231" t="s">
        <v>458</v>
      </c>
      <c r="E231">
        <v>0</v>
      </c>
      <c r="I231" s="8">
        <v>5351</v>
      </c>
      <c r="J231">
        <v>0</v>
      </c>
      <c r="L231">
        <v>5358</v>
      </c>
      <c r="M231">
        <v>0</v>
      </c>
    </row>
    <row r="232" spans="1:13">
      <c r="A232">
        <v>5378</v>
      </c>
      <c r="B232">
        <v>1830197</v>
      </c>
      <c r="C232" s="5">
        <v>46054</v>
      </c>
      <c r="D232" t="s">
        <v>458</v>
      </c>
      <c r="E232">
        <v>0</v>
      </c>
      <c r="I232" s="8">
        <v>5358</v>
      </c>
      <c r="J232">
        <v>0</v>
      </c>
      <c r="L232">
        <v>5378</v>
      </c>
      <c r="M232">
        <v>0</v>
      </c>
    </row>
    <row r="233" spans="1:13">
      <c r="A233">
        <v>5391</v>
      </c>
      <c r="B233">
        <v>1830197</v>
      </c>
      <c r="C233" s="5">
        <v>46054</v>
      </c>
      <c r="D233" t="s">
        <v>458</v>
      </c>
      <c r="E233">
        <v>0</v>
      </c>
      <c r="I233" s="8">
        <v>5378</v>
      </c>
      <c r="J233">
        <v>0</v>
      </c>
      <c r="L233">
        <v>5391</v>
      </c>
      <c r="M233">
        <v>0</v>
      </c>
    </row>
    <row r="234" spans="1:13">
      <c r="A234">
        <v>5429</v>
      </c>
      <c r="B234">
        <v>1830197</v>
      </c>
      <c r="C234" s="5">
        <v>46054</v>
      </c>
      <c r="D234" t="s">
        <v>458</v>
      </c>
      <c r="E234">
        <v>4</v>
      </c>
      <c r="I234" s="8">
        <v>5391</v>
      </c>
      <c r="J234">
        <v>0</v>
      </c>
      <c r="L234">
        <v>5429</v>
      </c>
      <c r="M234">
        <v>52</v>
      </c>
    </row>
    <row r="235" spans="1:13">
      <c r="A235">
        <v>5430</v>
      </c>
      <c r="B235">
        <v>1830197</v>
      </c>
      <c r="C235" s="5">
        <v>46054</v>
      </c>
      <c r="D235" t="s">
        <v>458</v>
      </c>
      <c r="E235">
        <v>0</v>
      </c>
      <c r="I235" s="8">
        <v>5429</v>
      </c>
      <c r="J235">
        <v>52</v>
      </c>
      <c r="L235">
        <v>5430</v>
      </c>
      <c r="M235">
        <v>0</v>
      </c>
    </row>
    <row r="236" spans="1:13">
      <c r="A236">
        <v>5431</v>
      </c>
      <c r="B236">
        <v>1830197</v>
      </c>
      <c r="C236" s="5">
        <v>46054</v>
      </c>
      <c r="D236" t="s">
        <v>458</v>
      </c>
      <c r="E236">
        <v>0</v>
      </c>
      <c r="I236" s="8">
        <v>5430</v>
      </c>
      <c r="J236">
        <v>0</v>
      </c>
      <c r="L236">
        <v>5431</v>
      </c>
      <c r="M236">
        <v>0</v>
      </c>
    </row>
    <row r="237" spans="1:13">
      <c r="A237">
        <v>5432</v>
      </c>
      <c r="B237">
        <v>1830197</v>
      </c>
      <c r="C237" s="5">
        <v>46054</v>
      </c>
      <c r="D237" t="s">
        <v>458</v>
      </c>
      <c r="E237">
        <v>0</v>
      </c>
      <c r="I237" s="8">
        <v>5431</v>
      </c>
      <c r="J237">
        <v>0</v>
      </c>
      <c r="L237">
        <v>5432</v>
      </c>
      <c r="M237">
        <v>0</v>
      </c>
    </row>
    <row r="238" spans="1:13">
      <c r="A238">
        <v>5444</v>
      </c>
      <c r="B238">
        <v>1830197</v>
      </c>
      <c r="C238" s="5">
        <v>46054</v>
      </c>
      <c r="D238" t="s">
        <v>458</v>
      </c>
      <c r="E238">
        <v>0</v>
      </c>
      <c r="I238" s="8">
        <v>5432</v>
      </c>
      <c r="J238">
        <v>0</v>
      </c>
      <c r="L238">
        <v>5444</v>
      </c>
      <c r="M238">
        <v>0</v>
      </c>
    </row>
    <row r="239" spans="1:13">
      <c r="A239">
        <v>5478</v>
      </c>
      <c r="B239">
        <v>1830197</v>
      </c>
      <c r="C239" s="5">
        <v>46054</v>
      </c>
      <c r="D239" t="s">
        <v>458</v>
      </c>
      <c r="E239">
        <v>0</v>
      </c>
      <c r="I239" s="8">
        <v>5444</v>
      </c>
      <c r="J239">
        <v>0</v>
      </c>
      <c r="L239">
        <v>5478</v>
      </c>
      <c r="M239">
        <v>0</v>
      </c>
    </row>
    <row r="240" spans="1:13">
      <c r="A240">
        <v>5481</v>
      </c>
      <c r="B240">
        <v>1830197</v>
      </c>
      <c r="C240" s="5">
        <v>46054</v>
      </c>
      <c r="D240" t="s">
        <v>458</v>
      </c>
      <c r="E240">
        <v>0</v>
      </c>
      <c r="I240" s="8">
        <v>5478</v>
      </c>
      <c r="J240">
        <v>0</v>
      </c>
      <c r="L240">
        <v>5481</v>
      </c>
      <c r="M240">
        <v>0</v>
      </c>
    </row>
    <row r="241" spans="1:13">
      <c r="A241">
        <v>5551</v>
      </c>
      <c r="B241">
        <v>1830197</v>
      </c>
      <c r="C241" s="5">
        <v>46054</v>
      </c>
      <c r="D241" t="s">
        <v>458</v>
      </c>
      <c r="E241">
        <v>0</v>
      </c>
      <c r="I241" s="8">
        <v>5481</v>
      </c>
      <c r="J241">
        <v>0</v>
      </c>
      <c r="L241">
        <v>5551</v>
      </c>
      <c r="M241">
        <v>0</v>
      </c>
    </row>
    <row r="242" spans="1:13">
      <c r="A242">
        <v>5552</v>
      </c>
      <c r="B242">
        <v>1830197</v>
      </c>
      <c r="C242" s="5">
        <v>46054</v>
      </c>
      <c r="D242" t="s">
        <v>458</v>
      </c>
      <c r="E242">
        <v>27</v>
      </c>
      <c r="I242" s="8">
        <v>5551</v>
      </c>
      <c r="J242">
        <v>0</v>
      </c>
      <c r="L242">
        <v>5552</v>
      </c>
      <c r="M242">
        <v>186</v>
      </c>
    </row>
    <row r="243" spans="1:13">
      <c r="A243">
        <v>5565</v>
      </c>
      <c r="B243">
        <v>1830197</v>
      </c>
      <c r="C243" s="5">
        <v>46054</v>
      </c>
      <c r="D243" t="s">
        <v>458</v>
      </c>
      <c r="E243">
        <v>0</v>
      </c>
      <c r="I243" s="8">
        <v>5552</v>
      </c>
      <c r="J243">
        <v>186</v>
      </c>
      <c r="L243">
        <v>5565</v>
      </c>
      <c r="M243">
        <v>0</v>
      </c>
    </row>
    <row r="244" spans="1:13">
      <c r="A244">
        <v>5664</v>
      </c>
      <c r="B244">
        <v>1830197</v>
      </c>
      <c r="C244" s="5">
        <v>46054</v>
      </c>
      <c r="D244" t="s">
        <v>458</v>
      </c>
      <c r="E244">
        <v>1</v>
      </c>
      <c r="I244" s="8">
        <v>5565</v>
      </c>
      <c r="J244">
        <v>0</v>
      </c>
      <c r="L244">
        <v>5664</v>
      </c>
      <c r="M244">
        <v>14</v>
      </c>
    </row>
    <row r="245" spans="1:13">
      <c r="A245">
        <v>5876</v>
      </c>
      <c r="B245">
        <v>1830197</v>
      </c>
      <c r="C245" s="5">
        <v>46054</v>
      </c>
      <c r="D245" t="s">
        <v>458</v>
      </c>
      <c r="E245">
        <v>0</v>
      </c>
      <c r="I245" s="8">
        <v>5664</v>
      </c>
      <c r="J245">
        <v>14</v>
      </c>
      <c r="L245">
        <v>5876</v>
      </c>
      <c r="M245">
        <v>0</v>
      </c>
    </row>
    <row r="246" spans="1:13">
      <c r="A246">
        <v>5935</v>
      </c>
      <c r="B246">
        <v>1830197</v>
      </c>
      <c r="C246" s="5">
        <v>46054</v>
      </c>
      <c r="D246" t="s">
        <v>458</v>
      </c>
      <c r="E246">
        <v>0</v>
      </c>
      <c r="I246" s="8">
        <v>5876</v>
      </c>
      <c r="J246">
        <v>0</v>
      </c>
      <c r="L246">
        <v>5935</v>
      </c>
      <c r="M246">
        <v>0</v>
      </c>
    </row>
    <row r="247" spans="1:13">
      <c r="A247">
        <v>5939</v>
      </c>
      <c r="B247">
        <v>1830197</v>
      </c>
      <c r="C247" s="5">
        <v>46054</v>
      </c>
      <c r="D247" t="s">
        <v>458</v>
      </c>
      <c r="E247">
        <v>0</v>
      </c>
      <c r="I247" s="8">
        <v>5935</v>
      </c>
      <c r="J247">
        <v>0</v>
      </c>
      <c r="L247">
        <v>5939</v>
      </c>
      <c r="M247">
        <v>0</v>
      </c>
    </row>
    <row r="248" spans="1:13">
      <c r="A248">
        <v>5983</v>
      </c>
      <c r="B248">
        <v>1830197</v>
      </c>
      <c r="C248" s="5">
        <v>46054</v>
      </c>
      <c r="D248" t="s">
        <v>458</v>
      </c>
      <c r="E248">
        <v>8.92</v>
      </c>
      <c r="I248" s="8">
        <v>5939</v>
      </c>
      <c r="J248">
        <v>0</v>
      </c>
      <c r="L248">
        <v>5983</v>
      </c>
      <c r="M248">
        <v>38.71</v>
      </c>
    </row>
    <row r="249" spans="1:13">
      <c r="A249">
        <v>6053</v>
      </c>
      <c r="B249">
        <v>1830197</v>
      </c>
      <c r="C249" s="5">
        <v>46054</v>
      </c>
      <c r="D249" t="s">
        <v>458</v>
      </c>
      <c r="E249">
        <v>0</v>
      </c>
      <c r="I249" s="8">
        <v>5983</v>
      </c>
      <c r="J249">
        <v>38.71</v>
      </c>
      <c r="L249">
        <v>6053</v>
      </c>
      <c r="M249">
        <v>0</v>
      </c>
    </row>
    <row r="250" spans="1:13">
      <c r="A250">
        <v>6094</v>
      </c>
      <c r="B250">
        <v>1830197</v>
      </c>
      <c r="C250" s="5">
        <v>46054</v>
      </c>
      <c r="D250" t="s">
        <v>458</v>
      </c>
      <c r="E250">
        <v>11</v>
      </c>
      <c r="I250" s="8">
        <v>6053</v>
      </c>
      <c r="J250">
        <v>0</v>
      </c>
      <c r="L250">
        <v>6094</v>
      </c>
      <c r="M250">
        <v>93</v>
      </c>
    </row>
    <row r="251" spans="1:13">
      <c r="A251">
        <v>6373</v>
      </c>
      <c r="B251">
        <v>1830197</v>
      </c>
      <c r="C251" s="5">
        <v>46054</v>
      </c>
      <c r="D251" t="s">
        <v>458</v>
      </c>
      <c r="E251">
        <v>0</v>
      </c>
      <c r="I251" s="8">
        <v>6094</v>
      </c>
      <c r="J251">
        <v>93</v>
      </c>
      <c r="L251">
        <v>6373</v>
      </c>
      <c r="M251">
        <v>0</v>
      </c>
    </row>
    <row r="252" spans="1:13">
      <c r="A252">
        <v>6374</v>
      </c>
      <c r="B252">
        <v>1830197</v>
      </c>
      <c r="C252" s="5">
        <v>46054</v>
      </c>
      <c r="D252" t="s">
        <v>458</v>
      </c>
      <c r="E252">
        <v>0</v>
      </c>
      <c r="I252" s="8">
        <v>6373</v>
      </c>
      <c r="J252">
        <v>0</v>
      </c>
      <c r="L252">
        <v>6374</v>
      </c>
      <c r="M252">
        <v>0</v>
      </c>
    </row>
    <row r="253" spans="1:13">
      <c r="A253">
        <v>6375</v>
      </c>
      <c r="B253">
        <v>1830197</v>
      </c>
      <c r="C253" s="5">
        <v>46054</v>
      </c>
      <c r="D253" t="s">
        <v>458</v>
      </c>
      <c r="E253">
        <v>0</v>
      </c>
      <c r="I253" s="8">
        <v>6374</v>
      </c>
      <c r="J253">
        <v>0</v>
      </c>
      <c r="L253">
        <v>6375</v>
      </c>
      <c r="M253">
        <v>0</v>
      </c>
    </row>
    <row r="254" spans="1:13">
      <c r="A254">
        <v>6376</v>
      </c>
      <c r="B254">
        <v>1830197</v>
      </c>
      <c r="C254" s="5">
        <v>46054</v>
      </c>
      <c r="D254" t="s">
        <v>458</v>
      </c>
      <c r="E254">
        <v>0</v>
      </c>
      <c r="I254" s="8">
        <v>6375</v>
      </c>
      <c r="J254">
        <v>0</v>
      </c>
      <c r="L254">
        <v>6376</v>
      </c>
      <c r="M254">
        <v>0</v>
      </c>
    </row>
    <row r="255" spans="1:13">
      <c r="A255">
        <v>6472</v>
      </c>
      <c r="B255">
        <v>1830197</v>
      </c>
      <c r="C255" s="5">
        <v>46054</v>
      </c>
      <c r="D255" t="s">
        <v>458</v>
      </c>
      <c r="E255">
        <v>0</v>
      </c>
      <c r="I255" s="8">
        <v>6376</v>
      </c>
      <c r="J255">
        <v>0</v>
      </c>
      <c r="L255">
        <v>6472</v>
      </c>
      <c r="M255">
        <v>0</v>
      </c>
    </row>
    <row r="256" spans="1:13">
      <c r="A256">
        <v>6477</v>
      </c>
      <c r="B256">
        <v>1830197</v>
      </c>
      <c r="C256" s="5">
        <v>46054</v>
      </c>
      <c r="D256" t="s">
        <v>458</v>
      </c>
      <c r="E256">
        <v>0</v>
      </c>
      <c r="I256" s="8">
        <v>6472</v>
      </c>
      <c r="J256">
        <v>0</v>
      </c>
      <c r="L256">
        <v>6477</v>
      </c>
      <c r="M256">
        <v>0</v>
      </c>
    </row>
    <row r="257" spans="1:13">
      <c r="A257">
        <v>6724</v>
      </c>
      <c r="B257">
        <v>1830197</v>
      </c>
      <c r="C257" s="5">
        <v>46054</v>
      </c>
      <c r="D257" t="s">
        <v>458</v>
      </c>
      <c r="E257">
        <v>0</v>
      </c>
      <c r="I257" s="8">
        <v>6477</v>
      </c>
      <c r="J257">
        <v>0</v>
      </c>
      <c r="L257">
        <v>6724</v>
      </c>
      <c r="M257">
        <v>0</v>
      </c>
    </row>
    <row r="258" spans="1:13">
      <c r="A258">
        <v>6757</v>
      </c>
      <c r="B258">
        <v>1830197</v>
      </c>
      <c r="C258" s="5">
        <v>46054</v>
      </c>
      <c r="D258" t="s">
        <v>458</v>
      </c>
      <c r="E258">
        <v>0</v>
      </c>
      <c r="I258" s="8">
        <v>6724</v>
      </c>
      <c r="J258">
        <v>0</v>
      </c>
      <c r="L258">
        <v>6757</v>
      </c>
      <c r="M258">
        <v>0</v>
      </c>
    </row>
    <row r="259" spans="1:13">
      <c r="A259">
        <v>6761</v>
      </c>
      <c r="B259">
        <v>1830197</v>
      </c>
      <c r="C259" s="5">
        <v>46054</v>
      </c>
      <c r="D259" t="s">
        <v>458</v>
      </c>
      <c r="E259">
        <v>0</v>
      </c>
      <c r="I259" s="8">
        <v>6757</v>
      </c>
      <c r="J259">
        <v>0</v>
      </c>
      <c r="L259">
        <v>6761</v>
      </c>
      <c r="M259">
        <v>0</v>
      </c>
    </row>
    <row r="260" spans="1:13">
      <c r="A260">
        <v>6776</v>
      </c>
      <c r="B260">
        <v>1830197</v>
      </c>
      <c r="C260" s="5">
        <v>46054</v>
      </c>
      <c r="D260" t="s">
        <v>458</v>
      </c>
      <c r="E260">
        <v>0</v>
      </c>
      <c r="I260" s="8">
        <v>6761</v>
      </c>
      <c r="J260">
        <v>0</v>
      </c>
      <c r="L260">
        <v>6776</v>
      </c>
      <c r="M260">
        <v>0</v>
      </c>
    </row>
    <row r="261" spans="1:13">
      <c r="A261">
        <v>6810</v>
      </c>
      <c r="B261">
        <v>1830197</v>
      </c>
      <c r="C261" s="5">
        <v>46054</v>
      </c>
      <c r="D261" t="s">
        <v>458</v>
      </c>
      <c r="E261">
        <v>0</v>
      </c>
      <c r="I261" s="8">
        <v>6776</v>
      </c>
      <c r="J261">
        <v>0</v>
      </c>
      <c r="L261">
        <v>6810</v>
      </c>
      <c r="M261">
        <v>0</v>
      </c>
    </row>
    <row r="262" spans="1:13">
      <c r="A262">
        <v>6811</v>
      </c>
      <c r="B262">
        <v>1830197</v>
      </c>
      <c r="C262" s="5">
        <v>46054</v>
      </c>
      <c r="D262" t="s">
        <v>458</v>
      </c>
      <c r="E262">
        <v>244</v>
      </c>
      <c r="I262" s="8">
        <v>6810</v>
      </c>
      <c r="J262">
        <v>0</v>
      </c>
      <c r="L262">
        <v>6811</v>
      </c>
      <c r="M262">
        <v>1906</v>
      </c>
    </row>
    <row r="263" spans="1:13">
      <c r="A263">
        <v>6880</v>
      </c>
      <c r="B263">
        <v>1830197</v>
      </c>
      <c r="C263" s="5">
        <v>46054</v>
      </c>
      <c r="D263" t="s">
        <v>458</v>
      </c>
      <c r="E263">
        <v>0</v>
      </c>
      <c r="I263" s="8">
        <v>6811</v>
      </c>
      <c r="J263">
        <v>1906</v>
      </c>
      <c r="L263">
        <v>6880</v>
      </c>
      <c r="M263">
        <v>0</v>
      </c>
    </row>
    <row r="264" spans="1:13">
      <c r="A264">
        <v>6928</v>
      </c>
      <c r="B264">
        <v>1830197</v>
      </c>
      <c r="C264" s="5">
        <v>46054</v>
      </c>
      <c r="D264" t="s">
        <v>458</v>
      </c>
      <c r="E264">
        <v>1</v>
      </c>
      <c r="I264" s="8">
        <v>6880</v>
      </c>
      <c r="J264">
        <v>0</v>
      </c>
      <c r="L264">
        <v>6928</v>
      </c>
      <c r="M264">
        <v>4</v>
      </c>
    </row>
    <row r="265" spans="1:13">
      <c r="A265">
        <v>7034</v>
      </c>
      <c r="B265">
        <v>1830197</v>
      </c>
      <c r="C265" s="5">
        <v>46054</v>
      </c>
      <c r="D265" t="s">
        <v>458</v>
      </c>
      <c r="E265">
        <v>0</v>
      </c>
      <c r="I265" s="8">
        <v>6928</v>
      </c>
      <c r="J265">
        <v>4</v>
      </c>
      <c r="L265">
        <v>7034</v>
      </c>
      <c r="M265">
        <v>0</v>
      </c>
    </row>
    <row r="266" spans="1:13">
      <c r="A266">
        <v>7127</v>
      </c>
      <c r="B266">
        <v>1830197</v>
      </c>
      <c r="C266" s="5">
        <v>46054</v>
      </c>
      <c r="D266" t="s">
        <v>458</v>
      </c>
      <c r="E266">
        <v>1</v>
      </c>
      <c r="I266" s="8">
        <v>7034</v>
      </c>
      <c r="J266">
        <v>0</v>
      </c>
      <c r="L266">
        <v>7127</v>
      </c>
      <c r="M266">
        <v>14</v>
      </c>
    </row>
    <row r="267" spans="1:13">
      <c r="A267">
        <v>7205</v>
      </c>
      <c r="B267">
        <v>1830197</v>
      </c>
      <c r="C267" s="5">
        <v>46054</v>
      </c>
      <c r="D267" t="s">
        <v>458</v>
      </c>
      <c r="E267">
        <v>152</v>
      </c>
      <c r="I267" s="8">
        <v>7127</v>
      </c>
      <c r="J267">
        <v>14</v>
      </c>
      <c r="L267">
        <v>7205</v>
      </c>
      <c r="M267">
        <v>1104</v>
      </c>
    </row>
    <row r="268" spans="1:13">
      <c r="A268">
        <v>7206</v>
      </c>
      <c r="B268">
        <v>1830197</v>
      </c>
      <c r="C268" s="5">
        <v>46054</v>
      </c>
      <c r="D268" t="s">
        <v>458</v>
      </c>
      <c r="E268">
        <v>85</v>
      </c>
      <c r="I268" s="8">
        <v>7205</v>
      </c>
      <c r="J268">
        <v>1104</v>
      </c>
      <c r="L268">
        <v>7206</v>
      </c>
      <c r="M268">
        <v>584</v>
      </c>
    </row>
    <row r="269" spans="1:13">
      <c r="A269">
        <v>7223</v>
      </c>
      <c r="B269">
        <v>1830197</v>
      </c>
      <c r="C269" s="5">
        <v>46054</v>
      </c>
      <c r="D269" t="s">
        <v>458</v>
      </c>
      <c r="E269">
        <v>0</v>
      </c>
      <c r="I269" s="8">
        <v>7206</v>
      </c>
      <c r="J269">
        <v>584</v>
      </c>
      <c r="L269">
        <v>7223</v>
      </c>
      <c r="M269">
        <v>0</v>
      </c>
    </row>
    <row r="270" spans="1:13">
      <c r="A270">
        <v>7301</v>
      </c>
      <c r="B270">
        <v>1830197</v>
      </c>
      <c r="C270" s="5">
        <v>46054</v>
      </c>
      <c r="D270" t="s">
        <v>458</v>
      </c>
      <c r="E270">
        <v>66</v>
      </c>
      <c r="I270" s="8">
        <v>7223</v>
      </c>
      <c r="J270">
        <v>0</v>
      </c>
      <c r="L270">
        <v>7301</v>
      </c>
      <c r="M270">
        <v>704</v>
      </c>
    </row>
    <row r="271" spans="1:13">
      <c r="A271">
        <v>7311</v>
      </c>
      <c r="B271">
        <v>1830197</v>
      </c>
      <c r="C271" s="5">
        <v>46054</v>
      </c>
      <c r="D271" t="s">
        <v>458</v>
      </c>
      <c r="E271">
        <v>0</v>
      </c>
      <c r="I271" s="8">
        <v>7301</v>
      </c>
      <c r="J271">
        <v>704</v>
      </c>
      <c r="L271">
        <v>7311</v>
      </c>
      <c r="M271">
        <v>0</v>
      </c>
    </row>
    <row r="272" spans="1:13">
      <c r="A272">
        <v>7312</v>
      </c>
      <c r="B272">
        <v>1830197</v>
      </c>
      <c r="C272" s="5">
        <v>46054</v>
      </c>
      <c r="D272" t="s">
        <v>458</v>
      </c>
      <c r="E272">
        <v>0</v>
      </c>
      <c r="I272" s="8">
        <v>7311</v>
      </c>
      <c r="J272">
        <v>0</v>
      </c>
      <c r="L272">
        <v>7312</v>
      </c>
      <c r="M272">
        <v>0</v>
      </c>
    </row>
    <row r="273" spans="1:13">
      <c r="A273">
        <v>7313</v>
      </c>
      <c r="B273">
        <v>1830197</v>
      </c>
      <c r="C273" s="5">
        <v>46054</v>
      </c>
      <c r="D273" t="s">
        <v>458</v>
      </c>
      <c r="E273">
        <v>0</v>
      </c>
      <c r="I273" s="8">
        <v>7312</v>
      </c>
      <c r="J273">
        <v>0</v>
      </c>
      <c r="L273">
        <v>7313</v>
      </c>
      <c r="M273">
        <v>9</v>
      </c>
    </row>
    <row r="274" spans="1:13">
      <c r="A274">
        <v>7326</v>
      </c>
      <c r="B274">
        <v>1830197</v>
      </c>
      <c r="C274" s="5">
        <v>46054</v>
      </c>
      <c r="D274" t="s">
        <v>458</v>
      </c>
      <c r="E274">
        <v>0</v>
      </c>
      <c r="I274" s="8">
        <v>7313</v>
      </c>
      <c r="J274">
        <v>9</v>
      </c>
      <c r="L274">
        <v>7326</v>
      </c>
      <c r="M274">
        <v>0</v>
      </c>
    </row>
    <row r="275" spans="1:13">
      <c r="A275">
        <v>7333</v>
      </c>
      <c r="B275">
        <v>1830197</v>
      </c>
      <c r="C275" s="5">
        <v>46054</v>
      </c>
      <c r="D275" t="s">
        <v>458</v>
      </c>
      <c r="E275">
        <v>293</v>
      </c>
      <c r="I275" s="8">
        <v>7326</v>
      </c>
      <c r="J275">
        <v>0</v>
      </c>
      <c r="L275">
        <v>7333</v>
      </c>
      <c r="M275">
        <v>2138</v>
      </c>
    </row>
    <row r="276" spans="1:13">
      <c r="A276">
        <v>7421</v>
      </c>
      <c r="B276">
        <v>1830197</v>
      </c>
      <c r="C276" s="5">
        <v>46054</v>
      </c>
      <c r="D276" t="s">
        <v>458</v>
      </c>
      <c r="E276">
        <v>0</v>
      </c>
      <c r="I276" s="8">
        <v>7333</v>
      </c>
      <c r="J276">
        <v>2138</v>
      </c>
      <c r="L276">
        <v>7421</v>
      </c>
      <c r="M276">
        <v>0</v>
      </c>
    </row>
    <row r="277" spans="1:13">
      <c r="A277">
        <v>7422</v>
      </c>
      <c r="B277">
        <v>1830197</v>
      </c>
      <c r="C277" s="5">
        <v>46054</v>
      </c>
      <c r="D277" t="s">
        <v>458</v>
      </c>
      <c r="E277">
        <v>0.1</v>
      </c>
      <c r="I277" s="8">
        <v>7421</v>
      </c>
      <c r="J277">
        <v>0</v>
      </c>
      <c r="L277">
        <v>7422</v>
      </c>
      <c r="M277">
        <v>0.70000000000000007</v>
      </c>
    </row>
    <row r="278" spans="1:13">
      <c r="A278">
        <v>7634</v>
      </c>
      <c r="B278">
        <v>1830197</v>
      </c>
      <c r="C278" s="5">
        <v>46054</v>
      </c>
      <c r="D278" t="s">
        <v>458</v>
      </c>
      <c r="E278">
        <v>5</v>
      </c>
      <c r="I278" s="8">
        <v>7422</v>
      </c>
      <c r="J278">
        <v>0.70000000000000007</v>
      </c>
      <c r="L278">
        <v>7634</v>
      </c>
      <c r="M278">
        <v>48</v>
      </c>
    </row>
    <row r="279" spans="1:13">
      <c r="A279">
        <v>7919</v>
      </c>
      <c r="B279">
        <v>1830197</v>
      </c>
      <c r="C279" s="5">
        <v>46054</v>
      </c>
      <c r="D279" t="s">
        <v>458</v>
      </c>
      <c r="E279">
        <v>7.45</v>
      </c>
      <c r="I279" s="8">
        <v>7634</v>
      </c>
      <c r="J279">
        <v>48</v>
      </c>
      <c r="L279">
        <v>7919</v>
      </c>
      <c r="M279">
        <v>35.32</v>
      </c>
    </row>
    <row r="280" spans="1:13">
      <c r="A280">
        <v>7920</v>
      </c>
      <c r="B280">
        <v>1830197</v>
      </c>
      <c r="C280" s="5">
        <v>46054</v>
      </c>
      <c r="D280" t="s">
        <v>458</v>
      </c>
      <c r="E280">
        <v>186</v>
      </c>
      <c r="I280" s="8">
        <v>7919</v>
      </c>
      <c r="J280">
        <v>35.32</v>
      </c>
      <c r="L280">
        <v>7920</v>
      </c>
      <c r="M280">
        <v>1396</v>
      </c>
    </row>
    <row r="281" spans="1:13">
      <c r="A281">
        <v>7969</v>
      </c>
      <c r="B281">
        <v>1830197</v>
      </c>
      <c r="C281" s="5">
        <v>46054</v>
      </c>
      <c r="D281" t="s">
        <v>458</v>
      </c>
      <c r="E281">
        <v>0</v>
      </c>
      <c r="I281" s="8">
        <v>7920</v>
      </c>
      <c r="J281">
        <v>1396</v>
      </c>
      <c r="L281">
        <v>7969</v>
      </c>
      <c r="M281">
        <v>0</v>
      </c>
    </row>
    <row r="282" spans="1:13">
      <c r="A282">
        <v>8159</v>
      </c>
      <c r="B282">
        <v>1830197</v>
      </c>
      <c r="C282" s="5">
        <v>46054</v>
      </c>
      <c r="D282" t="s">
        <v>458</v>
      </c>
      <c r="E282">
        <v>0</v>
      </c>
      <c r="I282" s="8">
        <v>7969</v>
      </c>
      <c r="J282">
        <v>0</v>
      </c>
      <c r="L282">
        <v>8159</v>
      </c>
      <c r="M282">
        <v>0</v>
      </c>
    </row>
    <row r="283" spans="1:13">
      <c r="A283">
        <v>8201</v>
      </c>
      <c r="B283">
        <v>1830197</v>
      </c>
      <c r="C283" s="5">
        <v>46054</v>
      </c>
      <c r="D283" t="s">
        <v>458</v>
      </c>
      <c r="E283">
        <v>64</v>
      </c>
      <c r="I283" s="8">
        <v>8159</v>
      </c>
      <c r="J283">
        <v>0</v>
      </c>
      <c r="L283">
        <v>8201</v>
      </c>
      <c r="M283">
        <v>550</v>
      </c>
    </row>
    <row r="284" spans="1:13">
      <c r="A284">
        <v>8207</v>
      </c>
      <c r="B284">
        <v>1830197</v>
      </c>
      <c r="C284" s="5">
        <v>46054</v>
      </c>
      <c r="D284" t="s">
        <v>458</v>
      </c>
      <c r="E284">
        <v>0</v>
      </c>
      <c r="I284" s="8">
        <v>8201</v>
      </c>
      <c r="J284">
        <v>550</v>
      </c>
      <c r="L284">
        <v>8207</v>
      </c>
      <c r="M284">
        <v>0</v>
      </c>
    </row>
    <row r="285" spans="1:13">
      <c r="A285">
        <v>8322</v>
      </c>
      <c r="B285">
        <v>1830197</v>
      </c>
      <c r="C285" s="5">
        <v>46054</v>
      </c>
      <c r="D285" t="s">
        <v>458</v>
      </c>
      <c r="E285">
        <v>0</v>
      </c>
      <c r="I285" s="8">
        <v>8207</v>
      </c>
      <c r="J285">
        <v>0</v>
      </c>
      <c r="L285">
        <v>8322</v>
      </c>
      <c r="M285">
        <v>0</v>
      </c>
    </row>
    <row r="286" spans="1:13">
      <c r="A286">
        <v>8541</v>
      </c>
      <c r="B286">
        <v>1830197</v>
      </c>
      <c r="C286" s="5">
        <v>46054</v>
      </c>
      <c r="D286" t="s">
        <v>458</v>
      </c>
      <c r="E286">
        <v>6</v>
      </c>
      <c r="I286" s="8">
        <v>8322</v>
      </c>
      <c r="J286">
        <v>0</v>
      </c>
      <c r="L286">
        <v>8541</v>
      </c>
      <c r="M286">
        <v>32</v>
      </c>
    </row>
    <row r="287" spans="1:13">
      <c r="A287">
        <v>8800</v>
      </c>
      <c r="B287">
        <v>1830197</v>
      </c>
      <c r="C287" s="5">
        <v>46054</v>
      </c>
      <c r="D287" t="s">
        <v>458</v>
      </c>
      <c r="E287">
        <v>0</v>
      </c>
      <c r="I287" s="8">
        <v>8541</v>
      </c>
      <c r="J287">
        <v>32</v>
      </c>
      <c r="L287">
        <v>8800</v>
      </c>
      <c r="M287">
        <v>0</v>
      </c>
    </row>
    <row r="288" spans="1:13">
      <c r="A288">
        <v>8801</v>
      </c>
      <c r="B288">
        <v>1830197</v>
      </c>
      <c r="C288" s="5">
        <v>46054</v>
      </c>
      <c r="D288" t="s">
        <v>458</v>
      </c>
      <c r="E288">
        <v>0</v>
      </c>
      <c r="I288" s="8">
        <v>8800</v>
      </c>
      <c r="J288">
        <v>0</v>
      </c>
      <c r="L288">
        <v>8801</v>
      </c>
      <c r="M288">
        <v>0</v>
      </c>
    </row>
    <row r="289" spans="1:13">
      <c r="A289">
        <v>8886</v>
      </c>
      <c r="B289">
        <v>1830197</v>
      </c>
      <c r="C289" s="5">
        <v>46054</v>
      </c>
      <c r="D289" t="s">
        <v>458</v>
      </c>
      <c r="E289">
        <v>0</v>
      </c>
      <c r="I289" s="8">
        <v>8801</v>
      </c>
      <c r="J289">
        <v>0</v>
      </c>
      <c r="L289">
        <v>8886</v>
      </c>
      <c r="M289">
        <v>0</v>
      </c>
    </row>
    <row r="290" spans="1:13">
      <c r="A290">
        <v>8951</v>
      </c>
      <c r="B290">
        <v>1830197</v>
      </c>
      <c r="C290" s="5">
        <v>46054</v>
      </c>
      <c r="D290" t="s">
        <v>458</v>
      </c>
      <c r="E290">
        <v>0</v>
      </c>
      <c r="I290" s="8">
        <v>8886</v>
      </c>
      <c r="J290">
        <v>0</v>
      </c>
      <c r="L290">
        <v>8951</v>
      </c>
      <c r="M290">
        <v>0</v>
      </c>
    </row>
    <row r="291" spans="1:13">
      <c r="A291">
        <v>8970</v>
      </c>
      <c r="B291">
        <v>1830197</v>
      </c>
      <c r="C291" s="5">
        <v>46054</v>
      </c>
      <c r="D291" t="s">
        <v>458</v>
      </c>
      <c r="E291">
        <v>0</v>
      </c>
      <c r="I291" s="8">
        <v>8951</v>
      </c>
      <c r="J291">
        <v>0</v>
      </c>
      <c r="L291">
        <v>8970</v>
      </c>
      <c r="M291">
        <v>0</v>
      </c>
    </row>
    <row r="292" spans="1:13">
      <c r="A292">
        <v>9110</v>
      </c>
      <c r="B292">
        <v>1830197</v>
      </c>
      <c r="C292" s="5">
        <v>46054</v>
      </c>
      <c r="D292" t="s">
        <v>458</v>
      </c>
      <c r="E292">
        <v>79</v>
      </c>
      <c r="I292" s="8">
        <v>8970</v>
      </c>
      <c r="J292">
        <v>0</v>
      </c>
      <c r="L292">
        <v>9110</v>
      </c>
      <c r="M292">
        <v>607</v>
      </c>
    </row>
    <row r="293" spans="1:13">
      <c r="A293">
        <v>9456</v>
      </c>
      <c r="B293">
        <v>1830197</v>
      </c>
      <c r="C293" s="5">
        <v>46054</v>
      </c>
      <c r="D293" t="s">
        <v>458</v>
      </c>
      <c r="E293">
        <v>0</v>
      </c>
      <c r="I293" s="8">
        <v>9110</v>
      </c>
      <c r="J293">
        <v>607</v>
      </c>
      <c r="L293">
        <v>9456</v>
      </c>
      <c r="M293">
        <v>0</v>
      </c>
    </row>
    <row r="294" spans="1:13">
      <c r="A294">
        <v>9903</v>
      </c>
      <c r="B294">
        <v>1830197</v>
      </c>
      <c r="C294" s="5">
        <v>46054</v>
      </c>
      <c r="D294" t="s">
        <v>458</v>
      </c>
      <c r="E294">
        <v>0</v>
      </c>
      <c r="I294" s="8">
        <v>9456</v>
      </c>
      <c r="J294">
        <v>0</v>
      </c>
      <c r="L294">
        <v>9903</v>
      </c>
      <c r="M294">
        <v>0</v>
      </c>
    </row>
    <row r="295" spans="1:13">
      <c r="A295">
        <v>9920</v>
      </c>
      <c r="B295">
        <v>1830197</v>
      </c>
      <c r="C295" s="5">
        <v>46054</v>
      </c>
      <c r="D295" t="s">
        <v>458</v>
      </c>
      <c r="E295">
        <v>0</v>
      </c>
      <c r="I295" s="8">
        <v>9903</v>
      </c>
      <c r="J295">
        <v>0</v>
      </c>
      <c r="L295">
        <v>9920</v>
      </c>
      <c r="M295">
        <v>0</v>
      </c>
    </row>
    <row r="296" spans="1:13">
      <c r="A296">
        <v>9930</v>
      </c>
      <c r="B296">
        <v>1830197</v>
      </c>
      <c r="C296" s="5">
        <v>46054</v>
      </c>
      <c r="D296" t="s">
        <v>458</v>
      </c>
      <c r="E296">
        <v>0</v>
      </c>
      <c r="I296" s="8">
        <v>9920</v>
      </c>
      <c r="J296">
        <v>0</v>
      </c>
      <c r="L296">
        <v>9930</v>
      </c>
      <c r="M296">
        <v>2</v>
      </c>
    </row>
    <row r="297" spans="1:13">
      <c r="A297">
        <v>9931</v>
      </c>
      <c r="B297">
        <v>1830197</v>
      </c>
      <c r="C297" s="5">
        <v>46054</v>
      </c>
      <c r="D297" t="s">
        <v>458</v>
      </c>
      <c r="E297">
        <v>0</v>
      </c>
      <c r="I297" s="8">
        <v>9930</v>
      </c>
      <c r="J297">
        <v>2</v>
      </c>
      <c r="L297">
        <v>9931</v>
      </c>
      <c r="M297">
        <v>0</v>
      </c>
    </row>
    <row r="298" spans="1:13">
      <c r="A298">
        <v>9972</v>
      </c>
      <c r="B298">
        <v>1830197</v>
      </c>
      <c r="C298" s="5">
        <v>46054</v>
      </c>
      <c r="D298" t="s">
        <v>458</v>
      </c>
      <c r="E298">
        <v>0.1</v>
      </c>
      <c r="I298" s="8">
        <v>9931</v>
      </c>
      <c r="J298">
        <v>0</v>
      </c>
      <c r="L298">
        <v>9972</v>
      </c>
      <c r="M298">
        <v>0.89999999999999991</v>
      </c>
    </row>
    <row r="299" spans="1:13">
      <c r="A299">
        <v>10010</v>
      </c>
      <c r="B299">
        <v>1830197</v>
      </c>
      <c r="C299" s="5">
        <v>46054</v>
      </c>
      <c r="D299" t="s">
        <v>458</v>
      </c>
      <c r="E299">
        <v>0</v>
      </c>
      <c r="I299" s="8">
        <v>9972</v>
      </c>
      <c r="J299">
        <v>0.89999999999999991</v>
      </c>
      <c r="L299">
        <v>10010</v>
      </c>
      <c r="M299">
        <v>0</v>
      </c>
    </row>
    <row r="300" spans="1:13">
      <c r="A300">
        <v>10264</v>
      </c>
      <c r="B300">
        <v>1830197</v>
      </c>
      <c r="C300" s="5">
        <v>46054</v>
      </c>
      <c r="D300" t="s">
        <v>458</v>
      </c>
      <c r="E300">
        <v>0.05</v>
      </c>
      <c r="I300" s="8">
        <v>10010</v>
      </c>
      <c r="J300">
        <v>0</v>
      </c>
      <c r="L300">
        <v>10264</v>
      </c>
      <c r="M300">
        <v>1.4700000000000002</v>
      </c>
    </row>
    <row r="301" spans="1:13">
      <c r="A301">
        <v>10294</v>
      </c>
      <c r="B301">
        <v>1830197</v>
      </c>
      <c r="C301" s="5">
        <v>46054</v>
      </c>
      <c r="D301" t="s">
        <v>458</v>
      </c>
      <c r="E301">
        <v>0</v>
      </c>
      <c r="I301" s="8">
        <v>10264</v>
      </c>
      <c r="J301">
        <v>1.4700000000000002</v>
      </c>
      <c r="L301">
        <v>10294</v>
      </c>
      <c r="M301">
        <v>0</v>
      </c>
    </row>
    <row r="302" spans="1:13">
      <c r="A302">
        <v>10295</v>
      </c>
      <c r="B302">
        <v>1830197</v>
      </c>
      <c r="C302" s="5">
        <v>46054</v>
      </c>
      <c r="D302" t="s">
        <v>458</v>
      </c>
      <c r="E302">
        <v>0</v>
      </c>
      <c r="I302" s="8">
        <v>10294</v>
      </c>
      <c r="J302">
        <v>0</v>
      </c>
      <c r="L302">
        <v>10295</v>
      </c>
      <c r="M302">
        <v>0</v>
      </c>
    </row>
    <row r="303" spans="1:13">
      <c r="A303">
        <v>10296</v>
      </c>
      <c r="B303">
        <v>1830197</v>
      </c>
      <c r="C303" s="5">
        <v>46054</v>
      </c>
      <c r="D303" t="s">
        <v>458</v>
      </c>
      <c r="E303">
        <v>0</v>
      </c>
      <c r="I303" s="8">
        <v>10295</v>
      </c>
      <c r="J303">
        <v>0</v>
      </c>
      <c r="L303">
        <v>10296</v>
      </c>
      <c r="M303">
        <v>0</v>
      </c>
    </row>
    <row r="304" spans="1:13">
      <c r="A304">
        <v>10297</v>
      </c>
      <c r="B304">
        <v>1830197</v>
      </c>
      <c r="C304" s="5">
        <v>46054</v>
      </c>
      <c r="D304" t="s">
        <v>458</v>
      </c>
      <c r="E304">
        <v>0</v>
      </c>
      <c r="I304" s="8">
        <v>10296</v>
      </c>
      <c r="J304">
        <v>0</v>
      </c>
      <c r="L304">
        <v>10297</v>
      </c>
      <c r="M304">
        <v>0</v>
      </c>
    </row>
    <row r="305" spans="1:13">
      <c r="A305">
        <v>10298</v>
      </c>
      <c r="B305">
        <v>1830197</v>
      </c>
      <c r="C305" s="5">
        <v>46054</v>
      </c>
      <c r="D305" t="s">
        <v>458</v>
      </c>
      <c r="E305">
        <v>0</v>
      </c>
      <c r="I305" s="8">
        <v>10297</v>
      </c>
      <c r="J305">
        <v>0</v>
      </c>
      <c r="L305">
        <v>10298</v>
      </c>
      <c r="M305">
        <v>0</v>
      </c>
    </row>
    <row r="306" spans="1:13">
      <c r="A306">
        <v>10299</v>
      </c>
      <c r="B306">
        <v>1830197</v>
      </c>
      <c r="C306" s="5">
        <v>46054</v>
      </c>
      <c r="D306" t="s">
        <v>458</v>
      </c>
      <c r="E306">
        <v>0</v>
      </c>
      <c r="I306" s="8">
        <v>10298</v>
      </c>
      <c r="J306">
        <v>0</v>
      </c>
      <c r="L306">
        <v>10299</v>
      </c>
      <c r="M306">
        <v>0</v>
      </c>
    </row>
    <row r="307" spans="1:13">
      <c r="A307">
        <v>10458</v>
      </c>
      <c r="B307">
        <v>1830197</v>
      </c>
      <c r="C307" s="5">
        <v>46054</v>
      </c>
      <c r="D307" t="s">
        <v>458</v>
      </c>
      <c r="E307">
        <v>0</v>
      </c>
      <c r="I307" s="8">
        <v>10299</v>
      </c>
      <c r="J307">
        <v>0</v>
      </c>
      <c r="L307">
        <v>10458</v>
      </c>
      <c r="M307">
        <v>0</v>
      </c>
    </row>
    <row r="308" spans="1:13">
      <c r="A308">
        <v>10550</v>
      </c>
      <c r="B308">
        <v>1830197</v>
      </c>
      <c r="C308" s="5">
        <v>46054</v>
      </c>
      <c r="D308" t="s">
        <v>458</v>
      </c>
      <c r="E308">
        <v>67</v>
      </c>
      <c r="I308" s="8">
        <v>10458</v>
      </c>
      <c r="J308">
        <v>0</v>
      </c>
      <c r="L308">
        <v>10550</v>
      </c>
      <c r="M308">
        <v>470</v>
      </c>
    </row>
    <row r="309" spans="1:13">
      <c r="A309">
        <v>10594</v>
      </c>
      <c r="B309">
        <v>1830197</v>
      </c>
      <c r="C309" s="5">
        <v>46054</v>
      </c>
      <c r="D309" t="s">
        <v>458</v>
      </c>
      <c r="E309">
        <v>0</v>
      </c>
      <c r="I309" s="8">
        <v>10550</v>
      </c>
      <c r="J309">
        <v>470</v>
      </c>
      <c r="L309">
        <v>10594</v>
      </c>
      <c r="M309">
        <v>3</v>
      </c>
    </row>
    <row r="310" spans="1:13">
      <c r="A310">
        <v>10595</v>
      </c>
      <c r="B310">
        <v>1830197</v>
      </c>
      <c r="C310" s="5">
        <v>46054</v>
      </c>
      <c r="D310" t="s">
        <v>458</v>
      </c>
      <c r="E310">
        <v>0</v>
      </c>
      <c r="I310" s="8">
        <v>10594</v>
      </c>
      <c r="J310">
        <v>3</v>
      </c>
      <c r="L310">
        <v>10595</v>
      </c>
      <c r="M310">
        <v>4</v>
      </c>
    </row>
    <row r="311" spans="1:13">
      <c r="A311">
        <v>10596</v>
      </c>
      <c r="B311">
        <v>1830197</v>
      </c>
      <c r="C311" s="5">
        <v>46054</v>
      </c>
      <c r="D311" t="s">
        <v>458</v>
      </c>
      <c r="E311">
        <v>0</v>
      </c>
      <c r="I311" s="8">
        <v>10595</v>
      </c>
      <c r="J311">
        <v>4</v>
      </c>
      <c r="L311">
        <v>10596</v>
      </c>
      <c r="M311">
        <v>7</v>
      </c>
    </row>
    <row r="312" spans="1:13">
      <c r="A312">
        <v>10597</v>
      </c>
      <c r="B312">
        <v>1830197</v>
      </c>
      <c r="C312" s="5">
        <v>46054</v>
      </c>
      <c r="D312" t="s">
        <v>458</v>
      </c>
      <c r="E312">
        <v>1.5</v>
      </c>
      <c r="I312" s="8">
        <v>10596</v>
      </c>
      <c r="J312">
        <v>7</v>
      </c>
      <c r="L312">
        <v>10597</v>
      </c>
      <c r="M312">
        <v>12.4</v>
      </c>
    </row>
    <row r="313" spans="1:13">
      <c r="A313">
        <v>10598</v>
      </c>
      <c r="B313">
        <v>1830197</v>
      </c>
      <c r="C313" s="5">
        <v>46054</v>
      </c>
      <c r="D313" t="s">
        <v>458</v>
      </c>
      <c r="E313">
        <v>11</v>
      </c>
      <c r="I313" s="8">
        <v>10597</v>
      </c>
      <c r="J313">
        <v>12.4</v>
      </c>
      <c r="L313">
        <v>10598</v>
      </c>
      <c r="M313">
        <v>122.00000000000001</v>
      </c>
    </row>
    <row r="314" spans="1:13">
      <c r="A314">
        <v>10599</v>
      </c>
      <c r="B314">
        <v>1830197</v>
      </c>
      <c r="C314" s="5">
        <v>46054</v>
      </c>
      <c r="D314" t="s">
        <v>458</v>
      </c>
      <c r="E314">
        <v>0</v>
      </c>
      <c r="I314" s="8">
        <v>10598</v>
      </c>
      <c r="J314">
        <v>122.00000000000001</v>
      </c>
      <c r="L314">
        <v>10599</v>
      </c>
      <c r="M314">
        <v>0</v>
      </c>
    </row>
    <row r="315" spans="1:13">
      <c r="A315">
        <v>10629</v>
      </c>
      <c r="B315">
        <v>1830197</v>
      </c>
      <c r="C315" s="5">
        <v>46054</v>
      </c>
      <c r="D315" t="s">
        <v>458</v>
      </c>
      <c r="E315">
        <v>24</v>
      </c>
      <c r="I315" s="8">
        <v>10599</v>
      </c>
      <c r="J315">
        <v>0</v>
      </c>
      <c r="L315">
        <v>10629</v>
      </c>
      <c r="M315">
        <v>130</v>
      </c>
    </row>
    <row r="316" spans="1:13">
      <c r="A316">
        <v>10683</v>
      </c>
      <c r="B316">
        <v>1830197</v>
      </c>
      <c r="C316" s="5">
        <v>46054</v>
      </c>
      <c r="D316" t="s">
        <v>458</v>
      </c>
      <c r="E316">
        <v>0</v>
      </c>
      <c r="I316" s="8">
        <v>10629</v>
      </c>
      <c r="J316">
        <v>130</v>
      </c>
      <c r="L316">
        <v>10683</v>
      </c>
      <c r="M316">
        <v>0</v>
      </c>
    </row>
    <row r="317" spans="1:13">
      <c r="A317">
        <v>10685</v>
      </c>
      <c r="B317">
        <v>1830197</v>
      </c>
      <c r="C317" s="5">
        <v>46054</v>
      </c>
      <c r="D317" t="s">
        <v>458</v>
      </c>
      <c r="E317">
        <v>0</v>
      </c>
      <c r="I317" s="8">
        <v>10683</v>
      </c>
      <c r="J317">
        <v>0</v>
      </c>
      <c r="L317">
        <v>10685</v>
      </c>
      <c r="M317">
        <v>0</v>
      </c>
    </row>
    <row r="318" spans="1:13">
      <c r="A318">
        <v>10754</v>
      </c>
      <c r="B318">
        <v>1830197</v>
      </c>
      <c r="C318" s="5">
        <v>46054</v>
      </c>
      <c r="D318" t="s">
        <v>458</v>
      </c>
      <c r="E318">
        <v>0</v>
      </c>
      <c r="I318" s="8">
        <v>10685</v>
      </c>
      <c r="J318">
        <v>0</v>
      </c>
      <c r="L318">
        <v>10754</v>
      </c>
      <c r="M318">
        <v>0</v>
      </c>
    </row>
    <row r="319" spans="1:13">
      <c r="A319">
        <v>10958</v>
      </c>
      <c r="B319">
        <v>1830197</v>
      </c>
      <c r="C319" s="5">
        <v>46054</v>
      </c>
      <c r="D319" t="s">
        <v>458</v>
      </c>
      <c r="E319">
        <v>10</v>
      </c>
      <c r="I319" s="8">
        <v>10754</v>
      </c>
      <c r="J319">
        <v>0</v>
      </c>
      <c r="L319">
        <v>10958</v>
      </c>
      <c r="M319">
        <v>120</v>
      </c>
    </row>
    <row r="320" spans="1:13">
      <c r="A320">
        <v>11056</v>
      </c>
      <c r="B320">
        <v>1830197</v>
      </c>
      <c r="C320" s="5">
        <v>46054</v>
      </c>
      <c r="D320" t="s">
        <v>458</v>
      </c>
      <c r="E320">
        <v>0</v>
      </c>
      <c r="I320" s="8">
        <v>10958</v>
      </c>
      <c r="J320">
        <v>120</v>
      </c>
      <c r="L320">
        <v>11056</v>
      </c>
      <c r="M320">
        <v>0</v>
      </c>
    </row>
    <row r="321" spans="1:13">
      <c r="A321">
        <v>11162</v>
      </c>
      <c r="B321">
        <v>1830197</v>
      </c>
      <c r="C321" s="5">
        <v>46054</v>
      </c>
      <c r="D321" t="s">
        <v>458</v>
      </c>
      <c r="E321">
        <v>0</v>
      </c>
      <c r="I321" s="8">
        <v>11056</v>
      </c>
      <c r="J321">
        <v>0</v>
      </c>
      <c r="L321">
        <v>11162</v>
      </c>
      <c r="M321">
        <v>0</v>
      </c>
    </row>
    <row r="322" spans="1:13">
      <c r="A322">
        <v>11172</v>
      </c>
      <c r="B322">
        <v>1830197</v>
      </c>
      <c r="C322" s="5">
        <v>46054</v>
      </c>
      <c r="D322" t="s">
        <v>458</v>
      </c>
      <c r="E322">
        <v>0</v>
      </c>
      <c r="I322" s="8">
        <v>11162</v>
      </c>
      <c r="J322">
        <v>0</v>
      </c>
      <c r="L322">
        <v>11172</v>
      </c>
      <c r="M322">
        <v>0</v>
      </c>
    </row>
    <row r="323" spans="1:13">
      <c r="A323">
        <v>11312</v>
      </c>
      <c r="B323">
        <v>1830197</v>
      </c>
      <c r="C323" s="5">
        <v>46054</v>
      </c>
      <c r="D323" t="s">
        <v>458</v>
      </c>
      <c r="E323">
        <v>21</v>
      </c>
      <c r="I323" s="8">
        <v>11172</v>
      </c>
      <c r="J323">
        <v>0</v>
      </c>
      <c r="L323">
        <v>11312</v>
      </c>
      <c r="M323">
        <v>217</v>
      </c>
    </row>
    <row r="324" spans="1:13">
      <c r="A324">
        <v>11313</v>
      </c>
      <c r="B324">
        <v>1830197</v>
      </c>
      <c r="C324" s="5">
        <v>46054</v>
      </c>
      <c r="D324" t="s">
        <v>458</v>
      </c>
      <c r="E324">
        <v>0</v>
      </c>
      <c r="I324" s="8">
        <v>11312</v>
      </c>
      <c r="J324">
        <v>217</v>
      </c>
      <c r="L324">
        <v>11313</v>
      </c>
      <c r="M324">
        <v>0</v>
      </c>
    </row>
    <row r="325" spans="1:13">
      <c r="A325">
        <v>11322</v>
      </c>
      <c r="B325">
        <v>1830197</v>
      </c>
      <c r="C325" s="5">
        <v>46054</v>
      </c>
      <c r="D325" t="s">
        <v>458</v>
      </c>
      <c r="E325">
        <v>0</v>
      </c>
      <c r="I325" s="8">
        <v>11313</v>
      </c>
      <c r="J325">
        <v>0</v>
      </c>
      <c r="L325">
        <v>11322</v>
      </c>
      <c r="M325">
        <v>0</v>
      </c>
    </row>
    <row r="326" spans="1:13">
      <c r="A326">
        <v>11323</v>
      </c>
      <c r="B326">
        <v>1830197</v>
      </c>
      <c r="C326" s="5">
        <v>46054</v>
      </c>
      <c r="D326" t="s">
        <v>458</v>
      </c>
      <c r="E326">
        <v>0</v>
      </c>
      <c r="I326" s="8">
        <v>11322</v>
      </c>
      <c r="J326">
        <v>0</v>
      </c>
      <c r="L326">
        <v>11323</v>
      </c>
      <c r="M326">
        <v>0</v>
      </c>
    </row>
    <row r="327" spans="1:13">
      <c r="A327">
        <v>11588</v>
      </c>
      <c r="B327">
        <v>1830197</v>
      </c>
      <c r="C327" s="5">
        <v>46054</v>
      </c>
      <c r="D327" t="s">
        <v>458</v>
      </c>
      <c r="E327">
        <v>0</v>
      </c>
      <c r="I327" s="8">
        <v>11323</v>
      </c>
      <c r="J327">
        <v>0</v>
      </c>
      <c r="L327">
        <v>11588</v>
      </c>
      <c r="M327">
        <v>0</v>
      </c>
    </row>
    <row r="328" spans="1:13">
      <c r="A328">
        <v>11597</v>
      </c>
      <c r="B328">
        <v>1830197</v>
      </c>
      <c r="C328" s="5">
        <v>46054</v>
      </c>
      <c r="D328" t="s">
        <v>458</v>
      </c>
      <c r="E328">
        <v>0</v>
      </c>
      <c r="I328" s="8">
        <v>11588</v>
      </c>
      <c r="J328">
        <v>0</v>
      </c>
      <c r="L328">
        <v>11597</v>
      </c>
      <c r="M328">
        <v>0</v>
      </c>
    </row>
    <row r="329" spans="1:13">
      <c r="A329">
        <v>11662</v>
      </c>
      <c r="B329">
        <v>1830197</v>
      </c>
      <c r="C329" s="5">
        <v>46054</v>
      </c>
      <c r="D329" t="s">
        <v>458</v>
      </c>
      <c r="E329">
        <v>0</v>
      </c>
      <c r="I329" s="8">
        <v>11597</v>
      </c>
      <c r="J329">
        <v>0</v>
      </c>
      <c r="L329">
        <v>11662</v>
      </c>
      <c r="M329">
        <v>0</v>
      </c>
    </row>
    <row r="330" spans="1:13">
      <c r="A330">
        <v>11663</v>
      </c>
      <c r="B330">
        <v>1830197</v>
      </c>
      <c r="C330" s="5">
        <v>46054</v>
      </c>
      <c r="D330" t="s">
        <v>458</v>
      </c>
      <c r="E330">
        <v>0</v>
      </c>
      <c r="I330" s="8">
        <v>11662</v>
      </c>
      <c r="J330">
        <v>0</v>
      </c>
      <c r="L330">
        <v>11663</v>
      </c>
      <c r="M330">
        <v>0</v>
      </c>
    </row>
    <row r="331" spans="1:13">
      <c r="A331">
        <v>11676</v>
      </c>
      <c r="B331">
        <v>1830197</v>
      </c>
      <c r="C331" s="5">
        <v>46054</v>
      </c>
      <c r="D331" t="s">
        <v>458</v>
      </c>
      <c r="E331">
        <v>0</v>
      </c>
      <c r="I331" s="8">
        <v>11663</v>
      </c>
      <c r="J331">
        <v>0</v>
      </c>
      <c r="L331">
        <v>11676</v>
      </c>
      <c r="M331">
        <v>0</v>
      </c>
    </row>
    <row r="332" spans="1:13">
      <c r="A332">
        <v>11720</v>
      </c>
      <c r="B332">
        <v>1830197</v>
      </c>
      <c r="C332" s="5">
        <v>46054</v>
      </c>
      <c r="D332" t="s">
        <v>458</v>
      </c>
      <c r="E332">
        <v>0</v>
      </c>
      <c r="I332" s="8">
        <v>11676</v>
      </c>
      <c r="J332">
        <v>0</v>
      </c>
      <c r="L332">
        <v>11720</v>
      </c>
      <c r="M332">
        <v>0</v>
      </c>
    </row>
    <row r="333" spans="1:13">
      <c r="A333">
        <v>11883</v>
      </c>
      <c r="B333">
        <v>1830197</v>
      </c>
      <c r="C333" s="5">
        <v>46054</v>
      </c>
      <c r="D333" t="s">
        <v>458</v>
      </c>
      <c r="E333">
        <v>6</v>
      </c>
      <c r="I333" s="8">
        <v>11720</v>
      </c>
      <c r="J333">
        <v>0</v>
      </c>
      <c r="L333">
        <v>11883</v>
      </c>
      <c r="M333">
        <v>32</v>
      </c>
    </row>
    <row r="334" spans="1:13">
      <c r="A334">
        <v>12037</v>
      </c>
      <c r="B334">
        <v>1830197</v>
      </c>
      <c r="C334" s="5">
        <v>46054</v>
      </c>
      <c r="D334" t="s">
        <v>458</v>
      </c>
      <c r="E334">
        <v>0</v>
      </c>
      <c r="I334" s="8">
        <v>11883</v>
      </c>
      <c r="J334">
        <v>32</v>
      </c>
      <c r="L334">
        <v>12037</v>
      </c>
      <c r="M334">
        <v>0</v>
      </c>
    </row>
    <row r="335" spans="1:13">
      <c r="A335">
        <v>12063</v>
      </c>
      <c r="B335">
        <v>1830197</v>
      </c>
      <c r="C335" s="5">
        <v>46054</v>
      </c>
      <c r="D335" t="s">
        <v>458</v>
      </c>
      <c r="E335">
        <v>0</v>
      </c>
      <c r="I335" s="8">
        <v>12037</v>
      </c>
      <c r="J335">
        <v>0</v>
      </c>
      <c r="L335">
        <v>12063</v>
      </c>
      <c r="M335">
        <v>0</v>
      </c>
    </row>
    <row r="336" spans="1:13">
      <c r="A336">
        <v>12234</v>
      </c>
      <c r="B336">
        <v>1830197</v>
      </c>
      <c r="C336" s="5">
        <v>46054</v>
      </c>
      <c r="D336" t="s">
        <v>458</v>
      </c>
      <c r="E336">
        <v>12</v>
      </c>
      <c r="I336" s="8">
        <v>12063</v>
      </c>
      <c r="J336">
        <v>0</v>
      </c>
      <c r="L336">
        <v>12234</v>
      </c>
      <c r="M336">
        <v>105</v>
      </c>
    </row>
    <row r="337" spans="1:13">
      <c r="A337">
        <v>12244</v>
      </c>
      <c r="B337">
        <v>1830197</v>
      </c>
      <c r="C337" s="5">
        <v>46054</v>
      </c>
      <c r="D337" t="s">
        <v>458</v>
      </c>
      <c r="E337">
        <v>0</v>
      </c>
      <c r="I337" s="8">
        <v>12234</v>
      </c>
      <c r="J337">
        <v>105</v>
      </c>
      <c r="L337">
        <v>12244</v>
      </c>
      <c r="M337">
        <v>0</v>
      </c>
    </row>
    <row r="338" spans="1:13">
      <c r="A338">
        <v>12245</v>
      </c>
      <c r="B338">
        <v>1830197</v>
      </c>
      <c r="C338" s="5">
        <v>46054</v>
      </c>
      <c r="D338" t="s">
        <v>458</v>
      </c>
      <c r="E338">
        <v>0</v>
      </c>
      <c r="I338" s="8">
        <v>12244</v>
      </c>
      <c r="J338">
        <v>0</v>
      </c>
      <c r="L338">
        <v>12245</v>
      </c>
      <c r="M338">
        <v>0</v>
      </c>
    </row>
    <row r="339" spans="1:13">
      <c r="A339">
        <v>12322</v>
      </c>
      <c r="B339">
        <v>1830197</v>
      </c>
      <c r="C339" s="5">
        <v>46054</v>
      </c>
      <c r="D339" t="s">
        <v>458</v>
      </c>
      <c r="E339">
        <v>5</v>
      </c>
      <c r="I339" s="8">
        <v>12245</v>
      </c>
      <c r="J339">
        <v>0</v>
      </c>
      <c r="L339">
        <v>12322</v>
      </c>
      <c r="M339">
        <v>24</v>
      </c>
    </row>
    <row r="340" spans="1:13">
      <c r="A340">
        <v>12713</v>
      </c>
      <c r="B340">
        <v>1830197</v>
      </c>
      <c r="C340" s="5">
        <v>46054</v>
      </c>
      <c r="D340" t="s">
        <v>458</v>
      </c>
      <c r="E340">
        <v>27</v>
      </c>
      <c r="I340" s="8">
        <v>12322</v>
      </c>
      <c r="J340">
        <v>24</v>
      </c>
      <c r="L340">
        <v>12713</v>
      </c>
      <c r="M340">
        <v>293</v>
      </c>
    </row>
    <row r="341" spans="1:13">
      <c r="A341">
        <v>13201</v>
      </c>
      <c r="B341">
        <v>1830197</v>
      </c>
      <c r="C341" s="5">
        <v>46054</v>
      </c>
      <c r="D341" t="s">
        <v>458</v>
      </c>
      <c r="E341">
        <v>4</v>
      </c>
      <c r="I341" s="8">
        <v>12713</v>
      </c>
      <c r="J341">
        <v>293</v>
      </c>
      <c r="L341">
        <v>13201</v>
      </c>
      <c r="M341">
        <v>88</v>
      </c>
    </row>
    <row r="342" spans="1:13">
      <c r="A342">
        <v>13229</v>
      </c>
      <c r="B342">
        <v>1830197</v>
      </c>
      <c r="C342" s="5">
        <v>46054</v>
      </c>
      <c r="D342" t="s">
        <v>458</v>
      </c>
      <c r="E342">
        <v>0</v>
      </c>
      <c r="I342" s="8">
        <v>13201</v>
      </c>
      <c r="J342">
        <v>88</v>
      </c>
      <c r="L342">
        <v>13229</v>
      </c>
      <c r="M342">
        <v>0</v>
      </c>
    </row>
    <row r="343" spans="1:13">
      <c r="A343">
        <v>13322</v>
      </c>
      <c r="B343">
        <v>1830197</v>
      </c>
      <c r="C343" s="5">
        <v>46054</v>
      </c>
      <c r="D343" t="s">
        <v>458</v>
      </c>
      <c r="E343">
        <v>0</v>
      </c>
      <c r="I343" s="8">
        <v>13229</v>
      </c>
      <c r="J343">
        <v>0</v>
      </c>
      <c r="L343">
        <v>13322</v>
      </c>
      <c r="M343">
        <v>0</v>
      </c>
    </row>
    <row r="344" spans="1:13">
      <c r="A344">
        <v>13450</v>
      </c>
      <c r="B344">
        <v>1830197</v>
      </c>
      <c r="C344" s="5">
        <v>46054</v>
      </c>
      <c r="D344" t="s">
        <v>458</v>
      </c>
      <c r="E344">
        <v>0</v>
      </c>
      <c r="I344" s="8">
        <v>13322</v>
      </c>
      <c r="J344">
        <v>0</v>
      </c>
      <c r="L344">
        <v>13450</v>
      </c>
      <c r="M344">
        <v>0</v>
      </c>
    </row>
    <row r="345" spans="1:13">
      <c r="A345">
        <v>13451</v>
      </c>
      <c r="B345">
        <v>1830197</v>
      </c>
      <c r="C345" s="5">
        <v>46054</v>
      </c>
      <c r="D345" t="s">
        <v>458</v>
      </c>
      <c r="E345">
        <v>0</v>
      </c>
      <c r="I345" s="8">
        <v>13450</v>
      </c>
      <c r="J345">
        <v>0</v>
      </c>
      <c r="L345">
        <v>13451</v>
      </c>
      <c r="M345">
        <v>0</v>
      </c>
    </row>
    <row r="346" spans="1:13">
      <c r="A346">
        <v>13537</v>
      </c>
      <c r="B346">
        <v>1830197</v>
      </c>
      <c r="C346" s="5">
        <v>46054</v>
      </c>
      <c r="D346" t="s">
        <v>458</v>
      </c>
      <c r="E346">
        <v>0</v>
      </c>
      <c r="I346" s="8">
        <v>13451</v>
      </c>
      <c r="J346">
        <v>0</v>
      </c>
      <c r="L346">
        <v>13537</v>
      </c>
      <c r="M346">
        <v>0</v>
      </c>
    </row>
    <row r="347" spans="1:13">
      <c r="A347">
        <v>13539</v>
      </c>
      <c r="B347">
        <v>1830197</v>
      </c>
      <c r="C347" s="5">
        <v>46054</v>
      </c>
      <c r="D347" t="s">
        <v>458</v>
      </c>
      <c r="E347">
        <v>0</v>
      </c>
      <c r="I347" s="8">
        <v>13537</v>
      </c>
      <c r="J347">
        <v>0</v>
      </c>
      <c r="L347">
        <v>13539</v>
      </c>
      <c r="M347">
        <v>0</v>
      </c>
    </row>
    <row r="348" spans="1:13">
      <c r="A348">
        <v>13540</v>
      </c>
      <c r="B348">
        <v>1830197</v>
      </c>
      <c r="C348" s="5">
        <v>46054</v>
      </c>
      <c r="D348" t="s">
        <v>458</v>
      </c>
      <c r="E348">
        <v>0</v>
      </c>
      <c r="I348" s="8">
        <v>13539</v>
      </c>
      <c r="J348">
        <v>0</v>
      </c>
      <c r="L348">
        <v>13540</v>
      </c>
      <c r="M348">
        <v>0</v>
      </c>
    </row>
    <row r="349" spans="1:13">
      <c r="A349">
        <v>13541</v>
      </c>
      <c r="B349">
        <v>1830197</v>
      </c>
      <c r="C349" s="5">
        <v>46054</v>
      </c>
      <c r="D349" t="s">
        <v>458</v>
      </c>
      <c r="E349">
        <v>0</v>
      </c>
      <c r="I349" s="8">
        <v>13540</v>
      </c>
      <c r="J349">
        <v>0</v>
      </c>
      <c r="L349">
        <v>13541</v>
      </c>
      <c r="M349">
        <v>0</v>
      </c>
    </row>
    <row r="350" spans="1:13">
      <c r="A350">
        <v>13542</v>
      </c>
      <c r="B350">
        <v>1830197</v>
      </c>
      <c r="C350" s="5">
        <v>46054</v>
      </c>
      <c r="D350" t="s">
        <v>458</v>
      </c>
      <c r="E350">
        <v>0</v>
      </c>
      <c r="I350" s="8">
        <v>13541</v>
      </c>
      <c r="J350">
        <v>0</v>
      </c>
      <c r="L350">
        <v>13542</v>
      </c>
      <c r="M350">
        <v>0</v>
      </c>
    </row>
    <row r="351" spans="1:13">
      <c r="A351">
        <v>13837</v>
      </c>
      <c r="B351">
        <v>1830197</v>
      </c>
      <c r="C351" s="5">
        <v>46054</v>
      </c>
      <c r="D351" t="s">
        <v>458</v>
      </c>
      <c r="E351">
        <v>0</v>
      </c>
      <c r="I351" s="8">
        <v>13542</v>
      </c>
      <c r="J351">
        <v>0</v>
      </c>
      <c r="L351">
        <v>13837</v>
      </c>
      <c r="M351">
        <v>0</v>
      </c>
    </row>
    <row r="352" spans="1:13">
      <c r="A352">
        <v>13874</v>
      </c>
      <c r="B352">
        <v>1830197</v>
      </c>
      <c r="C352" s="5">
        <v>46054</v>
      </c>
      <c r="D352" t="s">
        <v>458</v>
      </c>
      <c r="E352">
        <v>0</v>
      </c>
      <c r="I352" s="8">
        <v>13837</v>
      </c>
      <c r="J352">
        <v>0</v>
      </c>
      <c r="L352">
        <v>13874</v>
      </c>
      <c r="M352">
        <v>0</v>
      </c>
    </row>
    <row r="353" spans="1:13">
      <c r="A353">
        <v>14069</v>
      </c>
      <c r="B353">
        <v>1830197</v>
      </c>
      <c r="C353" s="5">
        <v>46054</v>
      </c>
      <c r="D353" t="s">
        <v>458</v>
      </c>
      <c r="E353">
        <v>0</v>
      </c>
      <c r="I353" s="8">
        <v>13874</v>
      </c>
      <c r="J353">
        <v>0</v>
      </c>
      <c r="L353">
        <v>14069</v>
      </c>
      <c r="M353">
        <v>0</v>
      </c>
    </row>
    <row r="354" spans="1:13">
      <c r="A354">
        <v>14165</v>
      </c>
      <c r="B354">
        <v>1830197</v>
      </c>
      <c r="C354" s="5">
        <v>46054</v>
      </c>
      <c r="D354" t="s">
        <v>458</v>
      </c>
      <c r="E354">
        <v>68</v>
      </c>
      <c r="I354" s="8">
        <v>14069</v>
      </c>
      <c r="J354">
        <v>0</v>
      </c>
      <c r="L354">
        <v>14165</v>
      </c>
      <c r="M354">
        <v>627</v>
      </c>
    </row>
    <row r="355" spans="1:13">
      <c r="A355">
        <v>14186</v>
      </c>
      <c r="B355">
        <v>1830197</v>
      </c>
      <c r="C355" s="5">
        <v>46054</v>
      </c>
      <c r="D355" t="s">
        <v>458</v>
      </c>
      <c r="E355">
        <v>0</v>
      </c>
      <c r="I355" s="8">
        <v>14165</v>
      </c>
      <c r="J355">
        <v>627</v>
      </c>
      <c r="L355">
        <v>14186</v>
      </c>
      <c r="M355">
        <v>0</v>
      </c>
    </row>
    <row r="356" spans="1:13">
      <c r="A356">
        <v>14198</v>
      </c>
      <c r="B356">
        <v>1830197</v>
      </c>
      <c r="C356" s="5">
        <v>46054</v>
      </c>
      <c r="D356" t="s">
        <v>458</v>
      </c>
      <c r="E356">
        <v>0</v>
      </c>
      <c r="I356" s="8">
        <v>14186</v>
      </c>
      <c r="J356">
        <v>0</v>
      </c>
      <c r="L356">
        <v>14198</v>
      </c>
      <c r="M356">
        <v>23</v>
      </c>
    </row>
    <row r="357" spans="1:13">
      <c r="A357">
        <v>14265</v>
      </c>
      <c r="B357">
        <v>1830197</v>
      </c>
      <c r="C357" s="5">
        <v>46054</v>
      </c>
      <c r="D357" t="s">
        <v>458</v>
      </c>
      <c r="E357">
        <v>0</v>
      </c>
      <c r="I357" s="8">
        <v>14198</v>
      </c>
      <c r="J357">
        <v>23</v>
      </c>
      <c r="L357">
        <v>14265</v>
      </c>
      <c r="M357">
        <v>0</v>
      </c>
    </row>
    <row r="358" spans="1:13">
      <c r="A358">
        <v>14410</v>
      </c>
      <c r="B358">
        <v>1830197</v>
      </c>
      <c r="C358" s="5">
        <v>46054</v>
      </c>
      <c r="D358" t="s">
        <v>458</v>
      </c>
      <c r="E358">
        <v>0</v>
      </c>
      <c r="I358" s="8">
        <v>14265</v>
      </c>
      <c r="J358">
        <v>0</v>
      </c>
      <c r="L358">
        <v>14410</v>
      </c>
      <c r="M358">
        <v>0</v>
      </c>
    </row>
    <row r="359" spans="1:13">
      <c r="A359">
        <v>14430</v>
      </c>
      <c r="B359">
        <v>1830197</v>
      </c>
      <c r="C359" s="5">
        <v>46054</v>
      </c>
      <c r="D359" t="s">
        <v>458</v>
      </c>
      <c r="E359">
        <v>0.1</v>
      </c>
      <c r="I359" s="8">
        <v>14410</v>
      </c>
      <c r="J359">
        <v>0</v>
      </c>
      <c r="L359">
        <v>14430</v>
      </c>
      <c r="M359">
        <v>0.90000000000000013</v>
      </c>
    </row>
    <row r="360" spans="1:13">
      <c r="A360">
        <v>14540</v>
      </c>
      <c r="B360">
        <v>1830197</v>
      </c>
      <c r="C360" s="5">
        <v>46054</v>
      </c>
      <c r="D360" t="s">
        <v>458</v>
      </c>
      <c r="E360">
        <v>0</v>
      </c>
      <c r="I360" s="8">
        <v>14430</v>
      </c>
      <c r="J360">
        <v>0.90000000000000013</v>
      </c>
      <c r="L360">
        <v>14540</v>
      </c>
      <c r="M360">
        <v>0</v>
      </c>
    </row>
    <row r="361" spans="1:13">
      <c r="A361">
        <v>14587</v>
      </c>
      <c r="B361">
        <v>1830197</v>
      </c>
      <c r="C361" s="5">
        <v>46054</v>
      </c>
      <c r="D361" t="s">
        <v>458</v>
      </c>
      <c r="E361">
        <v>0</v>
      </c>
      <c r="I361" s="8">
        <v>14540</v>
      </c>
      <c r="J361">
        <v>0</v>
      </c>
      <c r="L361">
        <v>14587</v>
      </c>
      <c r="M361">
        <v>0</v>
      </c>
    </row>
    <row r="362" spans="1:13">
      <c r="A362">
        <v>14707</v>
      </c>
      <c r="B362">
        <v>1830197</v>
      </c>
      <c r="C362" s="5">
        <v>46054</v>
      </c>
      <c r="D362" t="s">
        <v>458</v>
      </c>
      <c r="E362">
        <v>0</v>
      </c>
      <c r="I362" s="8">
        <v>14587</v>
      </c>
      <c r="J362">
        <v>0</v>
      </c>
      <c r="L362">
        <v>14707</v>
      </c>
      <c r="M362">
        <v>0</v>
      </c>
    </row>
    <row r="363" spans="1:13">
      <c r="A363">
        <v>14752</v>
      </c>
      <c r="B363">
        <v>1830197</v>
      </c>
      <c r="C363" s="5">
        <v>46054</v>
      </c>
      <c r="D363" t="s">
        <v>458</v>
      </c>
      <c r="E363">
        <v>0</v>
      </c>
      <c r="I363" s="8">
        <v>14707</v>
      </c>
      <c r="J363">
        <v>0</v>
      </c>
      <c r="L363">
        <v>14752</v>
      </c>
      <c r="M363">
        <v>0</v>
      </c>
    </row>
    <row r="364" spans="1:13">
      <c r="A364">
        <v>14838</v>
      </c>
      <c r="B364">
        <v>1830197</v>
      </c>
      <c r="C364" s="5">
        <v>46054</v>
      </c>
      <c r="D364" t="s">
        <v>458</v>
      </c>
      <c r="E364">
        <v>0</v>
      </c>
      <c r="I364" s="8">
        <v>14752</v>
      </c>
      <c r="J364">
        <v>0</v>
      </c>
      <c r="L364">
        <v>14838</v>
      </c>
      <c r="M364">
        <v>0</v>
      </c>
    </row>
    <row r="365" spans="1:13">
      <c r="A365">
        <v>15065</v>
      </c>
      <c r="B365">
        <v>1830197</v>
      </c>
      <c r="C365" s="5">
        <v>46054</v>
      </c>
      <c r="D365" t="s">
        <v>458</v>
      </c>
      <c r="E365">
        <v>0</v>
      </c>
      <c r="I365" s="8">
        <v>14838</v>
      </c>
      <c r="J365">
        <v>0</v>
      </c>
      <c r="L365">
        <v>15065</v>
      </c>
      <c r="M365">
        <v>0</v>
      </c>
    </row>
    <row r="366" spans="1:13">
      <c r="A366">
        <v>15114</v>
      </c>
      <c r="B366">
        <v>1830197</v>
      </c>
      <c r="C366" s="5">
        <v>46054</v>
      </c>
      <c r="D366" t="s">
        <v>458</v>
      </c>
      <c r="E366">
        <v>0</v>
      </c>
      <c r="I366" s="8">
        <v>15065</v>
      </c>
      <c r="J366">
        <v>0</v>
      </c>
      <c r="L366">
        <v>15114</v>
      </c>
      <c r="M366">
        <v>0</v>
      </c>
    </row>
    <row r="367" spans="1:13">
      <c r="A367">
        <v>15196</v>
      </c>
      <c r="B367">
        <v>1830197</v>
      </c>
      <c r="C367" s="5">
        <v>46054</v>
      </c>
      <c r="D367" t="s">
        <v>458</v>
      </c>
      <c r="E367">
        <v>0</v>
      </c>
      <c r="I367" s="8">
        <v>15114</v>
      </c>
      <c r="J367">
        <v>0</v>
      </c>
      <c r="L367">
        <v>15196</v>
      </c>
      <c r="M367">
        <v>0</v>
      </c>
    </row>
    <row r="368" spans="1:13">
      <c r="A368">
        <v>15306</v>
      </c>
      <c r="B368">
        <v>1830197</v>
      </c>
      <c r="C368" s="5">
        <v>46054</v>
      </c>
      <c r="D368" t="s">
        <v>458</v>
      </c>
      <c r="E368">
        <v>0</v>
      </c>
      <c r="I368" s="8">
        <v>15196</v>
      </c>
      <c r="J368">
        <v>0</v>
      </c>
      <c r="L368">
        <v>15306</v>
      </c>
      <c r="M368">
        <v>0</v>
      </c>
    </row>
    <row r="369" spans="1:13">
      <c r="A369">
        <v>15339</v>
      </c>
      <c r="B369">
        <v>1830197</v>
      </c>
      <c r="C369" s="5">
        <v>46054</v>
      </c>
      <c r="D369" t="s">
        <v>458</v>
      </c>
      <c r="E369">
        <v>0</v>
      </c>
      <c r="I369" s="8">
        <v>15306</v>
      </c>
      <c r="J369">
        <v>0</v>
      </c>
      <c r="L369">
        <v>15339</v>
      </c>
      <c r="M369">
        <v>0</v>
      </c>
    </row>
    <row r="370" spans="1:13">
      <c r="A370">
        <v>15394</v>
      </c>
      <c r="B370">
        <v>1830197</v>
      </c>
      <c r="C370" s="5">
        <v>46054</v>
      </c>
      <c r="D370" t="s">
        <v>458</v>
      </c>
      <c r="E370">
        <v>0</v>
      </c>
      <c r="I370" s="8">
        <v>15339</v>
      </c>
      <c r="J370">
        <v>0</v>
      </c>
      <c r="L370">
        <v>15394</v>
      </c>
      <c r="M370">
        <v>0</v>
      </c>
    </row>
    <row r="371" spans="1:13">
      <c r="A371">
        <v>15395</v>
      </c>
      <c r="B371">
        <v>1830197</v>
      </c>
      <c r="C371" s="5">
        <v>46054</v>
      </c>
      <c r="D371" t="s">
        <v>458</v>
      </c>
      <c r="E371">
        <v>0</v>
      </c>
      <c r="I371" s="8">
        <v>15394</v>
      </c>
      <c r="J371">
        <v>0</v>
      </c>
      <c r="L371">
        <v>15395</v>
      </c>
      <c r="M371">
        <v>0</v>
      </c>
    </row>
    <row r="372" spans="1:13">
      <c r="A372">
        <v>15652</v>
      </c>
      <c r="B372">
        <v>1830197</v>
      </c>
      <c r="C372" s="5">
        <v>46054</v>
      </c>
      <c r="D372" t="s">
        <v>458</v>
      </c>
      <c r="E372">
        <v>0</v>
      </c>
      <c r="I372" s="8">
        <v>15395</v>
      </c>
      <c r="J372">
        <v>0</v>
      </c>
      <c r="L372">
        <v>15652</v>
      </c>
      <c r="M372">
        <v>0</v>
      </c>
    </row>
    <row r="373" spans="1:13">
      <c r="A373">
        <v>15653</v>
      </c>
      <c r="B373">
        <v>1830197</v>
      </c>
      <c r="C373" s="5">
        <v>46054</v>
      </c>
      <c r="D373" t="s">
        <v>458</v>
      </c>
      <c r="E373">
        <v>0</v>
      </c>
      <c r="I373" s="8">
        <v>15652</v>
      </c>
      <c r="J373">
        <v>0</v>
      </c>
      <c r="L373">
        <v>15653</v>
      </c>
      <c r="M373">
        <v>0</v>
      </c>
    </row>
    <row r="374" spans="1:13">
      <c r="A374">
        <v>15678</v>
      </c>
      <c r="B374">
        <v>1830197</v>
      </c>
      <c r="C374" s="5">
        <v>46054</v>
      </c>
      <c r="D374" t="s">
        <v>458</v>
      </c>
      <c r="E374">
        <v>42</v>
      </c>
      <c r="I374" s="8">
        <v>15653</v>
      </c>
      <c r="J374">
        <v>0</v>
      </c>
      <c r="L374">
        <v>15678</v>
      </c>
      <c r="M374">
        <v>251</v>
      </c>
    </row>
    <row r="375" spans="1:13">
      <c r="A375">
        <v>15825</v>
      </c>
      <c r="B375">
        <v>1830197</v>
      </c>
      <c r="C375" s="5">
        <v>46054</v>
      </c>
      <c r="D375" t="s">
        <v>458</v>
      </c>
      <c r="E375">
        <v>-1</v>
      </c>
      <c r="I375" s="8">
        <v>15678</v>
      </c>
      <c r="J375">
        <v>251</v>
      </c>
      <c r="L375">
        <v>15825</v>
      </c>
      <c r="M375">
        <v>27</v>
      </c>
    </row>
    <row r="376" spans="1:13">
      <c r="A376">
        <v>15982</v>
      </c>
      <c r="B376">
        <v>1830197</v>
      </c>
      <c r="C376" s="5">
        <v>46054</v>
      </c>
      <c r="D376" t="s">
        <v>458</v>
      </c>
      <c r="E376">
        <v>0.23</v>
      </c>
      <c r="I376" s="8">
        <v>15825</v>
      </c>
      <c r="J376">
        <v>27</v>
      </c>
      <c r="L376">
        <v>15982</v>
      </c>
      <c r="M376">
        <v>10</v>
      </c>
    </row>
    <row r="377" spans="1:13">
      <c r="A377">
        <v>16033</v>
      </c>
      <c r="B377">
        <v>1830197</v>
      </c>
      <c r="C377" s="5">
        <v>46054</v>
      </c>
      <c r="D377" t="s">
        <v>458</v>
      </c>
      <c r="E377">
        <v>0</v>
      </c>
      <c r="I377" s="8">
        <v>15982</v>
      </c>
      <c r="J377">
        <v>10</v>
      </c>
      <c r="L377">
        <v>16033</v>
      </c>
      <c r="M377">
        <v>0</v>
      </c>
    </row>
    <row r="378" spans="1:13">
      <c r="A378">
        <v>16045</v>
      </c>
      <c r="B378">
        <v>1830197</v>
      </c>
      <c r="C378" s="5">
        <v>46054</v>
      </c>
      <c r="D378" t="s">
        <v>458</v>
      </c>
      <c r="E378">
        <v>0</v>
      </c>
      <c r="I378" s="8">
        <v>16033</v>
      </c>
      <c r="J378">
        <v>0</v>
      </c>
      <c r="L378">
        <v>16045</v>
      </c>
      <c r="M378">
        <v>0</v>
      </c>
    </row>
    <row r="379" spans="1:13">
      <c r="A379">
        <v>16381</v>
      </c>
      <c r="B379">
        <v>1830197</v>
      </c>
      <c r="C379" s="5">
        <v>46054</v>
      </c>
      <c r="D379" t="s">
        <v>458</v>
      </c>
      <c r="E379">
        <v>0</v>
      </c>
      <c r="I379" s="8">
        <v>16045</v>
      </c>
      <c r="J379">
        <v>0</v>
      </c>
      <c r="L379">
        <v>16381</v>
      </c>
      <c r="M379">
        <v>0</v>
      </c>
    </row>
    <row r="380" spans="1:13">
      <c r="A380">
        <v>16387</v>
      </c>
      <c r="B380">
        <v>1830197</v>
      </c>
      <c r="C380" s="5">
        <v>46054</v>
      </c>
      <c r="D380" t="s">
        <v>458</v>
      </c>
      <c r="E380">
        <v>6</v>
      </c>
      <c r="I380" s="8">
        <v>16381</v>
      </c>
      <c r="J380">
        <v>0</v>
      </c>
      <c r="L380">
        <v>16387</v>
      </c>
      <c r="M380">
        <v>40</v>
      </c>
    </row>
    <row r="381" spans="1:13">
      <c r="A381">
        <v>16564</v>
      </c>
      <c r="B381">
        <v>1830197</v>
      </c>
      <c r="C381" s="5">
        <v>46054</v>
      </c>
      <c r="D381" t="s">
        <v>458</v>
      </c>
      <c r="E381">
        <v>0</v>
      </c>
      <c r="I381" s="8">
        <v>16387</v>
      </c>
      <c r="J381">
        <v>40</v>
      </c>
      <c r="L381">
        <v>16564</v>
      </c>
      <c r="M381">
        <v>0</v>
      </c>
    </row>
    <row r="382" spans="1:13">
      <c r="A382">
        <v>16565</v>
      </c>
      <c r="B382">
        <v>1830197</v>
      </c>
      <c r="C382" s="5">
        <v>46054</v>
      </c>
      <c r="D382" t="s">
        <v>458</v>
      </c>
      <c r="E382">
        <v>0</v>
      </c>
      <c r="I382" s="8">
        <v>16564</v>
      </c>
      <c r="J382">
        <v>0</v>
      </c>
      <c r="L382">
        <v>16565</v>
      </c>
      <c r="M382">
        <v>0</v>
      </c>
    </row>
    <row r="383" spans="1:13">
      <c r="A383">
        <v>16569</v>
      </c>
      <c r="B383">
        <v>1830197</v>
      </c>
      <c r="C383" s="5">
        <v>46054</v>
      </c>
      <c r="D383" t="s">
        <v>458</v>
      </c>
      <c r="E383">
        <v>0</v>
      </c>
      <c r="I383" s="8">
        <v>16565</v>
      </c>
      <c r="J383">
        <v>0</v>
      </c>
      <c r="L383">
        <v>16569</v>
      </c>
      <c r="M383">
        <v>0</v>
      </c>
    </row>
    <row r="384" spans="1:13">
      <c r="A384">
        <v>17091</v>
      </c>
      <c r="B384">
        <v>1830197</v>
      </c>
      <c r="C384" s="5">
        <v>46054</v>
      </c>
      <c r="D384" t="s">
        <v>458</v>
      </c>
      <c r="E384">
        <v>0</v>
      </c>
      <c r="I384" s="8">
        <v>16569</v>
      </c>
      <c r="J384">
        <v>0</v>
      </c>
      <c r="L384">
        <v>17091</v>
      </c>
      <c r="M384">
        <v>0</v>
      </c>
    </row>
    <row r="385" spans="1:13">
      <c r="A385">
        <v>17113</v>
      </c>
      <c r="B385">
        <v>1830197</v>
      </c>
      <c r="C385" s="5">
        <v>46054</v>
      </c>
      <c r="D385" t="s">
        <v>458</v>
      </c>
      <c r="E385">
        <v>0</v>
      </c>
      <c r="I385" s="8">
        <v>17091</v>
      </c>
      <c r="J385">
        <v>0</v>
      </c>
      <c r="L385">
        <v>17113</v>
      </c>
      <c r="M385">
        <v>0</v>
      </c>
    </row>
    <row r="386" spans="1:13">
      <c r="A386">
        <v>17362</v>
      </c>
      <c r="B386">
        <v>1830197</v>
      </c>
      <c r="C386" s="5">
        <v>46054</v>
      </c>
      <c r="D386" t="s">
        <v>458</v>
      </c>
      <c r="E386">
        <v>0</v>
      </c>
      <c r="I386" s="8">
        <v>17113</v>
      </c>
      <c r="J386">
        <v>0</v>
      </c>
      <c r="L386">
        <v>17362</v>
      </c>
      <c r="M386">
        <v>0</v>
      </c>
    </row>
    <row r="387" spans="1:13">
      <c r="A387">
        <v>17363</v>
      </c>
      <c r="B387">
        <v>1830197</v>
      </c>
      <c r="C387" s="5">
        <v>46054</v>
      </c>
      <c r="D387" t="s">
        <v>458</v>
      </c>
      <c r="E387">
        <v>0</v>
      </c>
      <c r="I387" s="8">
        <v>17362</v>
      </c>
      <c r="J387">
        <v>0</v>
      </c>
      <c r="L387">
        <v>17363</v>
      </c>
      <c r="M387">
        <v>0</v>
      </c>
    </row>
    <row r="388" spans="1:13">
      <c r="A388">
        <v>17383</v>
      </c>
      <c r="B388">
        <v>1830197</v>
      </c>
      <c r="C388" s="5">
        <v>46054</v>
      </c>
      <c r="D388" t="s">
        <v>458</v>
      </c>
      <c r="E388">
        <v>0</v>
      </c>
      <c r="I388" s="8">
        <v>17363</v>
      </c>
      <c r="J388">
        <v>0</v>
      </c>
      <c r="L388">
        <v>17383</v>
      </c>
      <c r="M388">
        <v>0</v>
      </c>
    </row>
    <row r="389" spans="1:13">
      <c r="A389">
        <v>17384</v>
      </c>
      <c r="B389">
        <v>1830197</v>
      </c>
      <c r="C389" s="5">
        <v>46054</v>
      </c>
      <c r="D389" t="s">
        <v>458</v>
      </c>
      <c r="E389">
        <v>0</v>
      </c>
      <c r="I389" s="8">
        <v>17383</v>
      </c>
      <c r="J389">
        <v>0</v>
      </c>
      <c r="L389">
        <v>17384</v>
      </c>
      <c r="M389">
        <v>0</v>
      </c>
    </row>
    <row r="390" spans="1:13">
      <c r="A390">
        <v>17385</v>
      </c>
      <c r="B390">
        <v>1830197</v>
      </c>
      <c r="C390" s="5">
        <v>46054</v>
      </c>
      <c r="D390" t="s">
        <v>458</v>
      </c>
      <c r="E390">
        <v>0</v>
      </c>
      <c r="I390" s="8">
        <v>17384</v>
      </c>
      <c r="J390">
        <v>0</v>
      </c>
      <c r="L390">
        <v>17385</v>
      </c>
      <c r="M390">
        <v>3</v>
      </c>
    </row>
    <row r="391" spans="1:13">
      <c r="A391">
        <v>17482</v>
      </c>
      <c r="B391">
        <v>1830197</v>
      </c>
      <c r="C391" s="5">
        <v>46054</v>
      </c>
      <c r="D391" t="s">
        <v>458</v>
      </c>
      <c r="E391">
        <v>0</v>
      </c>
      <c r="I391" s="8">
        <v>17385</v>
      </c>
      <c r="J391">
        <v>3</v>
      </c>
      <c r="L391">
        <v>17482</v>
      </c>
      <c r="M391">
        <v>0</v>
      </c>
    </row>
    <row r="392" spans="1:13">
      <c r="A392">
        <v>17515</v>
      </c>
      <c r="B392">
        <v>1830197</v>
      </c>
      <c r="C392" s="5">
        <v>46054</v>
      </c>
      <c r="D392" t="s">
        <v>458</v>
      </c>
      <c r="E392">
        <v>4</v>
      </c>
      <c r="I392" s="8">
        <v>17482</v>
      </c>
      <c r="J392">
        <v>0</v>
      </c>
      <c r="L392">
        <v>17515</v>
      </c>
      <c r="M392">
        <v>24</v>
      </c>
    </row>
    <row r="393" spans="1:13">
      <c r="A393">
        <v>17581</v>
      </c>
      <c r="B393">
        <v>1830197</v>
      </c>
      <c r="C393" s="5">
        <v>46054</v>
      </c>
      <c r="D393" t="s">
        <v>458</v>
      </c>
      <c r="E393">
        <v>43</v>
      </c>
      <c r="I393" s="8">
        <v>17515</v>
      </c>
      <c r="J393">
        <v>24</v>
      </c>
      <c r="L393">
        <v>17581</v>
      </c>
      <c r="M393">
        <v>453</v>
      </c>
    </row>
    <row r="394" spans="1:13">
      <c r="A394">
        <v>17588</v>
      </c>
      <c r="B394">
        <v>1830197</v>
      </c>
      <c r="C394" s="5">
        <v>46054</v>
      </c>
      <c r="D394" t="s">
        <v>458</v>
      </c>
      <c r="E394">
        <v>0</v>
      </c>
      <c r="I394" s="8">
        <v>17581</v>
      </c>
      <c r="J394">
        <v>453</v>
      </c>
      <c r="L394">
        <v>17588</v>
      </c>
      <c r="M394">
        <v>0</v>
      </c>
    </row>
    <row r="395" spans="1:13">
      <c r="A395">
        <v>17639</v>
      </c>
      <c r="B395">
        <v>1830197</v>
      </c>
      <c r="C395" s="5">
        <v>46054</v>
      </c>
      <c r="D395" t="s">
        <v>458</v>
      </c>
      <c r="E395">
        <v>0</v>
      </c>
      <c r="I395" s="8">
        <v>17588</v>
      </c>
      <c r="J395">
        <v>0</v>
      </c>
      <c r="L395">
        <v>17639</v>
      </c>
      <c r="M395">
        <v>0</v>
      </c>
    </row>
    <row r="396" spans="1:13">
      <c r="A396">
        <v>17771</v>
      </c>
      <c r="B396">
        <v>1830197</v>
      </c>
      <c r="C396" s="5">
        <v>46054</v>
      </c>
      <c r="D396" t="s">
        <v>458</v>
      </c>
      <c r="E396">
        <v>0</v>
      </c>
      <c r="I396" s="8">
        <v>17639</v>
      </c>
      <c r="J396">
        <v>0</v>
      </c>
      <c r="L396">
        <v>17771</v>
      </c>
      <c r="M396">
        <v>0.2</v>
      </c>
    </row>
    <row r="397" spans="1:13">
      <c r="A397">
        <v>17774</v>
      </c>
      <c r="B397">
        <v>1830197</v>
      </c>
      <c r="C397" s="5">
        <v>46054</v>
      </c>
      <c r="D397" t="s">
        <v>458</v>
      </c>
      <c r="E397">
        <v>0</v>
      </c>
      <c r="I397" s="8">
        <v>17771</v>
      </c>
      <c r="J397">
        <v>0.2</v>
      </c>
      <c r="L397">
        <v>17774</v>
      </c>
      <c r="M397">
        <v>0</v>
      </c>
    </row>
    <row r="398" spans="1:13">
      <c r="A398">
        <v>17775</v>
      </c>
      <c r="B398">
        <v>1830197</v>
      </c>
      <c r="C398" s="5">
        <v>46054</v>
      </c>
      <c r="D398" t="s">
        <v>458</v>
      </c>
      <c r="E398">
        <v>0</v>
      </c>
      <c r="I398" s="8">
        <v>17774</v>
      </c>
      <c r="J398">
        <v>0</v>
      </c>
      <c r="L398">
        <v>17775</v>
      </c>
      <c r="M398">
        <v>0</v>
      </c>
    </row>
    <row r="399" spans="1:13">
      <c r="A399">
        <v>17849</v>
      </c>
      <c r="B399">
        <v>1830197</v>
      </c>
      <c r="C399" s="5">
        <v>46054</v>
      </c>
      <c r="D399" t="s">
        <v>458</v>
      </c>
      <c r="E399">
        <v>0</v>
      </c>
      <c r="I399" s="8">
        <v>17775</v>
      </c>
      <c r="J399">
        <v>0</v>
      </c>
      <c r="L399">
        <v>17849</v>
      </c>
      <c r="M399">
        <v>0</v>
      </c>
    </row>
    <row r="400" spans="1:13">
      <c r="A400">
        <v>17947</v>
      </c>
      <c r="B400">
        <v>1830197</v>
      </c>
      <c r="C400" s="5">
        <v>46054</v>
      </c>
      <c r="D400" t="s">
        <v>458</v>
      </c>
      <c r="E400">
        <v>0</v>
      </c>
      <c r="I400" s="8">
        <v>17849</v>
      </c>
      <c r="J400">
        <v>0</v>
      </c>
      <c r="L400">
        <v>17947</v>
      </c>
      <c r="M400">
        <v>0</v>
      </c>
    </row>
    <row r="401" spans="1:13">
      <c r="A401">
        <v>18087</v>
      </c>
      <c r="B401">
        <v>1830197</v>
      </c>
      <c r="C401" s="5">
        <v>46054</v>
      </c>
      <c r="D401" t="s">
        <v>458</v>
      </c>
      <c r="E401">
        <v>0</v>
      </c>
      <c r="I401" s="8">
        <v>17947</v>
      </c>
      <c r="J401">
        <v>0</v>
      </c>
      <c r="L401">
        <v>18087</v>
      </c>
      <c r="M401">
        <v>0</v>
      </c>
    </row>
    <row r="402" spans="1:13">
      <c r="A402">
        <v>18088</v>
      </c>
      <c r="B402">
        <v>1830197</v>
      </c>
      <c r="C402" s="5">
        <v>46054</v>
      </c>
      <c r="D402" t="s">
        <v>458</v>
      </c>
      <c r="E402">
        <v>0</v>
      </c>
      <c r="I402" s="8">
        <v>18087</v>
      </c>
      <c r="J402">
        <v>0</v>
      </c>
      <c r="L402">
        <v>18088</v>
      </c>
      <c r="M402">
        <v>0</v>
      </c>
    </row>
    <row r="403" spans="1:13">
      <c r="A403">
        <v>18161</v>
      </c>
      <c r="B403">
        <v>1830197</v>
      </c>
      <c r="C403" s="5">
        <v>46054</v>
      </c>
      <c r="D403" t="s">
        <v>458</v>
      </c>
      <c r="E403">
        <v>0</v>
      </c>
      <c r="I403" s="8">
        <v>18088</v>
      </c>
      <c r="J403">
        <v>0</v>
      </c>
      <c r="L403">
        <v>18161</v>
      </c>
      <c r="M403">
        <v>0</v>
      </c>
    </row>
    <row r="404" spans="1:13">
      <c r="A404">
        <v>18229</v>
      </c>
      <c r="B404">
        <v>1830197</v>
      </c>
      <c r="C404" s="5">
        <v>46054</v>
      </c>
      <c r="D404" t="s">
        <v>458</v>
      </c>
      <c r="E404">
        <v>0</v>
      </c>
      <c r="I404" s="8">
        <v>18161</v>
      </c>
      <c r="J404">
        <v>0</v>
      </c>
      <c r="L404">
        <v>18229</v>
      </c>
      <c r="M404">
        <v>0</v>
      </c>
    </row>
    <row r="405" spans="1:13">
      <c r="A405">
        <v>18309</v>
      </c>
      <c r="B405">
        <v>1830197</v>
      </c>
      <c r="C405" s="5">
        <v>46054</v>
      </c>
      <c r="D405" t="s">
        <v>458</v>
      </c>
      <c r="E405">
        <v>0</v>
      </c>
      <c r="I405" s="8">
        <v>18229</v>
      </c>
      <c r="J405">
        <v>0</v>
      </c>
      <c r="L405">
        <v>18309</v>
      </c>
      <c r="M405">
        <v>0</v>
      </c>
    </row>
    <row r="406" spans="1:13">
      <c r="A406">
        <v>18310</v>
      </c>
      <c r="B406">
        <v>1830197</v>
      </c>
      <c r="C406" s="5">
        <v>46054</v>
      </c>
      <c r="D406" t="s">
        <v>458</v>
      </c>
      <c r="E406">
        <v>0</v>
      </c>
      <c r="I406" s="8">
        <v>18309</v>
      </c>
      <c r="J406">
        <v>0</v>
      </c>
      <c r="L406">
        <v>18310</v>
      </c>
      <c r="M406">
        <v>0</v>
      </c>
    </row>
    <row r="407" spans="1:13">
      <c r="A407">
        <v>18342</v>
      </c>
      <c r="B407">
        <v>1830197</v>
      </c>
      <c r="C407" s="5">
        <v>46054</v>
      </c>
      <c r="D407" t="s">
        <v>458</v>
      </c>
      <c r="E407">
        <v>28</v>
      </c>
      <c r="I407" s="8">
        <v>18310</v>
      </c>
      <c r="J407">
        <v>0</v>
      </c>
      <c r="L407">
        <v>18342</v>
      </c>
      <c r="M407">
        <v>311</v>
      </c>
    </row>
    <row r="408" spans="1:13">
      <c r="A408">
        <v>18471</v>
      </c>
      <c r="B408">
        <v>1830197</v>
      </c>
      <c r="C408" s="5">
        <v>46054</v>
      </c>
      <c r="D408" t="s">
        <v>458</v>
      </c>
      <c r="E408">
        <v>0</v>
      </c>
      <c r="I408" s="8">
        <v>18342</v>
      </c>
      <c r="J408">
        <v>311</v>
      </c>
      <c r="L408">
        <v>18471</v>
      </c>
      <c r="M408">
        <v>0</v>
      </c>
    </row>
    <row r="409" spans="1:13">
      <c r="A409">
        <v>18472</v>
      </c>
      <c r="B409">
        <v>1830197</v>
      </c>
      <c r="C409" s="5">
        <v>46054</v>
      </c>
      <c r="D409" t="s">
        <v>458</v>
      </c>
      <c r="E409">
        <v>0</v>
      </c>
      <c r="I409" s="8">
        <v>18471</v>
      </c>
      <c r="J409">
        <v>0</v>
      </c>
      <c r="L409">
        <v>18472</v>
      </c>
      <c r="M409">
        <v>0</v>
      </c>
    </row>
    <row r="410" spans="1:13">
      <c r="A410">
        <v>18626</v>
      </c>
      <c r="B410">
        <v>1830197</v>
      </c>
      <c r="C410" s="5">
        <v>46054</v>
      </c>
      <c r="D410" t="s">
        <v>458</v>
      </c>
      <c r="E410">
        <v>0</v>
      </c>
      <c r="I410" s="8">
        <v>18472</v>
      </c>
      <c r="J410">
        <v>0</v>
      </c>
      <c r="L410">
        <v>18626</v>
      </c>
      <c r="M410">
        <v>0</v>
      </c>
    </row>
    <row r="411" spans="1:13">
      <c r="A411">
        <v>18640</v>
      </c>
      <c r="B411">
        <v>1830197</v>
      </c>
      <c r="C411" s="5">
        <v>46054</v>
      </c>
      <c r="D411" t="s">
        <v>458</v>
      </c>
      <c r="E411">
        <v>0</v>
      </c>
      <c r="I411" s="8">
        <v>18626</v>
      </c>
      <c r="J411">
        <v>0</v>
      </c>
      <c r="L411">
        <v>18640</v>
      </c>
      <c r="M411">
        <v>0</v>
      </c>
    </row>
    <row r="412" spans="1:13">
      <c r="A412">
        <v>18649</v>
      </c>
      <c r="B412">
        <v>1830197</v>
      </c>
      <c r="C412" s="5">
        <v>46054</v>
      </c>
      <c r="D412" t="s">
        <v>458</v>
      </c>
      <c r="E412">
        <v>42</v>
      </c>
      <c r="I412" s="8">
        <v>18640</v>
      </c>
      <c r="J412">
        <v>0</v>
      </c>
      <c r="L412">
        <v>18649</v>
      </c>
      <c r="M412">
        <v>262</v>
      </c>
    </row>
    <row r="413" spans="1:13">
      <c r="A413">
        <v>19050</v>
      </c>
      <c r="B413">
        <v>1830197</v>
      </c>
      <c r="C413" s="5">
        <v>46054</v>
      </c>
      <c r="D413" t="s">
        <v>458</v>
      </c>
      <c r="E413">
        <v>0</v>
      </c>
      <c r="I413" s="8">
        <v>18649</v>
      </c>
      <c r="J413">
        <v>262</v>
      </c>
      <c r="L413">
        <v>19050</v>
      </c>
      <c r="M413">
        <v>2</v>
      </c>
    </row>
    <row r="414" spans="1:13">
      <c r="A414">
        <v>19051</v>
      </c>
      <c r="B414">
        <v>1830197</v>
      </c>
      <c r="C414" s="5">
        <v>46054</v>
      </c>
      <c r="D414" t="s">
        <v>458</v>
      </c>
      <c r="E414">
        <v>0</v>
      </c>
      <c r="I414" s="8">
        <v>19050</v>
      </c>
      <c r="J414">
        <v>2</v>
      </c>
      <c r="L414">
        <v>19051</v>
      </c>
      <c r="M414">
        <v>0</v>
      </c>
    </row>
    <row r="415" spans="1:13">
      <c r="A415">
        <v>19060</v>
      </c>
      <c r="B415">
        <v>1830197</v>
      </c>
      <c r="C415" s="5">
        <v>46054</v>
      </c>
      <c r="D415" t="s">
        <v>458</v>
      </c>
      <c r="E415">
        <v>0</v>
      </c>
      <c r="I415" s="8">
        <v>19051</v>
      </c>
      <c r="J415">
        <v>0</v>
      </c>
      <c r="L415">
        <v>19060</v>
      </c>
      <c r="M415">
        <v>0</v>
      </c>
    </row>
    <row r="416" spans="1:13">
      <c r="A416">
        <v>19235</v>
      </c>
      <c r="B416">
        <v>1830197</v>
      </c>
      <c r="C416" s="5">
        <v>46054</v>
      </c>
      <c r="D416" t="s">
        <v>458</v>
      </c>
      <c r="E416">
        <v>0</v>
      </c>
      <c r="I416" s="8">
        <v>19060</v>
      </c>
      <c r="J416">
        <v>0</v>
      </c>
      <c r="L416">
        <v>19235</v>
      </c>
      <c r="M416">
        <v>0</v>
      </c>
    </row>
    <row r="417" spans="1:13">
      <c r="A417">
        <v>19236</v>
      </c>
      <c r="B417">
        <v>1830197</v>
      </c>
      <c r="C417" s="5">
        <v>46054</v>
      </c>
      <c r="D417" t="s">
        <v>458</v>
      </c>
      <c r="E417">
        <v>0</v>
      </c>
      <c r="I417" s="8">
        <v>19235</v>
      </c>
      <c r="J417">
        <v>0</v>
      </c>
      <c r="L417">
        <v>19236</v>
      </c>
      <c r="M417">
        <v>0</v>
      </c>
    </row>
    <row r="418" spans="1:13">
      <c r="A418">
        <v>19346</v>
      </c>
      <c r="B418">
        <v>1830197</v>
      </c>
      <c r="C418" s="5">
        <v>46054</v>
      </c>
      <c r="D418" t="s">
        <v>458</v>
      </c>
      <c r="E418">
        <v>0</v>
      </c>
      <c r="I418" s="8">
        <v>19236</v>
      </c>
      <c r="J418">
        <v>0</v>
      </c>
      <c r="L418">
        <v>19346</v>
      </c>
      <c r="M418">
        <v>0</v>
      </c>
    </row>
    <row r="419" spans="1:13">
      <c r="A419">
        <v>19500</v>
      </c>
      <c r="B419">
        <v>1830197</v>
      </c>
      <c r="C419" s="5">
        <v>46054</v>
      </c>
      <c r="D419" t="s">
        <v>458</v>
      </c>
      <c r="E419">
        <v>0</v>
      </c>
      <c r="I419" s="8">
        <v>19346</v>
      </c>
      <c r="J419">
        <v>0</v>
      </c>
      <c r="L419">
        <v>19500</v>
      </c>
      <c r="M419">
        <v>0</v>
      </c>
    </row>
    <row r="420" spans="1:13">
      <c r="A420">
        <v>19541</v>
      </c>
      <c r="B420">
        <v>1830197</v>
      </c>
      <c r="C420" s="5">
        <v>46054</v>
      </c>
      <c r="D420" t="s">
        <v>458</v>
      </c>
      <c r="E420">
        <v>0</v>
      </c>
      <c r="I420" s="8">
        <v>19500</v>
      </c>
      <c r="J420">
        <v>0</v>
      </c>
      <c r="L420">
        <v>19541</v>
      </c>
      <c r="M420">
        <v>0</v>
      </c>
    </row>
    <row r="421" spans="1:13">
      <c r="A421">
        <v>19670</v>
      </c>
      <c r="B421">
        <v>1830197</v>
      </c>
      <c r="C421" s="5">
        <v>46054</v>
      </c>
      <c r="D421" t="s">
        <v>458</v>
      </c>
      <c r="E421">
        <v>0</v>
      </c>
      <c r="I421" s="8">
        <v>19541</v>
      </c>
      <c r="J421">
        <v>0</v>
      </c>
      <c r="L421">
        <v>19670</v>
      </c>
      <c r="M421">
        <v>0</v>
      </c>
    </row>
    <row r="422" spans="1:13">
      <c r="A422">
        <v>19701</v>
      </c>
      <c r="B422">
        <v>1830197</v>
      </c>
      <c r="C422" s="5">
        <v>46054</v>
      </c>
      <c r="D422" t="s">
        <v>458</v>
      </c>
      <c r="E422">
        <v>0</v>
      </c>
      <c r="I422" s="8">
        <v>19670</v>
      </c>
      <c r="J422">
        <v>0</v>
      </c>
      <c r="L422">
        <v>19701</v>
      </c>
      <c r="M422">
        <v>0</v>
      </c>
    </row>
    <row r="423" spans="1:13">
      <c r="A423">
        <v>20091</v>
      </c>
      <c r="B423">
        <v>1830197</v>
      </c>
      <c r="C423" s="5">
        <v>46054</v>
      </c>
      <c r="D423" t="s">
        <v>458</v>
      </c>
      <c r="E423">
        <v>0.3</v>
      </c>
      <c r="I423" s="8">
        <v>19701</v>
      </c>
      <c r="J423">
        <v>0</v>
      </c>
      <c r="L423">
        <v>20091</v>
      </c>
      <c r="M423">
        <v>4</v>
      </c>
    </row>
    <row r="424" spans="1:13">
      <c r="A424">
        <v>20096</v>
      </c>
      <c r="B424">
        <v>1830197</v>
      </c>
      <c r="C424" s="5">
        <v>46054</v>
      </c>
      <c r="D424" t="s">
        <v>458</v>
      </c>
      <c r="E424">
        <v>0</v>
      </c>
      <c r="I424" s="8">
        <v>20091</v>
      </c>
      <c r="J424">
        <v>4</v>
      </c>
      <c r="L424">
        <v>20096</v>
      </c>
      <c r="M424">
        <v>-5</v>
      </c>
    </row>
    <row r="425" spans="1:13">
      <c r="A425">
        <v>20124</v>
      </c>
      <c r="B425">
        <v>1830197</v>
      </c>
      <c r="C425" s="5">
        <v>46054</v>
      </c>
      <c r="D425" t="s">
        <v>458</v>
      </c>
      <c r="E425">
        <v>13</v>
      </c>
      <c r="I425" s="8">
        <v>20096</v>
      </c>
      <c r="J425">
        <v>-5</v>
      </c>
      <c r="L425">
        <v>20124</v>
      </c>
      <c r="M425">
        <v>97</v>
      </c>
    </row>
    <row r="426" spans="1:13">
      <c r="A426">
        <v>20245</v>
      </c>
      <c r="B426">
        <v>1830197</v>
      </c>
      <c r="C426" s="5">
        <v>46054</v>
      </c>
      <c r="D426" t="s">
        <v>458</v>
      </c>
      <c r="E426">
        <v>0</v>
      </c>
      <c r="I426" s="8">
        <v>20124</v>
      </c>
      <c r="J426">
        <v>97</v>
      </c>
      <c r="L426">
        <v>20245</v>
      </c>
      <c r="M426">
        <v>0</v>
      </c>
    </row>
    <row r="427" spans="1:13">
      <c r="A427">
        <v>22061</v>
      </c>
      <c r="B427">
        <v>1830197</v>
      </c>
      <c r="C427" s="5">
        <v>46054</v>
      </c>
      <c r="D427" t="s">
        <v>458</v>
      </c>
      <c r="E427">
        <v>0</v>
      </c>
      <c r="I427" s="8">
        <v>20245</v>
      </c>
      <c r="J427">
        <v>0</v>
      </c>
      <c r="L427">
        <v>22061</v>
      </c>
      <c r="M427">
        <v>0</v>
      </c>
    </row>
    <row r="428" spans="1:13">
      <c r="A428">
        <v>22070</v>
      </c>
      <c r="B428">
        <v>1830197</v>
      </c>
      <c r="C428" s="5">
        <v>46054</v>
      </c>
      <c r="D428" t="s">
        <v>458</v>
      </c>
      <c r="E428">
        <v>0</v>
      </c>
      <c r="I428" s="8">
        <v>22061</v>
      </c>
      <c r="J428">
        <v>0</v>
      </c>
      <c r="L428">
        <v>22070</v>
      </c>
      <c r="M428">
        <v>0</v>
      </c>
    </row>
    <row r="429" spans="1:13">
      <c r="A429">
        <v>22388</v>
      </c>
      <c r="B429">
        <v>1830197</v>
      </c>
      <c r="C429" s="5">
        <v>46054</v>
      </c>
      <c r="D429" t="s">
        <v>458</v>
      </c>
      <c r="E429">
        <v>8</v>
      </c>
      <c r="I429" s="8">
        <v>22070</v>
      </c>
      <c r="J429">
        <v>0</v>
      </c>
      <c r="L429">
        <v>22388</v>
      </c>
      <c r="M429">
        <v>132</v>
      </c>
    </row>
    <row r="430" spans="1:13">
      <c r="A430">
        <v>23991</v>
      </c>
      <c r="B430">
        <v>1830197</v>
      </c>
      <c r="C430" s="5">
        <v>46054</v>
      </c>
      <c r="D430" t="s">
        <v>458</v>
      </c>
      <c r="E430">
        <v>1.1399999999999999</v>
      </c>
      <c r="I430" s="8">
        <v>22388</v>
      </c>
      <c r="J430">
        <v>132</v>
      </c>
      <c r="L430">
        <v>23991</v>
      </c>
      <c r="M430">
        <v>5.1100000000000003</v>
      </c>
    </row>
    <row r="431" spans="1:13">
      <c r="A431">
        <v>24276</v>
      </c>
      <c r="B431">
        <v>1830197</v>
      </c>
      <c r="C431" s="5">
        <v>46054</v>
      </c>
      <c r="D431" t="s">
        <v>458</v>
      </c>
      <c r="E431">
        <v>0</v>
      </c>
      <c r="I431" s="8">
        <v>23991</v>
      </c>
      <c r="J431">
        <v>5.1100000000000003</v>
      </c>
      <c r="L431">
        <v>24276</v>
      </c>
      <c r="M431">
        <v>0</v>
      </c>
    </row>
    <row r="432" spans="1:13">
      <c r="A432">
        <v>24737</v>
      </c>
      <c r="B432">
        <v>1830197</v>
      </c>
      <c r="C432" s="5">
        <v>46054</v>
      </c>
      <c r="D432" t="s">
        <v>458</v>
      </c>
      <c r="E432">
        <v>0</v>
      </c>
      <c r="I432" s="8">
        <v>24276</v>
      </c>
      <c r="J432">
        <v>0</v>
      </c>
      <c r="L432">
        <v>24737</v>
      </c>
      <c r="M432">
        <v>0</v>
      </c>
    </row>
    <row r="433" spans="1:13">
      <c r="A433">
        <v>24738</v>
      </c>
      <c r="B433">
        <v>1830197</v>
      </c>
      <c r="C433" s="5">
        <v>46054</v>
      </c>
      <c r="D433" t="s">
        <v>458</v>
      </c>
      <c r="E433">
        <v>0</v>
      </c>
      <c r="I433" s="8">
        <v>24737</v>
      </c>
      <c r="J433">
        <v>0</v>
      </c>
      <c r="L433">
        <v>24738</v>
      </c>
      <c r="M433">
        <v>0</v>
      </c>
    </row>
    <row r="434" spans="1:13">
      <c r="A434">
        <v>30139</v>
      </c>
      <c r="B434">
        <v>1830197</v>
      </c>
      <c r="C434" s="5">
        <v>46054</v>
      </c>
      <c r="D434" t="s">
        <v>458</v>
      </c>
      <c r="E434">
        <v>1</v>
      </c>
      <c r="I434" s="8">
        <v>24738</v>
      </c>
      <c r="J434">
        <v>0</v>
      </c>
      <c r="L434">
        <v>30139</v>
      </c>
      <c r="M434">
        <v>12</v>
      </c>
    </row>
    <row r="435" spans="1:13">
      <c r="A435">
        <v>30140</v>
      </c>
      <c r="B435">
        <v>1830197</v>
      </c>
      <c r="C435" s="5">
        <v>46054</v>
      </c>
      <c r="D435" t="s">
        <v>458</v>
      </c>
      <c r="E435">
        <v>0</v>
      </c>
      <c r="I435" s="8">
        <v>30139</v>
      </c>
      <c r="J435">
        <v>12</v>
      </c>
      <c r="L435">
        <v>30140</v>
      </c>
      <c r="M435">
        <v>10</v>
      </c>
    </row>
    <row r="436" spans="1:13">
      <c r="A436">
        <v>30154</v>
      </c>
      <c r="B436">
        <v>1830197</v>
      </c>
      <c r="C436" s="5">
        <v>46054</v>
      </c>
      <c r="D436" t="s">
        <v>458</v>
      </c>
      <c r="E436">
        <v>0.1</v>
      </c>
      <c r="I436" s="8">
        <v>30140</v>
      </c>
      <c r="J436">
        <v>10</v>
      </c>
      <c r="L436">
        <v>30154</v>
      </c>
      <c r="M436">
        <v>2</v>
      </c>
    </row>
    <row r="437" spans="1:13">
      <c r="A437">
        <v>34120</v>
      </c>
      <c r="B437">
        <v>1830197</v>
      </c>
      <c r="C437" s="5">
        <v>46054</v>
      </c>
      <c r="D437" t="s">
        <v>458</v>
      </c>
      <c r="E437">
        <v>0</v>
      </c>
      <c r="I437" s="8">
        <v>30154</v>
      </c>
      <c r="J437">
        <v>2</v>
      </c>
      <c r="L437">
        <v>34120</v>
      </c>
      <c r="M437">
        <v>0</v>
      </c>
    </row>
    <row r="438" spans="1:13">
      <c r="A438">
        <v>36055</v>
      </c>
      <c r="B438">
        <v>1830197</v>
      </c>
      <c r="C438" s="5">
        <v>46054</v>
      </c>
      <c r="D438" t="s">
        <v>458</v>
      </c>
      <c r="E438">
        <v>0</v>
      </c>
      <c r="I438" s="8">
        <v>34120</v>
      </c>
      <c r="J438">
        <v>0</v>
      </c>
      <c r="L438">
        <v>36055</v>
      </c>
      <c r="M438">
        <v>0</v>
      </c>
    </row>
    <row r="439" spans="1:13">
      <c r="A439">
        <v>36061</v>
      </c>
      <c r="B439">
        <v>1830197</v>
      </c>
      <c r="C439" s="5">
        <v>46054</v>
      </c>
      <c r="D439" t="s">
        <v>458</v>
      </c>
      <c r="E439">
        <v>0</v>
      </c>
      <c r="I439" s="8">
        <v>36055</v>
      </c>
      <c r="J439">
        <v>0</v>
      </c>
      <c r="L439">
        <v>36061</v>
      </c>
      <c r="M439">
        <v>0</v>
      </c>
    </row>
    <row r="440" spans="1:13">
      <c r="A440">
        <v>37089</v>
      </c>
      <c r="B440">
        <v>1830197</v>
      </c>
      <c r="C440" s="5">
        <v>46054</v>
      </c>
      <c r="D440" t="s">
        <v>458</v>
      </c>
      <c r="E440">
        <v>0</v>
      </c>
      <c r="I440" s="8">
        <v>36061</v>
      </c>
      <c r="J440">
        <v>0</v>
      </c>
      <c r="L440">
        <v>37089</v>
      </c>
      <c r="M440">
        <v>0</v>
      </c>
    </row>
    <row r="441" spans="1:13">
      <c r="A441">
        <v>39852</v>
      </c>
      <c r="B441">
        <v>1830197</v>
      </c>
      <c r="C441" s="5">
        <v>46054</v>
      </c>
      <c r="D441" t="s">
        <v>458</v>
      </c>
      <c r="E441">
        <v>0</v>
      </c>
      <c r="I441" s="8">
        <v>37089</v>
      </c>
      <c r="J441">
        <v>0</v>
      </c>
      <c r="L441">
        <v>39852</v>
      </c>
      <c r="M441">
        <v>0</v>
      </c>
    </row>
    <row r="442" spans="1:13">
      <c r="A442">
        <v>40076</v>
      </c>
      <c r="B442">
        <v>1830197</v>
      </c>
      <c r="C442" s="5">
        <v>46054</v>
      </c>
      <c r="D442" t="s">
        <v>458</v>
      </c>
      <c r="E442">
        <v>232</v>
      </c>
      <c r="I442" s="8">
        <v>39852</v>
      </c>
      <c r="J442">
        <v>0</v>
      </c>
      <c r="L442">
        <v>40076</v>
      </c>
      <c r="M442">
        <v>1557</v>
      </c>
    </row>
    <row r="443" spans="1:13">
      <c r="A443">
        <v>40077</v>
      </c>
      <c r="B443">
        <v>1830197</v>
      </c>
      <c r="C443" s="5">
        <v>46054</v>
      </c>
      <c r="D443" t="s">
        <v>458</v>
      </c>
      <c r="E443">
        <v>11</v>
      </c>
      <c r="I443" s="8">
        <v>40076</v>
      </c>
      <c r="J443">
        <v>1557</v>
      </c>
      <c r="L443">
        <v>40077</v>
      </c>
      <c r="M443">
        <v>88</v>
      </c>
    </row>
    <row r="444" spans="1:13">
      <c r="A444">
        <v>40078</v>
      </c>
      <c r="B444">
        <v>1830197</v>
      </c>
      <c r="C444" s="5">
        <v>46054</v>
      </c>
      <c r="D444" t="s">
        <v>458</v>
      </c>
      <c r="E444">
        <v>5</v>
      </c>
      <c r="I444" s="8">
        <v>40077</v>
      </c>
      <c r="J444">
        <v>88</v>
      </c>
      <c r="L444">
        <v>40078</v>
      </c>
      <c r="M444">
        <v>31</v>
      </c>
    </row>
    <row r="445" spans="1:13">
      <c r="A445">
        <v>40079</v>
      </c>
      <c r="B445">
        <v>1830197</v>
      </c>
      <c r="C445" s="5">
        <v>46054</v>
      </c>
      <c r="D445" t="s">
        <v>458</v>
      </c>
      <c r="E445">
        <v>0</v>
      </c>
      <c r="I445" s="8">
        <v>40078</v>
      </c>
      <c r="J445">
        <v>31</v>
      </c>
      <c r="L445">
        <v>40079</v>
      </c>
      <c r="M445">
        <v>0</v>
      </c>
    </row>
    <row r="446" spans="1:13">
      <c r="A446">
        <v>45695</v>
      </c>
      <c r="B446">
        <v>1830197</v>
      </c>
      <c r="C446" s="5">
        <v>46054</v>
      </c>
      <c r="D446" t="s">
        <v>458</v>
      </c>
      <c r="E446">
        <v>8</v>
      </c>
      <c r="I446" s="8">
        <v>40079</v>
      </c>
      <c r="J446">
        <v>0</v>
      </c>
      <c r="L446">
        <v>45695</v>
      </c>
      <c r="M446">
        <v>132</v>
      </c>
    </row>
    <row r="447" spans="1:13">
      <c r="A447">
        <v>80174</v>
      </c>
      <c r="B447">
        <v>1830197</v>
      </c>
      <c r="C447" s="5">
        <v>46054</v>
      </c>
      <c r="D447" t="s">
        <v>458</v>
      </c>
      <c r="E447">
        <v>0</v>
      </c>
      <c r="I447" s="8">
        <v>45695</v>
      </c>
      <c r="J447">
        <v>132</v>
      </c>
      <c r="L447">
        <v>80174</v>
      </c>
      <c r="M447">
        <v>0</v>
      </c>
    </row>
    <row r="448" spans="1:13">
      <c r="A448">
        <v>84522</v>
      </c>
      <c r="B448">
        <v>1830197</v>
      </c>
      <c r="C448" s="5">
        <v>46054</v>
      </c>
      <c r="D448" t="s">
        <v>458</v>
      </c>
      <c r="E448">
        <v>0</v>
      </c>
      <c r="I448" s="8">
        <v>80174</v>
      </c>
      <c r="J448">
        <v>0</v>
      </c>
      <c r="L448">
        <v>84522</v>
      </c>
      <c r="M448">
        <v>15</v>
      </c>
    </row>
    <row r="449" spans="1:13">
      <c r="A449">
        <v>84523</v>
      </c>
      <c r="B449">
        <v>1830197</v>
      </c>
      <c r="C449" s="5">
        <v>46054</v>
      </c>
      <c r="D449" t="s">
        <v>458</v>
      </c>
      <c r="E449">
        <v>3</v>
      </c>
      <c r="I449" s="8">
        <v>84522</v>
      </c>
      <c r="J449">
        <v>15</v>
      </c>
      <c r="L449">
        <v>84523</v>
      </c>
      <c r="M449">
        <v>22</v>
      </c>
    </row>
    <row r="450" spans="1:13">
      <c r="A450">
        <v>87096</v>
      </c>
      <c r="B450">
        <v>1830197</v>
      </c>
      <c r="C450" s="5">
        <v>46054</v>
      </c>
      <c r="D450" t="s">
        <v>458</v>
      </c>
      <c r="E450">
        <v>0</v>
      </c>
      <c r="I450" s="8">
        <v>84523</v>
      </c>
      <c r="J450">
        <v>22</v>
      </c>
      <c r="L450">
        <v>87096</v>
      </c>
      <c r="M450">
        <v>0</v>
      </c>
    </row>
    <row r="451" spans="1:13">
      <c r="A451">
        <v>87098</v>
      </c>
      <c r="B451">
        <v>1830197</v>
      </c>
      <c r="C451" s="5">
        <v>46054</v>
      </c>
      <c r="D451" t="s">
        <v>458</v>
      </c>
      <c r="E451">
        <v>1</v>
      </c>
      <c r="I451" s="8">
        <v>87096</v>
      </c>
      <c r="J451">
        <v>0</v>
      </c>
      <c r="L451">
        <v>87098</v>
      </c>
      <c r="M451">
        <v>14</v>
      </c>
    </row>
    <row r="452" spans="1:13">
      <c r="A452">
        <v>91426</v>
      </c>
      <c r="B452">
        <v>1830197</v>
      </c>
      <c r="C452" s="5">
        <v>46054</v>
      </c>
      <c r="D452" t="s">
        <v>458</v>
      </c>
      <c r="E452">
        <v>0</v>
      </c>
      <c r="I452" s="8">
        <v>87098</v>
      </c>
      <c r="J452">
        <v>14</v>
      </c>
      <c r="L452">
        <v>91426</v>
      </c>
      <c r="M452">
        <v>0</v>
      </c>
    </row>
    <row r="453" spans="1:13">
      <c r="A453">
        <v>91427</v>
      </c>
      <c r="B453">
        <v>1830197</v>
      </c>
      <c r="C453" s="5">
        <v>46054</v>
      </c>
      <c r="D453" t="s">
        <v>458</v>
      </c>
      <c r="E453">
        <v>0</v>
      </c>
      <c r="I453" s="8">
        <v>91426</v>
      </c>
      <c r="J453">
        <v>0</v>
      </c>
      <c r="L453">
        <v>91427</v>
      </c>
      <c r="M453">
        <v>0</v>
      </c>
    </row>
    <row r="454" spans="1:13">
      <c r="A454">
        <v>91428</v>
      </c>
      <c r="B454">
        <v>1830197</v>
      </c>
      <c r="C454" s="5">
        <v>46054</v>
      </c>
      <c r="D454" t="s">
        <v>458</v>
      </c>
      <c r="E454">
        <v>0</v>
      </c>
      <c r="I454" s="8">
        <v>91427</v>
      </c>
      <c r="J454">
        <v>0</v>
      </c>
      <c r="L454">
        <v>91428</v>
      </c>
      <c r="M454">
        <v>0</v>
      </c>
    </row>
    <row r="455" spans="1:13">
      <c r="A455">
        <v>91429</v>
      </c>
      <c r="B455">
        <v>1830197</v>
      </c>
      <c r="C455" s="5">
        <v>46054</v>
      </c>
      <c r="D455" t="s">
        <v>458</v>
      </c>
      <c r="E455">
        <v>0</v>
      </c>
      <c r="I455" s="8">
        <v>91428</v>
      </c>
      <c r="J455">
        <v>0</v>
      </c>
      <c r="L455">
        <v>91429</v>
      </c>
      <c r="M455">
        <v>0</v>
      </c>
    </row>
    <row r="456" spans="1:13">
      <c r="A456">
        <v>91430</v>
      </c>
      <c r="B456">
        <v>1830197</v>
      </c>
      <c r="C456" s="5">
        <v>46054</v>
      </c>
      <c r="D456" t="s">
        <v>458</v>
      </c>
      <c r="E456">
        <v>0</v>
      </c>
      <c r="I456" s="8">
        <v>91429</v>
      </c>
      <c r="J456">
        <v>0</v>
      </c>
      <c r="L456">
        <v>91430</v>
      </c>
      <c r="M456">
        <v>0</v>
      </c>
    </row>
    <row r="457" spans="1:13">
      <c r="A457">
        <v>91431</v>
      </c>
      <c r="B457">
        <v>1830197</v>
      </c>
      <c r="C457" s="5">
        <v>46054</v>
      </c>
      <c r="D457" t="s">
        <v>458</v>
      </c>
      <c r="E457">
        <v>0</v>
      </c>
      <c r="I457" s="8">
        <v>91430</v>
      </c>
      <c r="J457">
        <v>0</v>
      </c>
      <c r="L457">
        <v>91431</v>
      </c>
      <c r="M457">
        <v>0</v>
      </c>
    </row>
    <row r="458" spans="1:13">
      <c r="A458">
        <v>91432</v>
      </c>
      <c r="B458">
        <v>1830197</v>
      </c>
      <c r="C458" s="5">
        <v>46054</v>
      </c>
      <c r="D458" t="s">
        <v>458</v>
      </c>
      <c r="E458">
        <v>0</v>
      </c>
      <c r="I458" s="8">
        <v>91431</v>
      </c>
      <c r="J458">
        <v>0</v>
      </c>
      <c r="L458">
        <v>91432</v>
      </c>
      <c r="M458">
        <v>0</v>
      </c>
    </row>
    <row r="459" spans="1:13">
      <c r="A459">
        <v>91433</v>
      </c>
      <c r="B459">
        <v>1830197</v>
      </c>
      <c r="C459" s="5">
        <v>46054</v>
      </c>
      <c r="D459" t="s">
        <v>458</v>
      </c>
      <c r="E459">
        <v>0</v>
      </c>
      <c r="I459" s="8">
        <v>91432</v>
      </c>
      <c r="J459">
        <v>0</v>
      </c>
      <c r="L459">
        <v>91433</v>
      </c>
      <c r="M459">
        <v>0</v>
      </c>
    </row>
    <row r="460" spans="1:13">
      <c r="A460">
        <v>92009</v>
      </c>
      <c r="B460">
        <v>1830197</v>
      </c>
      <c r="C460" s="5">
        <v>46054</v>
      </c>
      <c r="D460" t="s">
        <v>458</v>
      </c>
      <c r="E460">
        <v>0</v>
      </c>
      <c r="I460" s="8">
        <v>91433</v>
      </c>
      <c r="J460">
        <v>0</v>
      </c>
      <c r="L460">
        <v>92009</v>
      </c>
      <c r="M460">
        <v>0</v>
      </c>
    </row>
    <row r="461" spans="1:13">
      <c r="A461">
        <v>92084</v>
      </c>
      <c r="B461">
        <v>1830197</v>
      </c>
      <c r="C461" s="5">
        <v>46054</v>
      </c>
      <c r="D461" t="s">
        <v>458</v>
      </c>
      <c r="E461">
        <v>0</v>
      </c>
      <c r="I461" s="8">
        <v>92009</v>
      </c>
      <c r="J461">
        <v>0</v>
      </c>
      <c r="L461">
        <v>92084</v>
      </c>
      <c r="M461">
        <v>0</v>
      </c>
    </row>
    <row r="462" spans="1:13">
      <c r="A462">
        <v>93111</v>
      </c>
      <c r="B462">
        <v>1830197</v>
      </c>
      <c r="C462" s="5">
        <v>46054</v>
      </c>
      <c r="D462" t="s">
        <v>458</v>
      </c>
      <c r="E462">
        <v>0</v>
      </c>
      <c r="I462" s="8">
        <v>92084</v>
      </c>
      <c r="J462">
        <v>0</v>
      </c>
      <c r="L462">
        <v>93111</v>
      </c>
      <c r="M462">
        <v>0</v>
      </c>
    </row>
    <row r="463" spans="1:13">
      <c r="A463">
        <v>94827</v>
      </c>
      <c r="B463">
        <v>1830197</v>
      </c>
      <c r="C463" s="5">
        <v>46054</v>
      </c>
      <c r="D463" t="s">
        <v>458</v>
      </c>
      <c r="E463">
        <v>0</v>
      </c>
      <c r="I463" s="8">
        <v>93111</v>
      </c>
      <c r="J463">
        <v>0</v>
      </c>
      <c r="L463">
        <v>94827</v>
      </c>
      <c r="M463">
        <v>0</v>
      </c>
    </row>
    <row r="464" spans="1:13">
      <c r="A464">
        <v>94830</v>
      </c>
      <c r="B464">
        <v>1830197</v>
      </c>
      <c r="C464" s="5">
        <v>46054</v>
      </c>
      <c r="D464" t="s">
        <v>458</v>
      </c>
      <c r="E464">
        <v>0</v>
      </c>
      <c r="I464" s="8">
        <v>94827</v>
      </c>
      <c r="J464">
        <v>0</v>
      </c>
      <c r="L464">
        <v>94830</v>
      </c>
      <c r="M464">
        <v>0</v>
      </c>
    </row>
    <row r="465" spans="1:13">
      <c r="A465">
        <v>94833</v>
      </c>
      <c r="B465">
        <v>1830197</v>
      </c>
      <c r="C465" s="5">
        <v>46054</v>
      </c>
      <c r="D465" t="s">
        <v>458</v>
      </c>
      <c r="E465">
        <v>0</v>
      </c>
      <c r="I465" s="8">
        <v>94830</v>
      </c>
      <c r="J465">
        <v>0</v>
      </c>
      <c r="L465">
        <v>94833</v>
      </c>
      <c r="M465">
        <v>0</v>
      </c>
    </row>
    <row r="466" spans="1:13">
      <c r="A466">
        <v>94836</v>
      </c>
      <c r="B466">
        <v>1830197</v>
      </c>
      <c r="C466" s="5">
        <v>46054</v>
      </c>
      <c r="D466" t="s">
        <v>458</v>
      </c>
      <c r="E466">
        <v>0</v>
      </c>
      <c r="I466" s="8">
        <v>94833</v>
      </c>
      <c r="J466">
        <v>0</v>
      </c>
      <c r="L466">
        <v>94836</v>
      </c>
      <c r="M466">
        <v>0</v>
      </c>
    </row>
    <row r="467" spans="1:13">
      <c r="A467">
        <v>94839</v>
      </c>
      <c r="B467">
        <v>1830197</v>
      </c>
      <c r="C467" s="5">
        <v>46054</v>
      </c>
      <c r="D467" t="s">
        <v>458</v>
      </c>
      <c r="E467">
        <v>0</v>
      </c>
      <c r="I467" s="8">
        <v>94836</v>
      </c>
      <c r="J467">
        <v>0</v>
      </c>
      <c r="L467">
        <v>94839</v>
      </c>
      <c r="M467">
        <v>0</v>
      </c>
    </row>
    <row r="468" spans="1:13">
      <c r="A468">
        <v>94842</v>
      </c>
      <c r="B468">
        <v>1830197</v>
      </c>
      <c r="C468" s="5">
        <v>46054</v>
      </c>
      <c r="D468" t="s">
        <v>458</v>
      </c>
      <c r="E468">
        <v>0</v>
      </c>
      <c r="I468" s="8">
        <v>94839</v>
      </c>
      <c r="J468">
        <v>0</v>
      </c>
      <c r="L468">
        <v>94842</v>
      </c>
      <c r="M468">
        <v>0</v>
      </c>
    </row>
    <row r="469" spans="1:13">
      <c r="A469">
        <v>94845</v>
      </c>
      <c r="B469">
        <v>1830197</v>
      </c>
      <c r="C469" s="5">
        <v>46054</v>
      </c>
      <c r="D469" t="s">
        <v>458</v>
      </c>
      <c r="E469">
        <v>0</v>
      </c>
      <c r="I469" s="8">
        <v>94842</v>
      </c>
      <c r="J469">
        <v>0</v>
      </c>
      <c r="L469">
        <v>94845</v>
      </c>
      <c r="M469">
        <v>0</v>
      </c>
    </row>
    <row r="470" spans="1:13">
      <c r="A470">
        <v>94848</v>
      </c>
      <c r="B470">
        <v>1830197</v>
      </c>
      <c r="C470" s="5">
        <v>46054</v>
      </c>
      <c r="D470" t="s">
        <v>458</v>
      </c>
      <c r="E470">
        <v>0</v>
      </c>
      <c r="I470" s="8">
        <v>94845</v>
      </c>
      <c r="J470">
        <v>0</v>
      </c>
      <c r="L470">
        <v>94848</v>
      </c>
      <c r="M470">
        <v>0</v>
      </c>
    </row>
    <row r="471" spans="1:13">
      <c r="A471">
        <v>94872</v>
      </c>
      <c r="B471">
        <v>1830197</v>
      </c>
      <c r="C471" s="5">
        <v>46054</v>
      </c>
      <c r="D471" t="s">
        <v>458</v>
      </c>
      <c r="E471">
        <v>0</v>
      </c>
      <c r="I471" s="8">
        <v>94848</v>
      </c>
      <c r="J471">
        <v>0</v>
      </c>
      <c r="L471">
        <v>94872</v>
      </c>
      <c r="M471">
        <v>0</v>
      </c>
    </row>
    <row r="472" spans="1:13">
      <c r="A472">
        <v>99078</v>
      </c>
      <c r="B472">
        <v>1830197</v>
      </c>
      <c r="C472" s="5">
        <v>46054</v>
      </c>
      <c r="D472" t="s">
        <v>458</v>
      </c>
      <c r="E472">
        <v>0</v>
      </c>
      <c r="I472" s="8">
        <v>94872</v>
      </c>
      <c r="J472">
        <v>0</v>
      </c>
      <c r="L472">
        <v>99078</v>
      </c>
      <c r="M472">
        <v>0</v>
      </c>
    </row>
    <row r="473" spans="1:13">
      <c r="A473">
        <v>99165</v>
      </c>
      <c r="B473">
        <v>1830197</v>
      </c>
      <c r="C473" s="5">
        <v>46054</v>
      </c>
      <c r="D473" t="s">
        <v>458</v>
      </c>
      <c r="E473">
        <v>0</v>
      </c>
      <c r="I473" s="8">
        <v>99078</v>
      </c>
      <c r="J473">
        <v>0</v>
      </c>
      <c r="L473">
        <v>99165</v>
      </c>
      <c r="M473">
        <v>0</v>
      </c>
    </row>
    <row r="474" spans="1:13">
      <c r="A474">
        <v>99166</v>
      </c>
      <c r="B474">
        <v>1830197</v>
      </c>
      <c r="C474" s="5">
        <v>46054</v>
      </c>
      <c r="D474" t="s">
        <v>458</v>
      </c>
      <c r="E474">
        <v>0</v>
      </c>
      <c r="I474" s="8">
        <v>99165</v>
      </c>
      <c r="J474">
        <v>0</v>
      </c>
      <c r="L474">
        <v>99166</v>
      </c>
      <c r="M474">
        <v>0</v>
      </c>
    </row>
    <row r="475" spans="1:13">
      <c r="A475">
        <v>99168</v>
      </c>
      <c r="B475">
        <v>1830197</v>
      </c>
      <c r="C475" s="5">
        <v>46054</v>
      </c>
      <c r="D475" t="s">
        <v>458</v>
      </c>
      <c r="E475">
        <v>0</v>
      </c>
      <c r="I475" s="8">
        <v>99166</v>
      </c>
      <c r="J475">
        <v>0</v>
      </c>
      <c r="L475">
        <v>99168</v>
      </c>
      <c r="M475">
        <v>0</v>
      </c>
    </row>
    <row r="476" spans="1:13">
      <c r="A476">
        <v>99169</v>
      </c>
      <c r="B476">
        <v>1830197</v>
      </c>
      <c r="C476" s="5">
        <v>46054</v>
      </c>
      <c r="D476" t="s">
        <v>458</v>
      </c>
      <c r="E476">
        <v>0</v>
      </c>
      <c r="I476" s="8">
        <v>99168</v>
      </c>
      <c r="J476">
        <v>0</v>
      </c>
      <c r="L476">
        <v>99169</v>
      </c>
      <c r="M476">
        <v>0</v>
      </c>
    </row>
    <row r="477" spans="1:13">
      <c r="A477">
        <v>99170</v>
      </c>
      <c r="B477">
        <v>1830197</v>
      </c>
      <c r="C477" s="5">
        <v>46054</v>
      </c>
      <c r="D477" t="s">
        <v>458</v>
      </c>
      <c r="E477">
        <v>0</v>
      </c>
      <c r="I477" s="8">
        <v>99169</v>
      </c>
      <c r="J477">
        <v>0</v>
      </c>
      <c r="L477">
        <v>99170</v>
      </c>
      <c r="M477">
        <v>0</v>
      </c>
    </row>
    <row r="478" spans="1:13">
      <c r="A478">
        <v>99216</v>
      </c>
      <c r="B478">
        <v>1830197</v>
      </c>
      <c r="C478" s="5">
        <v>46054</v>
      </c>
      <c r="D478" t="s">
        <v>458</v>
      </c>
      <c r="E478">
        <v>0</v>
      </c>
      <c r="I478" s="8">
        <v>99170</v>
      </c>
      <c r="J478">
        <v>0</v>
      </c>
      <c r="L478">
        <v>99216</v>
      </c>
      <c r="M478">
        <v>0</v>
      </c>
    </row>
    <row r="479" spans="1:13">
      <c r="A479">
        <v>99249</v>
      </c>
      <c r="B479">
        <v>1830197</v>
      </c>
      <c r="C479" s="5">
        <v>46054</v>
      </c>
      <c r="D479" t="s">
        <v>458</v>
      </c>
      <c r="E479">
        <v>0</v>
      </c>
      <c r="I479" s="8">
        <v>99216</v>
      </c>
      <c r="J479">
        <v>0</v>
      </c>
      <c r="L479">
        <v>99249</v>
      </c>
      <c r="M479">
        <v>0</v>
      </c>
    </row>
    <row r="480" spans="1:13">
      <c r="A480">
        <v>99305</v>
      </c>
      <c r="B480">
        <v>1830197</v>
      </c>
      <c r="C480" s="5">
        <v>46054</v>
      </c>
      <c r="D480" t="s">
        <v>458</v>
      </c>
      <c r="E480">
        <v>0</v>
      </c>
      <c r="I480" s="8">
        <v>99249</v>
      </c>
      <c r="J480">
        <v>0</v>
      </c>
      <c r="L480">
        <v>99305</v>
      </c>
      <c r="M480">
        <v>0</v>
      </c>
    </row>
    <row r="481" spans="1:13">
      <c r="A481">
        <v>99378</v>
      </c>
      <c r="B481">
        <v>1830197</v>
      </c>
      <c r="C481" s="5">
        <v>46054</v>
      </c>
      <c r="D481" t="s">
        <v>458</v>
      </c>
      <c r="E481">
        <v>0.03</v>
      </c>
      <c r="I481" s="8">
        <v>99305</v>
      </c>
      <c r="J481">
        <v>0</v>
      </c>
      <c r="L481">
        <v>99378</v>
      </c>
      <c r="M481">
        <v>0.6</v>
      </c>
    </row>
    <row r="482" spans="1:13">
      <c r="A482">
        <v>99422</v>
      </c>
      <c r="B482">
        <v>1830197</v>
      </c>
      <c r="C482" s="5">
        <v>46054</v>
      </c>
      <c r="D482" t="s">
        <v>458</v>
      </c>
      <c r="E482">
        <v>0</v>
      </c>
      <c r="I482" s="8">
        <v>99378</v>
      </c>
      <c r="J482">
        <v>0.6</v>
      </c>
      <c r="L482">
        <v>99422</v>
      </c>
      <c r="M482">
        <v>0</v>
      </c>
    </row>
    <row r="483" spans="1:13">
      <c r="A483">
        <v>99903</v>
      </c>
      <c r="B483">
        <v>1830197</v>
      </c>
      <c r="C483" s="5">
        <v>46054</v>
      </c>
      <c r="D483" t="s">
        <v>458</v>
      </c>
      <c r="E483">
        <v>0</v>
      </c>
      <c r="I483" s="8">
        <v>99422</v>
      </c>
      <c r="J483">
        <v>0</v>
      </c>
      <c r="L483">
        <v>99903</v>
      </c>
      <c r="M483">
        <v>0</v>
      </c>
    </row>
    <row r="484" spans="1:13">
      <c r="A484">
        <v>99906</v>
      </c>
      <c r="B484">
        <v>1830197</v>
      </c>
      <c r="C484" s="5">
        <v>46054</v>
      </c>
      <c r="D484" t="s">
        <v>458</v>
      </c>
      <c r="E484">
        <v>5</v>
      </c>
      <c r="I484" s="8">
        <v>99903</v>
      </c>
      <c r="J484">
        <v>0</v>
      </c>
      <c r="L484">
        <v>99906</v>
      </c>
      <c r="M484">
        <v>41</v>
      </c>
    </row>
    <row r="485" spans="1:13">
      <c r="A485">
        <v>99907</v>
      </c>
      <c r="B485">
        <v>1830197</v>
      </c>
      <c r="C485" s="5">
        <v>46054</v>
      </c>
      <c r="D485" t="s">
        <v>458</v>
      </c>
      <c r="E485">
        <v>7</v>
      </c>
      <c r="I485" s="8">
        <v>99906</v>
      </c>
      <c r="J485">
        <v>41</v>
      </c>
      <c r="L485">
        <v>99907</v>
      </c>
      <c r="M485">
        <v>57</v>
      </c>
    </row>
    <row r="486" spans="1:13">
      <c r="A486">
        <v>99908</v>
      </c>
      <c r="B486">
        <v>1830197</v>
      </c>
      <c r="C486" s="5">
        <v>46054</v>
      </c>
      <c r="D486" t="s">
        <v>458</v>
      </c>
      <c r="E486">
        <v>0</v>
      </c>
      <c r="I486" s="8">
        <v>99907</v>
      </c>
      <c r="J486">
        <v>57</v>
      </c>
      <c r="L486">
        <v>99908</v>
      </c>
      <c r="M486">
        <v>0</v>
      </c>
    </row>
    <row r="487" spans="1:13">
      <c r="A487">
        <v>99912</v>
      </c>
      <c r="B487">
        <v>1830197</v>
      </c>
      <c r="C487" s="5">
        <v>46054</v>
      </c>
      <c r="D487" t="s">
        <v>458</v>
      </c>
      <c r="E487">
        <v>0</v>
      </c>
      <c r="I487" s="8">
        <v>99908</v>
      </c>
      <c r="J487">
        <v>0</v>
      </c>
      <c r="L487">
        <v>99912</v>
      </c>
      <c r="M487">
        <v>0</v>
      </c>
    </row>
    <row r="488" spans="1:13">
      <c r="A488">
        <v>99913</v>
      </c>
      <c r="B488">
        <v>1830197</v>
      </c>
      <c r="C488" s="5">
        <v>46054</v>
      </c>
      <c r="D488" t="s">
        <v>458</v>
      </c>
      <c r="E488">
        <v>0</v>
      </c>
      <c r="I488" s="8">
        <v>99912</v>
      </c>
      <c r="J488">
        <v>0</v>
      </c>
      <c r="L488">
        <v>99913</v>
      </c>
      <c r="M488">
        <v>0</v>
      </c>
    </row>
    <row r="489" spans="1:13">
      <c r="A489">
        <v>99914</v>
      </c>
      <c r="B489">
        <v>1830197</v>
      </c>
      <c r="C489" s="5">
        <v>46054</v>
      </c>
      <c r="D489" t="s">
        <v>458</v>
      </c>
      <c r="E489">
        <v>1</v>
      </c>
      <c r="I489" s="8">
        <v>99913</v>
      </c>
      <c r="J489">
        <v>0</v>
      </c>
      <c r="L489">
        <v>99914</v>
      </c>
      <c r="M489">
        <v>26</v>
      </c>
    </row>
    <row r="490" spans="1:13">
      <c r="A490">
        <v>99915</v>
      </c>
      <c r="B490">
        <v>1830197</v>
      </c>
      <c r="C490" s="5">
        <v>46054</v>
      </c>
      <c r="D490" t="s">
        <v>458</v>
      </c>
      <c r="E490">
        <v>0</v>
      </c>
      <c r="I490" s="8">
        <v>99914</v>
      </c>
      <c r="J490">
        <v>26</v>
      </c>
      <c r="L490">
        <v>99915</v>
      </c>
      <c r="M490">
        <v>0</v>
      </c>
    </row>
    <row r="491" spans="1:13">
      <c r="A491">
        <v>99916</v>
      </c>
      <c r="B491">
        <v>1830197</v>
      </c>
      <c r="C491" s="5">
        <v>46054</v>
      </c>
      <c r="D491" t="s">
        <v>458</v>
      </c>
      <c r="E491">
        <v>1</v>
      </c>
      <c r="I491" s="8">
        <v>99915</v>
      </c>
      <c r="J491">
        <v>0</v>
      </c>
      <c r="L491">
        <v>99916</v>
      </c>
      <c r="M491">
        <v>10</v>
      </c>
    </row>
    <row r="492" spans="1:13">
      <c r="A492">
        <v>99917</v>
      </c>
      <c r="B492">
        <v>1830197</v>
      </c>
      <c r="C492" s="5">
        <v>46054</v>
      </c>
      <c r="D492" t="s">
        <v>458</v>
      </c>
      <c r="E492">
        <v>0</v>
      </c>
      <c r="I492" s="8">
        <v>99916</v>
      </c>
      <c r="J492">
        <v>10</v>
      </c>
      <c r="L492">
        <v>99917</v>
      </c>
      <c r="M492">
        <v>0</v>
      </c>
    </row>
    <row r="493" spans="1:13">
      <c r="A493">
        <v>99920</v>
      </c>
      <c r="B493">
        <v>1830197</v>
      </c>
      <c r="C493" s="5">
        <v>46054</v>
      </c>
      <c r="D493" t="s">
        <v>458</v>
      </c>
      <c r="E493">
        <v>0</v>
      </c>
      <c r="I493" s="8">
        <v>99917</v>
      </c>
      <c r="J493">
        <v>0</v>
      </c>
      <c r="L493">
        <v>99920</v>
      </c>
      <c r="M493">
        <v>0</v>
      </c>
    </row>
    <row r="494" spans="1:13">
      <c r="A494">
        <v>99929</v>
      </c>
      <c r="B494">
        <v>1830197</v>
      </c>
      <c r="C494" s="5">
        <v>46054</v>
      </c>
      <c r="D494" t="s">
        <v>458</v>
      </c>
      <c r="E494">
        <v>0</v>
      </c>
      <c r="I494" s="8">
        <v>99920</v>
      </c>
      <c r="J494">
        <v>0</v>
      </c>
      <c r="L494">
        <v>99929</v>
      </c>
      <c r="M494">
        <v>0</v>
      </c>
    </row>
    <row r="495" spans="1:13">
      <c r="A495">
        <v>99931</v>
      </c>
      <c r="B495">
        <v>1830197</v>
      </c>
      <c r="C495" s="5">
        <v>46054</v>
      </c>
      <c r="D495" t="s">
        <v>458</v>
      </c>
      <c r="E495">
        <v>0</v>
      </c>
      <c r="I495" s="8">
        <v>99929</v>
      </c>
      <c r="J495">
        <v>0</v>
      </c>
      <c r="L495">
        <v>99931</v>
      </c>
      <c r="M495">
        <v>0</v>
      </c>
    </row>
    <row r="496" spans="1:13">
      <c r="A496">
        <v>99932</v>
      </c>
      <c r="B496">
        <v>1830197</v>
      </c>
      <c r="C496" s="5">
        <v>46054</v>
      </c>
      <c r="D496" t="s">
        <v>458</v>
      </c>
      <c r="E496">
        <v>0</v>
      </c>
      <c r="I496" s="8">
        <v>99931</v>
      </c>
      <c r="J496">
        <v>0</v>
      </c>
      <c r="L496">
        <v>99932</v>
      </c>
      <c r="M496">
        <v>0</v>
      </c>
    </row>
    <row r="497" spans="1:13">
      <c r="A497">
        <v>99946</v>
      </c>
      <c r="B497">
        <v>1830197</v>
      </c>
      <c r="C497" s="5">
        <v>46054</v>
      </c>
      <c r="D497" t="s">
        <v>458</v>
      </c>
      <c r="E497">
        <v>0</v>
      </c>
      <c r="I497" s="8">
        <v>99932</v>
      </c>
      <c r="J497">
        <v>0</v>
      </c>
      <c r="L497">
        <v>99946</v>
      </c>
      <c r="M497">
        <v>0</v>
      </c>
    </row>
    <row r="498" spans="1:13">
      <c r="A498">
        <v>99967</v>
      </c>
      <c r="B498">
        <v>1830197</v>
      </c>
      <c r="C498" s="5">
        <v>46054</v>
      </c>
      <c r="D498" t="s">
        <v>458</v>
      </c>
      <c r="E498">
        <v>0</v>
      </c>
      <c r="I498" s="8">
        <v>99946</v>
      </c>
      <c r="J498">
        <v>0</v>
      </c>
      <c r="L498">
        <v>99967</v>
      </c>
      <c r="M498">
        <v>0</v>
      </c>
    </row>
    <row r="499" spans="1:13">
      <c r="A499">
        <v>99968</v>
      </c>
      <c r="B499">
        <v>1830197</v>
      </c>
      <c r="C499" s="5">
        <v>46054</v>
      </c>
      <c r="D499" t="s">
        <v>458</v>
      </c>
      <c r="E499">
        <v>0</v>
      </c>
      <c r="I499" s="8">
        <v>99967</v>
      </c>
      <c r="J499">
        <v>0</v>
      </c>
      <c r="L499">
        <v>99968</v>
      </c>
      <c r="M499">
        <v>0</v>
      </c>
    </row>
    <row r="500" spans="1:13">
      <c r="A500">
        <v>99969</v>
      </c>
      <c r="B500">
        <v>1830197</v>
      </c>
      <c r="C500" s="5">
        <v>46054</v>
      </c>
      <c r="D500" t="s">
        <v>458</v>
      </c>
      <c r="E500">
        <v>0</v>
      </c>
      <c r="I500" s="8">
        <v>99968</v>
      </c>
      <c r="J500">
        <v>0</v>
      </c>
      <c r="L500">
        <v>99969</v>
      </c>
      <c r="M500">
        <v>0</v>
      </c>
    </row>
    <row r="501" spans="1:13">
      <c r="A501">
        <v>99970</v>
      </c>
      <c r="B501">
        <v>1830197</v>
      </c>
      <c r="C501" s="5">
        <v>46054</v>
      </c>
      <c r="D501" t="s">
        <v>458</v>
      </c>
      <c r="E501">
        <v>1</v>
      </c>
      <c r="I501" s="8">
        <v>99969</v>
      </c>
      <c r="J501">
        <v>0</v>
      </c>
      <c r="L501">
        <v>99970</v>
      </c>
      <c r="M501">
        <v>4</v>
      </c>
    </row>
    <row r="502" spans="1:13">
      <c r="A502">
        <v>99971</v>
      </c>
      <c r="B502">
        <v>1830197</v>
      </c>
      <c r="C502" s="5">
        <v>46054</v>
      </c>
      <c r="D502" t="s">
        <v>458</v>
      </c>
      <c r="E502">
        <v>2</v>
      </c>
      <c r="I502" s="8">
        <v>99970</v>
      </c>
      <c r="J502">
        <v>4</v>
      </c>
      <c r="L502">
        <v>99971</v>
      </c>
      <c r="M502">
        <v>21</v>
      </c>
    </row>
    <row r="503" spans="1:13">
      <c r="A503">
        <v>99972</v>
      </c>
      <c r="B503">
        <v>1830197</v>
      </c>
      <c r="C503" s="5">
        <v>46054</v>
      </c>
      <c r="D503" t="s">
        <v>458</v>
      </c>
      <c r="E503">
        <v>0</v>
      </c>
      <c r="I503" s="8">
        <v>99971</v>
      </c>
      <c r="J503">
        <v>21</v>
      </c>
      <c r="L503">
        <v>99972</v>
      </c>
      <c r="M503">
        <v>0</v>
      </c>
    </row>
    <row r="504" spans="1:13">
      <c r="A504">
        <v>99973</v>
      </c>
      <c r="B504">
        <v>1830197</v>
      </c>
      <c r="C504" s="5">
        <v>46054</v>
      </c>
      <c r="D504" t="s">
        <v>458</v>
      </c>
      <c r="E504">
        <v>0</v>
      </c>
      <c r="I504" s="8">
        <v>99972</v>
      </c>
      <c r="J504">
        <v>0</v>
      </c>
      <c r="L504">
        <v>99973</v>
      </c>
      <c r="M504">
        <v>0</v>
      </c>
    </row>
    <row r="505" spans="1:13">
      <c r="A505">
        <v>99974</v>
      </c>
      <c r="B505">
        <v>1830197</v>
      </c>
      <c r="C505" s="5">
        <v>46054</v>
      </c>
      <c r="D505" t="s">
        <v>458</v>
      </c>
      <c r="E505">
        <v>0.1</v>
      </c>
      <c r="I505" s="8">
        <v>99973</v>
      </c>
      <c r="J505">
        <v>0</v>
      </c>
      <c r="L505">
        <v>99974</v>
      </c>
      <c r="M505">
        <v>0.9</v>
      </c>
    </row>
    <row r="506" spans="1:13">
      <c r="A506">
        <v>99977</v>
      </c>
      <c r="B506">
        <v>1830197</v>
      </c>
      <c r="C506" s="5">
        <v>46054</v>
      </c>
      <c r="D506" t="s">
        <v>458</v>
      </c>
      <c r="E506">
        <v>0</v>
      </c>
      <c r="I506" s="8">
        <v>99974</v>
      </c>
      <c r="J506">
        <v>0.9</v>
      </c>
      <c r="L506">
        <v>99977</v>
      </c>
      <c r="M506">
        <v>0</v>
      </c>
    </row>
    <row r="507" spans="1:13">
      <c r="A507">
        <v>99978</v>
      </c>
      <c r="B507">
        <v>1830197</v>
      </c>
      <c r="C507" s="5">
        <v>46054</v>
      </c>
      <c r="D507" t="s">
        <v>458</v>
      </c>
      <c r="E507">
        <v>0</v>
      </c>
      <c r="I507" s="8">
        <v>99977</v>
      </c>
      <c r="J507">
        <v>0</v>
      </c>
      <c r="L507">
        <v>99978</v>
      </c>
      <c r="M507">
        <v>0</v>
      </c>
    </row>
    <row r="508" spans="1:13">
      <c r="A508">
        <v>99979</v>
      </c>
      <c r="B508">
        <v>1830197</v>
      </c>
      <c r="C508" s="5">
        <v>46054</v>
      </c>
      <c r="D508" t="s">
        <v>458</v>
      </c>
      <c r="E508">
        <v>0</v>
      </c>
      <c r="I508" s="8">
        <v>99978</v>
      </c>
      <c r="J508">
        <v>0</v>
      </c>
      <c r="L508">
        <v>99979</v>
      </c>
      <c r="M508">
        <v>0</v>
      </c>
    </row>
    <row r="509" spans="1:13">
      <c r="A509">
        <v>99980</v>
      </c>
      <c r="B509">
        <v>1830197</v>
      </c>
      <c r="C509" s="5">
        <v>46054</v>
      </c>
      <c r="D509" t="s">
        <v>458</v>
      </c>
      <c r="E509">
        <v>0</v>
      </c>
      <c r="I509" s="8">
        <v>99979</v>
      </c>
      <c r="J509">
        <v>0</v>
      </c>
      <c r="L509">
        <v>99980</v>
      </c>
      <c r="M509">
        <v>0</v>
      </c>
    </row>
    <row r="510" spans="1:13">
      <c r="A510">
        <v>99981</v>
      </c>
      <c r="B510">
        <v>1830197</v>
      </c>
      <c r="C510" s="5">
        <v>46054</v>
      </c>
      <c r="D510" t="s">
        <v>458</v>
      </c>
      <c r="E510">
        <v>0</v>
      </c>
      <c r="I510" s="8">
        <v>99980</v>
      </c>
      <c r="J510">
        <v>0</v>
      </c>
      <c r="L510">
        <v>99981</v>
      </c>
      <c r="M510">
        <v>0</v>
      </c>
    </row>
    <row r="511" spans="1:13">
      <c r="A511">
        <v>99982</v>
      </c>
      <c r="B511">
        <v>1830197</v>
      </c>
      <c r="C511" s="5">
        <v>46054</v>
      </c>
      <c r="D511" t="s">
        <v>458</v>
      </c>
      <c r="E511">
        <v>0</v>
      </c>
      <c r="I511" s="8">
        <v>99981</v>
      </c>
      <c r="J511">
        <v>0</v>
      </c>
      <c r="L511">
        <v>99982</v>
      </c>
      <c r="M511">
        <v>0</v>
      </c>
    </row>
    <row r="512" spans="1:13">
      <c r="A512">
        <v>99983</v>
      </c>
      <c r="B512">
        <v>1830197</v>
      </c>
      <c r="C512" s="5">
        <v>46054</v>
      </c>
      <c r="D512" t="s">
        <v>458</v>
      </c>
      <c r="E512">
        <v>0</v>
      </c>
      <c r="I512" s="8">
        <v>99982</v>
      </c>
      <c r="J512">
        <v>0</v>
      </c>
      <c r="L512">
        <v>99983</v>
      </c>
      <c r="M512">
        <v>0</v>
      </c>
    </row>
    <row r="513" spans="1:13">
      <c r="A513">
        <v>99984</v>
      </c>
      <c r="B513">
        <v>1830197</v>
      </c>
      <c r="C513" s="5">
        <v>46054</v>
      </c>
      <c r="D513" t="s">
        <v>458</v>
      </c>
      <c r="E513">
        <v>0</v>
      </c>
      <c r="I513" s="8">
        <v>99983</v>
      </c>
      <c r="J513">
        <v>0</v>
      </c>
      <c r="L513">
        <v>99984</v>
      </c>
      <c r="M513">
        <v>0</v>
      </c>
    </row>
    <row r="514" spans="1:13">
      <c r="A514">
        <v>99985</v>
      </c>
      <c r="B514">
        <v>1830197</v>
      </c>
      <c r="C514" s="5">
        <v>46054</v>
      </c>
      <c r="D514" t="s">
        <v>458</v>
      </c>
      <c r="E514">
        <v>0</v>
      </c>
      <c r="I514" s="8">
        <v>99984</v>
      </c>
      <c r="J514">
        <v>0</v>
      </c>
      <c r="L514">
        <v>99985</v>
      </c>
      <c r="M514">
        <v>0</v>
      </c>
    </row>
    <row r="515" spans="1:13">
      <c r="A515">
        <v>99988</v>
      </c>
      <c r="B515">
        <v>1830197</v>
      </c>
      <c r="C515" s="5">
        <v>46054</v>
      </c>
      <c r="D515" t="s">
        <v>458</v>
      </c>
      <c r="E515">
        <v>0</v>
      </c>
      <c r="I515" s="8">
        <v>99985</v>
      </c>
      <c r="J515">
        <v>0</v>
      </c>
      <c r="L515">
        <v>99988</v>
      </c>
      <c r="M515">
        <v>0</v>
      </c>
    </row>
    <row r="516" spans="1:13">
      <c r="A516">
        <v>99989</v>
      </c>
      <c r="B516">
        <v>1830197</v>
      </c>
      <c r="C516" s="5">
        <v>46054</v>
      </c>
      <c r="D516" t="s">
        <v>458</v>
      </c>
      <c r="E516">
        <v>0</v>
      </c>
      <c r="I516" s="8">
        <v>99988</v>
      </c>
      <c r="J516">
        <v>0</v>
      </c>
      <c r="L516">
        <v>99989</v>
      </c>
      <c r="M516">
        <v>0</v>
      </c>
    </row>
    <row r="517" spans="1:13">
      <c r="A517">
        <v>99990</v>
      </c>
      <c r="B517">
        <v>1830197</v>
      </c>
      <c r="C517" s="5">
        <v>46054</v>
      </c>
      <c r="D517" t="s">
        <v>458</v>
      </c>
      <c r="E517">
        <v>0</v>
      </c>
      <c r="I517" s="8">
        <v>99989</v>
      </c>
      <c r="J517">
        <v>0</v>
      </c>
      <c r="L517">
        <v>99990</v>
      </c>
      <c r="M517">
        <v>0</v>
      </c>
    </row>
    <row r="518" spans="1:13">
      <c r="A518">
        <v>99991</v>
      </c>
      <c r="B518">
        <v>1830197</v>
      </c>
      <c r="C518" s="5">
        <v>46054</v>
      </c>
      <c r="D518" t="s">
        <v>458</v>
      </c>
      <c r="E518">
        <v>0</v>
      </c>
      <c r="I518" s="8">
        <v>99990</v>
      </c>
      <c r="J518">
        <v>0</v>
      </c>
      <c r="L518">
        <v>99991</v>
      </c>
      <c r="M518">
        <v>0</v>
      </c>
    </row>
    <row r="519" spans="1:13">
      <c r="A519">
        <v>99992</v>
      </c>
      <c r="B519">
        <v>1830197</v>
      </c>
      <c r="C519" s="5">
        <v>46054</v>
      </c>
      <c r="D519" t="s">
        <v>458</v>
      </c>
      <c r="E519">
        <v>0</v>
      </c>
      <c r="I519" s="8">
        <v>99991</v>
      </c>
      <c r="J519">
        <v>0</v>
      </c>
      <c r="L519">
        <v>99992</v>
      </c>
      <c r="M519">
        <v>0</v>
      </c>
    </row>
    <row r="520" spans="1:13">
      <c r="A520">
        <v>99993</v>
      </c>
      <c r="B520">
        <v>1830197</v>
      </c>
      <c r="C520" s="5">
        <v>46054</v>
      </c>
      <c r="D520" t="s">
        <v>458</v>
      </c>
      <c r="E520">
        <v>0</v>
      </c>
      <c r="I520" s="8">
        <v>99992</v>
      </c>
      <c r="J520">
        <v>0</v>
      </c>
      <c r="L520">
        <v>99993</v>
      </c>
      <c r="M520">
        <v>0</v>
      </c>
    </row>
    <row r="521" spans="1:13">
      <c r="A521">
        <v>99994</v>
      </c>
      <c r="B521">
        <v>1830197</v>
      </c>
      <c r="C521" s="5">
        <v>46054</v>
      </c>
      <c r="D521" t="s">
        <v>458</v>
      </c>
      <c r="E521">
        <v>0</v>
      </c>
      <c r="I521" s="8">
        <v>99993</v>
      </c>
      <c r="J521">
        <v>0</v>
      </c>
      <c r="L521">
        <v>99994</v>
      </c>
      <c r="M521">
        <v>0</v>
      </c>
    </row>
    <row r="522" spans="1:13">
      <c r="A522">
        <v>99995</v>
      </c>
      <c r="B522">
        <v>1830197</v>
      </c>
      <c r="C522" s="5">
        <v>46054</v>
      </c>
      <c r="D522" t="s">
        <v>458</v>
      </c>
      <c r="E522">
        <v>0</v>
      </c>
      <c r="I522" s="8">
        <v>99994</v>
      </c>
      <c r="J522">
        <v>0</v>
      </c>
      <c r="L522">
        <v>99995</v>
      </c>
      <c r="M522">
        <v>0</v>
      </c>
    </row>
    <row r="523" spans="1:13">
      <c r="A523">
        <v>99996</v>
      </c>
      <c r="B523">
        <v>1830197</v>
      </c>
      <c r="C523" s="5">
        <v>46054</v>
      </c>
      <c r="D523" t="s">
        <v>458</v>
      </c>
      <c r="E523">
        <v>0</v>
      </c>
      <c r="I523" s="8">
        <v>99995</v>
      </c>
      <c r="J523">
        <v>0</v>
      </c>
      <c r="L523">
        <v>99996</v>
      </c>
      <c r="M523">
        <v>0</v>
      </c>
    </row>
    <row r="524" spans="1:13">
      <c r="A524">
        <v>99999</v>
      </c>
      <c r="B524">
        <v>1830197</v>
      </c>
      <c r="C524" s="5">
        <v>46054</v>
      </c>
      <c r="D524" t="s">
        <v>458</v>
      </c>
      <c r="E524">
        <v>0</v>
      </c>
      <c r="I524" s="8">
        <v>99996</v>
      </c>
      <c r="J524">
        <v>0</v>
      </c>
      <c r="L524">
        <v>99999</v>
      </c>
      <c r="M524">
        <v>0</v>
      </c>
    </row>
    <row r="525" spans="1:13">
      <c r="A525">
        <v>1</v>
      </c>
      <c r="B525">
        <v>1830197</v>
      </c>
      <c r="C525" s="5">
        <v>46055</v>
      </c>
      <c r="D525" t="s">
        <v>458</v>
      </c>
      <c r="E525">
        <v>470</v>
      </c>
      <c r="I525" s="8">
        <v>99999</v>
      </c>
      <c r="J525">
        <v>0</v>
      </c>
    </row>
    <row r="526" spans="1:13">
      <c r="A526">
        <v>2</v>
      </c>
      <c r="B526">
        <v>1830197</v>
      </c>
      <c r="C526" s="5">
        <v>46055</v>
      </c>
      <c r="D526" t="s">
        <v>458</v>
      </c>
      <c r="E526">
        <v>58</v>
      </c>
      <c r="I526" s="8" t="s">
        <v>466</v>
      </c>
    </row>
    <row r="527" spans="1:13">
      <c r="A527">
        <v>3</v>
      </c>
      <c r="B527">
        <v>1830197</v>
      </c>
      <c r="C527" s="5">
        <v>46055</v>
      </c>
      <c r="D527" t="s">
        <v>458</v>
      </c>
      <c r="E527">
        <v>140</v>
      </c>
      <c r="I527" s="8" t="s">
        <v>467</v>
      </c>
      <c r="J527">
        <v>181140.93</v>
      </c>
    </row>
    <row r="528" spans="1:13">
      <c r="A528">
        <v>4</v>
      </c>
      <c r="B528">
        <v>1830197</v>
      </c>
      <c r="C528" s="5">
        <v>46055</v>
      </c>
      <c r="D528" t="s">
        <v>458</v>
      </c>
      <c r="E528">
        <v>469.51</v>
      </c>
    </row>
    <row r="529" spans="1:5">
      <c r="A529">
        <v>5</v>
      </c>
      <c r="B529">
        <v>1830197</v>
      </c>
      <c r="C529" s="5">
        <v>46055</v>
      </c>
      <c r="D529" t="s">
        <v>458</v>
      </c>
      <c r="E529">
        <v>263</v>
      </c>
    </row>
    <row r="530" spans="1:5">
      <c r="A530">
        <v>6</v>
      </c>
      <c r="B530">
        <v>1830197</v>
      </c>
      <c r="C530" s="5">
        <v>46055</v>
      </c>
      <c r="D530" t="s">
        <v>458</v>
      </c>
      <c r="E530">
        <v>24</v>
      </c>
    </row>
    <row r="531" spans="1:5">
      <c r="A531">
        <v>7</v>
      </c>
      <c r="B531">
        <v>1830197</v>
      </c>
      <c r="C531" s="5">
        <v>46055</v>
      </c>
      <c r="D531" t="s">
        <v>458</v>
      </c>
      <c r="E531">
        <v>202</v>
      </c>
    </row>
    <row r="532" spans="1:5">
      <c r="A532">
        <v>8</v>
      </c>
      <c r="B532">
        <v>1830197</v>
      </c>
      <c r="C532" s="5">
        <v>46055</v>
      </c>
      <c r="D532" t="s">
        <v>458</v>
      </c>
      <c r="E532">
        <v>0</v>
      </c>
    </row>
    <row r="533" spans="1:5">
      <c r="A533">
        <v>9</v>
      </c>
      <c r="B533">
        <v>1830197</v>
      </c>
      <c r="C533" s="5">
        <v>46055</v>
      </c>
      <c r="D533" t="s">
        <v>458</v>
      </c>
      <c r="E533">
        <v>0</v>
      </c>
    </row>
    <row r="534" spans="1:5">
      <c r="A534">
        <v>10</v>
      </c>
      <c r="B534">
        <v>1830197</v>
      </c>
      <c r="C534" s="5">
        <v>46055</v>
      </c>
      <c r="D534" t="s">
        <v>458</v>
      </c>
      <c r="E534">
        <v>3</v>
      </c>
    </row>
    <row r="535" spans="1:5">
      <c r="A535">
        <v>12</v>
      </c>
      <c r="B535">
        <v>1830197</v>
      </c>
      <c r="C535" s="5">
        <v>46055</v>
      </c>
      <c r="D535" t="s">
        <v>458</v>
      </c>
      <c r="E535">
        <v>9.8800000000000008</v>
      </c>
    </row>
    <row r="536" spans="1:5">
      <c r="A536">
        <v>13</v>
      </c>
      <c r="B536">
        <v>1830197</v>
      </c>
      <c r="C536" s="5">
        <v>46055</v>
      </c>
      <c r="D536" t="s">
        <v>458</v>
      </c>
      <c r="E536">
        <v>637</v>
      </c>
    </row>
    <row r="537" spans="1:5">
      <c r="A537">
        <v>19</v>
      </c>
      <c r="B537">
        <v>1830197</v>
      </c>
      <c r="C537" s="5">
        <v>46055</v>
      </c>
      <c r="D537" t="s">
        <v>458</v>
      </c>
      <c r="E537">
        <v>50</v>
      </c>
    </row>
    <row r="538" spans="1:5">
      <c r="A538">
        <v>20</v>
      </c>
      <c r="B538">
        <v>1830197</v>
      </c>
      <c r="C538" s="5">
        <v>46055</v>
      </c>
      <c r="D538" t="s">
        <v>458</v>
      </c>
      <c r="E538">
        <v>301</v>
      </c>
    </row>
    <row r="539" spans="1:5">
      <c r="A539">
        <v>21</v>
      </c>
      <c r="B539">
        <v>1830197</v>
      </c>
      <c r="C539" s="5">
        <v>46055</v>
      </c>
      <c r="D539" t="s">
        <v>458</v>
      </c>
      <c r="E539">
        <v>6</v>
      </c>
    </row>
    <row r="540" spans="1:5">
      <c r="A540">
        <v>23</v>
      </c>
      <c r="B540">
        <v>1830197</v>
      </c>
      <c r="C540" s="5">
        <v>46055</v>
      </c>
      <c r="D540" t="s">
        <v>458</v>
      </c>
      <c r="E540">
        <v>54</v>
      </c>
    </row>
    <row r="541" spans="1:5">
      <c r="A541">
        <v>26</v>
      </c>
      <c r="B541">
        <v>1830197</v>
      </c>
      <c r="C541" s="5">
        <v>46055</v>
      </c>
      <c r="D541" t="s">
        <v>458</v>
      </c>
      <c r="E541">
        <v>0.02</v>
      </c>
    </row>
    <row r="542" spans="1:5">
      <c r="A542">
        <v>31</v>
      </c>
      <c r="B542">
        <v>1830197</v>
      </c>
      <c r="C542" s="5">
        <v>46055</v>
      </c>
      <c r="D542" t="s">
        <v>458</v>
      </c>
      <c r="E542">
        <v>0</v>
      </c>
    </row>
    <row r="543" spans="1:5">
      <c r="A543">
        <v>33</v>
      </c>
      <c r="B543">
        <v>1830197</v>
      </c>
      <c r="C543" s="5">
        <v>46055</v>
      </c>
      <c r="D543" t="s">
        <v>458</v>
      </c>
      <c r="E543">
        <v>0</v>
      </c>
    </row>
    <row r="544" spans="1:5">
      <c r="A544">
        <v>42</v>
      </c>
      <c r="B544">
        <v>1830197</v>
      </c>
      <c r="C544" s="5">
        <v>46055</v>
      </c>
      <c r="D544" t="s">
        <v>458</v>
      </c>
      <c r="E544">
        <v>0</v>
      </c>
    </row>
    <row r="545" spans="1:5">
      <c r="A545">
        <v>45</v>
      </c>
      <c r="B545">
        <v>1830197</v>
      </c>
      <c r="C545" s="5">
        <v>46055</v>
      </c>
      <c r="D545" t="s">
        <v>458</v>
      </c>
      <c r="E545">
        <v>2364</v>
      </c>
    </row>
    <row r="546" spans="1:5">
      <c r="A546">
        <v>48</v>
      </c>
      <c r="B546">
        <v>1830197</v>
      </c>
      <c r="C546" s="5">
        <v>46055</v>
      </c>
      <c r="D546" t="s">
        <v>458</v>
      </c>
      <c r="E546">
        <v>0</v>
      </c>
    </row>
    <row r="547" spans="1:5">
      <c r="A547">
        <v>50</v>
      </c>
      <c r="B547">
        <v>1830197</v>
      </c>
      <c r="C547" s="5">
        <v>46055</v>
      </c>
      <c r="D547" t="s">
        <v>458</v>
      </c>
      <c r="E547">
        <v>165</v>
      </c>
    </row>
    <row r="548" spans="1:5">
      <c r="A548">
        <v>55</v>
      </c>
      <c r="B548">
        <v>1830197</v>
      </c>
      <c r="C548" s="5">
        <v>46055</v>
      </c>
      <c r="D548" t="s">
        <v>458</v>
      </c>
      <c r="E548">
        <v>3.82</v>
      </c>
    </row>
    <row r="549" spans="1:5">
      <c r="A549">
        <v>56</v>
      </c>
      <c r="B549">
        <v>1830197</v>
      </c>
      <c r="C549" s="5">
        <v>46055</v>
      </c>
      <c r="D549" t="s">
        <v>458</v>
      </c>
      <c r="E549">
        <v>1.1000000000000001</v>
      </c>
    </row>
    <row r="550" spans="1:5">
      <c r="A550">
        <v>62</v>
      </c>
      <c r="B550">
        <v>1830197</v>
      </c>
      <c r="C550" s="5">
        <v>46055</v>
      </c>
      <c r="D550" t="s">
        <v>458</v>
      </c>
      <c r="E550">
        <v>0</v>
      </c>
    </row>
    <row r="551" spans="1:5">
      <c r="A551">
        <v>63</v>
      </c>
      <c r="B551">
        <v>1830197</v>
      </c>
      <c r="C551" s="5">
        <v>46055</v>
      </c>
      <c r="D551" t="s">
        <v>458</v>
      </c>
      <c r="E551">
        <v>0.52</v>
      </c>
    </row>
    <row r="552" spans="1:5">
      <c r="A552">
        <v>65</v>
      </c>
      <c r="B552">
        <v>1830197</v>
      </c>
      <c r="C552" s="5">
        <v>46055</v>
      </c>
      <c r="D552" t="s">
        <v>458</v>
      </c>
      <c r="E552">
        <v>2</v>
      </c>
    </row>
    <row r="553" spans="1:5">
      <c r="A553">
        <v>67</v>
      </c>
      <c r="B553">
        <v>1830197</v>
      </c>
      <c r="C553" s="5">
        <v>46055</v>
      </c>
      <c r="D553" t="s">
        <v>458</v>
      </c>
      <c r="E553">
        <v>0</v>
      </c>
    </row>
    <row r="554" spans="1:5">
      <c r="A554">
        <v>69</v>
      </c>
      <c r="B554">
        <v>1830197</v>
      </c>
      <c r="C554" s="5">
        <v>46055</v>
      </c>
      <c r="D554" t="s">
        <v>458</v>
      </c>
      <c r="E554">
        <v>2</v>
      </c>
    </row>
    <row r="555" spans="1:5">
      <c r="A555">
        <v>70</v>
      </c>
      <c r="B555">
        <v>1830197</v>
      </c>
      <c r="C555" s="5">
        <v>46055</v>
      </c>
      <c r="D555" t="s">
        <v>458</v>
      </c>
      <c r="E555">
        <v>1</v>
      </c>
    </row>
    <row r="556" spans="1:5">
      <c r="A556">
        <v>76</v>
      </c>
      <c r="B556">
        <v>1830197</v>
      </c>
      <c r="C556" s="5">
        <v>46055</v>
      </c>
      <c r="D556" t="s">
        <v>458</v>
      </c>
      <c r="E556">
        <v>10</v>
      </c>
    </row>
    <row r="557" spans="1:5">
      <c r="A557">
        <v>86</v>
      </c>
      <c r="B557">
        <v>1830197</v>
      </c>
      <c r="C557" s="5">
        <v>46055</v>
      </c>
      <c r="D557" t="s">
        <v>458</v>
      </c>
      <c r="E557">
        <v>113</v>
      </c>
    </row>
    <row r="558" spans="1:5">
      <c r="A558">
        <v>90</v>
      </c>
      <c r="B558">
        <v>1830197</v>
      </c>
      <c r="C558" s="5">
        <v>46055</v>
      </c>
      <c r="D558" t="s">
        <v>458</v>
      </c>
      <c r="E558">
        <v>7</v>
      </c>
    </row>
    <row r="559" spans="1:5">
      <c r="A559">
        <v>93</v>
      </c>
      <c r="B559">
        <v>1830197</v>
      </c>
      <c r="C559" s="5">
        <v>46055</v>
      </c>
      <c r="D559" t="s">
        <v>458</v>
      </c>
      <c r="E559">
        <v>0</v>
      </c>
    </row>
    <row r="560" spans="1:5">
      <c r="A560">
        <v>94</v>
      </c>
      <c r="B560">
        <v>1830197</v>
      </c>
      <c r="C560" s="5">
        <v>46055</v>
      </c>
      <c r="D560" t="s">
        <v>458</v>
      </c>
      <c r="E560">
        <v>7</v>
      </c>
    </row>
    <row r="561" spans="1:5">
      <c r="A561">
        <v>97</v>
      </c>
      <c r="B561">
        <v>1830197</v>
      </c>
      <c r="C561" s="5">
        <v>46055</v>
      </c>
      <c r="D561" t="s">
        <v>458</v>
      </c>
      <c r="E561">
        <v>0</v>
      </c>
    </row>
    <row r="562" spans="1:5">
      <c r="A562">
        <v>98</v>
      </c>
      <c r="B562">
        <v>1830197</v>
      </c>
      <c r="C562" s="5">
        <v>46055</v>
      </c>
      <c r="D562" t="s">
        <v>458</v>
      </c>
      <c r="E562">
        <v>0</v>
      </c>
    </row>
    <row r="563" spans="1:5">
      <c r="A563">
        <v>101</v>
      </c>
      <c r="B563">
        <v>1830197</v>
      </c>
      <c r="C563" s="5">
        <v>46055</v>
      </c>
      <c r="D563" t="s">
        <v>458</v>
      </c>
      <c r="E563">
        <v>57</v>
      </c>
    </row>
    <row r="564" spans="1:5">
      <c r="A564">
        <v>102</v>
      </c>
      <c r="B564">
        <v>1830197</v>
      </c>
      <c r="C564" s="5">
        <v>46055</v>
      </c>
      <c r="D564" t="s">
        <v>458</v>
      </c>
      <c r="E564">
        <v>0</v>
      </c>
    </row>
    <row r="565" spans="1:5">
      <c r="A565">
        <v>103</v>
      </c>
      <c r="B565">
        <v>1830197</v>
      </c>
      <c r="C565" s="5">
        <v>46055</v>
      </c>
      <c r="D565" t="s">
        <v>458</v>
      </c>
      <c r="E565">
        <v>8</v>
      </c>
    </row>
    <row r="566" spans="1:5">
      <c r="A566">
        <v>109</v>
      </c>
      <c r="B566">
        <v>1830197</v>
      </c>
      <c r="C566" s="5">
        <v>46055</v>
      </c>
      <c r="D566" t="s">
        <v>458</v>
      </c>
      <c r="E566">
        <v>83</v>
      </c>
    </row>
    <row r="567" spans="1:5">
      <c r="A567">
        <v>110</v>
      </c>
      <c r="B567">
        <v>1830197</v>
      </c>
      <c r="C567" s="5">
        <v>46055</v>
      </c>
      <c r="D567" t="s">
        <v>458</v>
      </c>
      <c r="E567">
        <v>24</v>
      </c>
    </row>
    <row r="568" spans="1:5">
      <c r="A568">
        <v>111</v>
      </c>
      <c r="B568">
        <v>1830197</v>
      </c>
      <c r="C568" s="5">
        <v>46055</v>
      </c>
      <c r="D568" t="s">
        <v>458</v>
      </c>
      <c r="E568">
        <v>72</v>
      </c>
    </row>
    <row r="569" spans="1:5">
      <c r="A569">
        <v>116</v>
      </c>
      <c r="B569">
        <v>1830197</v>
      </c>
      <c r="C569" s="5">
        <v>46055</v>
      </c>
      <c r="D569" t="s">
        <v>458</v>
      </c>
      <c r="E569">
        <v>105</v>
      </c>
    </row>
    <row r="570" spans="1:5">
      <c r="A570">
        <v>117</v>
      </c>
      <c r="B570">
        <v>1830197</v>
      </c>
      <c r="C570" s="5">
        <v>46055</v>
      </c>
      <c r="D570" t="s">
        <v>458</v>
      </c>
      <c r="E570">
        <v>706</v>
      </c>
    </row>
    <row r="571" spans="1:5">
      <c r="A571">
        <v>118</v>
      </c>
      <c r="B571">
        <v>1830197</v>
      </c>
      <c r="C571" s="5">
        <v>46055</v>
      </c>
      <c r="D571" t="s">
        <v>458</v>
      </c>
      <c r="E571">
        <v>0</v>
      </c>
    </row>
    <row r="572" spans="1:5">
      <c r="A572">
        <v>127</v>
      </c>
      <c r="B572">
        <v>1830197</v>
      </c>
      <c r="C572" s="5">
        <v>46055</v>
      </c>
      <c r="D572" t="s">
        <v>458</v>
      </c>
      <c r="E572">
        <v>194</v>
      </c>
    </row>
    <row r="573" spans="1:5">
      <c r="A573">
        <v>128</v>
      </c>
      <c r="B573">
        <v>1830197</v>
      </c>
      <c r="C573" s="5">
        <v>46055</v>
      </c>
      <c r="D573" t="s">
        <v>458</v>
      </c>
      <c r="E573">
        <v>0</v>
      </c>
    </row>
    <row r="574" spans="1:5">
      <c r="A574">
        <v>131</v>
      </c>
      <c r="B574">
        <v>1830197</v>
      </c>
      <c r="C574" s="5">
        <v>46055</v>
      </c>
      <c r="D574" t="s">
        <v>458</v>
      </c>
      <c r="E574">
        <v>0</v>
      </c>
    </row>
    <row r="575" spans="1:5">
      <c r="A575">
        <v>141</v>
      </c>
      <c r="B575">
        <v>1830197</v>
      </c>
      <c r="C575" s="5">
        <v>46055</v>
      </c>
      <c r="D575" t="s">
        <v>458</v>
      </c>
      <c r="E575">
        <v>0</v>
      </c>
    </row>
    <row r="576" spans="1:5">
      <c r="A576">
        <v>142</v>
      </c>
      <c r="B576">
        <v>1830197</v>
      </c>
      <c r="C576" s="5">
        <v>46055</v>
      </c>
      <c r="D576" t="s">
        <v>458</v>
      </c>
      <c r="E576">
        <v>0</v>
      </c>
    </row>
    <row r="577" spans="1:5">
      <c r="A577">
        <v>143</v>
      </c>
      <c r="B577">
        <v>1830197</v>
      </c>
      <c r="C577" s="5">
        <v>46055</v>
      </c>
      <c r="D577" t="s">
        <v>458</v>
      </c>
      <c r="E577">
        <v>0</v>
      </c>
    </row>
    <row r="578" spans="1:5">
      <c r="A578">
        <v>155</v>
      </c>
      <c r="B578">
        <v>1830197</v>
      </c>
      <c r="C578" s="5">
        <v>46055</v>
      </c>
      <c r="D578" t="s">
        <v>458</v>
      </c>
      <c r="E578">
        <v>105</v>
      </c>
    </row>
    <row r="579" spans="1:5">
      <c r="A579">
        <v>163</v>
      </c>
      <c r="B579">
        <v>1830197</v>
      </c>
      <c r="C579" s="5">
        <v>46055</v>
      </c>
      <c r="D579" t="s">
        <v>458</v>
      </c>
      <c r="E579">
        <v>307</v>
      </c>
    </row>
    <row r="580" spans="1:5">
      <c r="A580">
        <v>166</v>
      </c>
      <c r="B580">
        <v>1830197</v>
      </c>
      <c r="C580" s="5">
        <v>46055</v>
      </c>
      <c r="D580" t="s">
        <v>458</v>
      </c>
      <c r="E580">
        <v>15</v>
      </c>
    </row>
    <row r="581" spans="1:5">
      <c r="A581">
        <v>168</v>
      </c>
      <c r="B581">
        <v>1830197</v>
      </c>
      <c r="C581" s="5">
        <v>46055</v>
      </c>
      <c r="D581" t="s">
        <v>458</v>
      </c>
      <c r="E581">
        <v>11.44</v>
      </c>
    </row>
    <row r="582" spans="1:5">
      <c r="A582">
        <v>170</v>
      </c>
      <c r="B582">
        <v>1830197</v>
      </c>
      <c r="C582" s="5">
        <v>46055</v>
      </c>
      <c r="D582" t="s">
        <v>458</v>
      </c>
      <c r="E582">
        <v>0</v>
      </c>
    </row>
    <row r="583" spans="1:5">
      <c r="A583">
        <v>187</v>
      </c>
      <c r="B583">
        <v>1830197</v>
      </c>
      <c r="C583" s="5">
        <v>46055</v>
      </c>
      <c r="D583" t="s">
        <v>458</v>
      </c>
      <c r="E583">
        <v>11</v>
      </c>
    </row>
    <row r="584" spans="1:5">
      <c r="A584">
        <v>193</v>
      </c>
      <c r="B584">
        <v>1830197</v>
      </c>
      <c r="C584" s="5">
        <v>46055</v>
      </c>
      <c r="D584" t="s">
        <v>458</v>
      </c>
      <c r="E584">
        <v>6483</v>
      </c>
    </row>
    <row r="585" spans="1:5">
      <c r="A585">
        <v>205</v>
      </c>
      <c r="B585">
        <v>1830197</v>
      </c>
      <c r="C585" s="5">
        <v>46055</v>
      </c>
      <c r="D585" t="s">
        <v>458</v>
      </c>
      <c r="E585">
        <v>0</v>
      </c>
    </row>
    <row r="586" spans="1:5">
      <c r="A586">
        <v>206</v>
      </c>
      <c r="B586">
        <v>1830197</v>
      </c>
      <c r="C586" s="5">
        <v>46055</v>
      </c>
      <c r="D586" t="s">
        <v>458</v>
      </c>
      <c r="E586">
        <v>17</v>
      </c>
    </row>
    <row r="587" spans="1:5">
      <c r="A587">
        <v>209</v>
      </c>
      <c r="B587">
        <v>1830197</v>
      </c>
      <c r="C587" s="5">
        <v>46055</v>
      </c>
      <c r="D587" t="s">
        <v>458</v>
      </c>
      <c r="E587">
        <v>0</v>
      </c>
    </row>
    <row r="588" spans="1:5">
      <c r="A588">
        <v>210</v>
      </c>
      <c r="B588">
        <v>1830197</v>
      </c>
      <c r="C588" s="5">
        <v>46055</v>
      </c>
      <c r="D588" t="s">
        <v>458</v>
      </c>
      <c r="E588">
        <v>1</v>
      </c>
    </row>
    <row r="589" spans="1:5">
      <c r="A589">
        <v>223</v>
      </c>
      <c r="B589">
        <v>1830197</v>
      </c>
      <c r="C589" s="5">
        <v>46055</v>
      </c>
      <c r="D589" t="s">
        <v>458</v>
      </c>
      <c r="E589">
        <v>1107</v>
      </c>
    </row>
    <row r="590" spans="1:5">
      <c r="A590">
        <v>247</v>
      </c>
      <c r="B590">
        <v>1830197</v>
      </c>
      <c r="C590" s="5">
        <v>46055</v>
      </c>
      <c r="D590" t="s">
        <v>458</v>
      </c>
      <c r="E590">
        <v>0</v>
      </c>
    </row>
    <row r="591" spans="1:5">
      <c r="A591">
        <v>253</v>
      </c>
      <c r="B591">
        <v>1830197</v>
      </c>
      <c r="C591" s="5">
        <v>46055</v>
      </c>
      <c r="D591" t="s">
        <v>458</v>
      </c>
      <c r="E591">
        <v>10.15</v>
      </c>
    </row>
    <row r="592" spans="1:5">
      <c r="A592">
        <v>254</v>
      </c>
      <c r="B592">
        <v>1830197</v>
      </c>
      <c r="C592" s="5">
        <v>46055</v>
      </c>
      <c r="D592" t="s">
        <v>458</v>
      </c>
      <c r="E592">
        <v>3</v>
      </c>
    </row>
    <row r="593" spans="1:5">
      <c r="A593">
        <v>261</v>
      </c>
      <c r="B593">
        <v>1830197</v>
      </c>
      <c r="C593" s="5">
        <v>46055</v>
      </c>
      <c r="D593" t="s">
        <v>458</v>
      </c>
      <c r="E593">
        <v>4</v>
      </c>
    </row>
    <row r="594" spans="1:5">
      <c r="A594">
        <v>262</v>
      </c>
      <c r="B594">
        <v>1830197</v>
      </c>
      <c r="C594" s="5">
        <v>46055</v>
      </c>
      <c r="D594" t="s">
        <v>458</v>
      </c>
      <c r="E594">
        <v>0</v>
      </c>
    </row>
    <row r="595" spans="1:5">
      <c r="A595">
        <v>268</v>
      </c>
      <c r="B595">
        <v>1830197</v>
      </c>
      <c r="C595" s="5">
        <v>46055</v>
      </c>
      <c r="D595" t="s">
        <v>458</v>
      </c>
      <c r="E595">
        <v>38</v>
      </c>
    </row>
    <row r="596" spans="1:5">
      <c r="A596">
        <v>269</v>
      </c>
      <c r="B596">
        <v>1830197</v>
      </c>
      <c r="C596" s="5">
        <v>46055</v>
      </c>
      <c r="D596" t="s">
        <v>458</v>
      </c>
      <c r="E596">
        <v>39</v>
      </c>
    </row>
    <row r="597" spans="1:5">
      <c r="A597">
        <v>284</v>
      </c>
      <c r="B597">
        <v>1830197</v>
      </c>
      <c r="C597" s="5">
        <v>46055</v>
      </c>
      <c r="D597" t="s">
        <v>458</v>
      </c>
      <c r="E597">
        <v>13</v>
      </c>
    </row>
    <row r="598" spans="1:5">
      <c r="A598">
        <v>285</v>
      </c>
      <c r="B598">
        <v>1830197</v>
      </c>
      <c r="C598" s="5">
        <v>46055</v>
      </c>
      <c r="D598" t="s">
        <v>458</v>
      </c>
      <c r="E598">
        <v>46</v>
      </c>
    </row>
    <row r="599" spans="1:5">
      <c r="A599">
        <v>288</v>
      </c>
      <c r="B599">
        <v>1830197</v>
      </c>
      <c r="C599" s="5">
        <v>46055</v>
      </c>
      <c r="D599" t="s">
        <v>458</v>
      </c>
      <c r="E599">
        <v>37</v>
      </c>
    </row>
    <row r="600" spans="1:5">
      <c r="A600">
        <v>289</v>
      </c>
      <c r="B600">
        <v>1830197</v>
      </c>
      <c r="C600" s="5">
        <v>46055</v>
      </c>
      <c r="D600" t="s">
        <v>458</v>
      </c>
      <c r="E600">
        <v>0</v>
      </c>
    </row>
    <row r="601" spans="1:5">
      <c r="A601">
        <v>295</v>
      </c>
      <c r="B601">
        <v>1830197</v>
      </c>
      <c r="C601" s="5">
        <v>46055</v>
      </c>
      <c r="D601" t="s">
        <v>458</v>
      </c>
      <c r="E601">
        <v>28</v>
      </c>
    </row>
    <row r="602" spans="1:5">
      <c r="A602">
        <v>300</v>
      </c>
      <c r="B602">
        <v>1830197</v>
      </c>
      <c r="C602" s="5">
        <v>46055</v>
      </c>
      <c r="D602" t="s">
        <v>458</v>
      </c>
      <c r="E602">
        <v>0</v>
      </c>
    </row>
    <row r="603" spans="1:5">
      <c r="A603">
        <v>311</v>
      </c>
      <c r="B603">
        <v>1830197</v>
      </c>
      <c r="C603" s="5">
        <v>46055</v>
      </c>
      <c r="D603" t="s">
        <v>458</v>
      </c>
      <c r="E603">
        <v>0</v>
      </c>
    </row>
    <row r="604" spans="1:5">
      <c r="A604">
        <v>330</v>
      </c>
      <c r="B604">
        <v>1830197</v>
      </c>
      <c r="C604" s="5">
        <v>46055</v>
      </c>
      <c r="D604" t="s">
        <v>458</v>
      </c>
      <c r="E604">
        <v>3</v>
      </c>
    </row>
    <row r="605" spans="1:5">
      <c r="A605">
        <v>335</v>
      </c>
      <c r="B605">
        <v>1830197</v>
      </c>
      <c r="C605" s="5">
        <v>46055</v>
      </c>
      <c r="D605" t="s">
        <v>458</v>
      </c>
      <c r="E605">
        <v>4</v>
      </c>
    </row>
    <row r="606" spans="1:5">
      <c r="A606">
        <v>336</v>
      </c>
      <c r="B606">
        <v>1830197</v>
      </c>
      <c r="C606" s="5">
        <v>46055</v>
      </c>
      <c r="D606" t="s">
        <v>458</v>
      </c>
      <c r="E606">
        <v>0</v>
      </c>
    </row>
    <row r="607" spans="1:5">
      <c r="A607">
        <v>337</v>
      </c>
      <c r="B607">
        <v>1830197</v>
      </c>
      <c r="C607" s="5">
        <v>46055</v>
      </c>
      <c r="D607" t="s">
        <v>458</v>
      </c>
      <c r="E607">
        <v>0</v>
      </c>
    </row>
    <row r="608" spans="1:5">
      <c r="A608">
        <v>382</v>
      </c>
      <c r="B608">
        <v>1830197</v>
      </c>
      <c r="C608" s="5">
        <v>46055</v>
      </c>
      <c r="D608" t="s">
        <v>458</v>
      </c>
      <c r="E608">
        <v>1</v>
      </c>
    </row>
    <row r="609" spans="1:5">
      <c r="A609">
        <v>385</v>
      </c>
      <c r="B609">
        <v>1830197</v>
      </c>
      <c r="C609" s="5">
        <v>46055</v>
      </c>
      <c r="D609" t="s">
        <v>458</v>
      </c>
      <c r="E609">
        <v>54</v>
      </c>
    </row>
    <row r="610" spans="1:5">
      <c r="A610">
        <v>386</v>
      </c>
      <c r="B610">
        <v>1830197</v>
      </c>
      <c r="C610" s="5">
        <v>46055</v>
      </c>
      <c r="D610" t="s">
        <v>458</v>
      </c>
      <c r="E610">
        <v>0</v>
      </c>
    </row>
    <row r="611" spans="1:5">
      <c r="A611">
        <v>391</v>
      </c>
      <c r="B611">
        <v>1830197</v>
      </c>
      <c r="C611" s="5">
        <v>46055</v>
      </c>
      <c r="D611" t="s">
        <v>458</v>
      </c>
      <c r="E611">
        <v>0</v>
      </c>
    </row>
    <row r="612" spans="1:5">
      <c r="A612">
        <v>397</v>
      </c>
      <c r="B612">
        <v>1830197</v>
      </c>
      <c r="C612" s="5">
        <v>46055</v>
      </c>
      <c r="D612" t="s">
        <v>458</v>
      </c>
      <c r="E612">
        <v>0</v>
      </c>
    </row>
    <row r="613" spans="1:5">
      <c r="A613">
        <v>398</v>
      </c>
      <c r="B613">
        <v>1830197</v>
      </c>
      <c r="C613" s="5">
        <v>46055</v>
      </c>
      <c r="D613" t="s">
        <v>458</v>
      </c>
      <c r="E613">
        <v>0</v>
      </c>
    </row>
    <row r="614" spans="1:5">
      <c r="A614">
        <v>406</v>
      </c>
      <c r="B614">
        <v>1830197</v>
      </c>
      <c r="C614" s="5">
        <v>46055</v>
      </c>
      <c r="D614" t="s">
        <v>458</v>
      </c>
      <c r="E614">
        <v>0.06</v>
      </c>
    </row>
    <row r="615" spans="1:5">
      <c r="A615">
        <v>407</v>
      </c>
      <c r="B615">
        <v>1830197</v>
      </c>
      <c r="C615" s="5">
        <v>46055</v>
      </c>
      <c r="D615" t="s">
        <v>458</v>
      </c>
      <c r="E615">
        <v>1320</v>
      </c>
    </row>
    <row r="616" spans="1:5">
      <c r="A616">
        <v>408</v>
      </c>
      <c r="B616">
        <v>1830197</v>
      </c>
      <c r="C616" s="5">
        <v>46055</v>
      </c>
      <c r="D616" t="s">
        <v>458</v>
      </c>
      <c r="E616">
        <v>125</v>
      </c>
    </row>
    <row r="617" spans="1:5">
      <c r="A617">
        <v>409</v>
      </c>
      <c r="B617">
        <v>1830197</v>
      </c>
      <c r="C617" s="5">
        <v>46055</v>
      </c>
      <c r="D617" t="s">
        <v>458</v>
      </c>
      <c r="E617">
        <v>0</v>
      </c>
    </row>
    <row r="618" spans="1:5">
      <c r="A618">
        <v>410</v>
      </c>
      <c r="B618">
        <v>1830197</v>
      </c>
      <c r="C618" s="5">
        <v>46055</v>
      </c>
      <c r="D618" t="s">
        <v>458</v>
      </c>
      <c r="E618">
        <v>0</v>
      </c>
    </row>
    <row r="619" spans="1:5">
      <c r="A619">
        <v>419</v>
      </c>
      <c r="B619">
        <v>1830197</v>
      </c>
      <c r="C619" s="5">
        <v>46055</v>
      </c>
      <c r="D619" t="s">
        <v>458</v>
      </c>
      <c r="E619">
        <v>300</v>
      </c>
    </row>
    <row r="620" spans="1:5">
      <c r="A620">
        <v>472</v>
      </c>
      <c r="B620">
        <v>1830197</v>
      </c>
      <c r="C620" s="5">
        <v>46055</v>
      </c>
      <c r="D620" t="s">
        <v>458</v>
      </c>
      <c r="E620">
        <v>0</v>
      </c>
    </row>
    <row r="621" spans="1:5">
      <c r="A621">
        <v>483</v>
      </c>
      <c r="B621">
        <v>1830197</v>
      </c>
      <c r="C621" s="5">
        <v>46055</v>
      </c>
      <c r="D621" t="s">
        <v>458</v>
      </c>
      <c r="E621">
        <v>166</v>
      </c>
    </row>
    <row r="622" spans="1:5">
      <c r="A622">
        <v>591</v>
      </c>
      <c r="B622">
        <v>1830197</v>
      </c>
      <c r="C622" s="5">
        <v>46055</v>
      </c>
      <c r="D622" t="s">
        <v>458</v>
      </c>
      <c r="E622">
        <v>29</v>
      </c>
    </row>
    <row r="623" spans="1:5">
      <c r="A623">
        <v>592</v>
      </c>
      <c r="B623">
        <v>1830197</v>
      </c>
      <c r="C623" s="5">
        <v>46055</v>
      </c>
      <c r="D623" t="s">
        <v>458</v>
      </c>
      <c r="E623">
        <v>69</v>
      </c>
    </row>
    <row r="624" spans="1:5">
      <c r="A624">
        <v>609</v>
      </c>
      <c r="B624">
        <v>1830197</v>
      </c>
      <c r="C624" s="5">
        <v>46055</v>
      </c>
      <c r="D624" t="s">
        <v>458</v>
      </c>
      <c r="E624">
        <v>208</v>
      </c>
    </row>
    <row r="625" spans="1:5">
      <c r="A625">
        <v>708</v>
      </c>
      <c r="B625">
        <v>1830197</v>
      </c>
      <c r="C625" s="5">
        <v>46055</v>
      </c>
      <c r="D625" t="s">
        <v>458</v>
      </c>
      <c r="E625">
        <v>5</v>
      </c>
    </row>
    <row r="626" spans="1:5">
      <c r="A626">
        <v>731</v>
      </c>
      <c r="B626">
        <v>1830197</v>
      </c>
      <c r="C626" s="5">
        <v>46055</v>
      </c>
      <c r="D626" t="s">
        <v>458</v>
      </c>
      <c r="E626">
        <v>0</v>
      </c>
    </row>
    <row r="627" spans="1:5">
      <c r="A627">
        <v>736</v>
      </c>
      <c r="B627">
        <v>1830197</v>
      </c>
      <c r="C627" s="5">
        <v>46055</v>
      </c>
      <c r="D627" t="s">
        <v>458</v>
      </c>
      <c r="E627">
        <v>73</v>
      </c>
    </row>
    <row r="628" spans="1:5">
      <c r="A628">
        <v>803</v>
      </c>
      <c r="B628">
        <v>1830197</v>
      </c>
      <c r="C628" s="5">
        <v>46055</v>
      </c>
      <c r="D628" t="s">
        <v>458</v>
      </c>
      <c r="E628">
        <v>0</v>
      </c>
    </row>
    <row r="629" spans="1:5">
      <c r="A629">
        <v>804</v>
      </c>
      <c r="B629">
        <v>1830197</v>
      </c>
      <c r="C629" s="5">
        <v>46055</v>
      </c>
      <c r="D629" t="s">
        <v>458</v>
      </c>
      <c r="E629">
        <v>0</v>
      </c>
    </row>
    <row r="630" spans="1:5">
      <c r="A630">
        <v>808</v>
      </c>
      <c r="B630">
        <v>1830197</v>
      </c>
      <c r="C630" s="5">
        <v>46055</v>
      </c>
      <c r="D630" t="s">
        <v>458</v>
      </c>
      <c r="E630">
        <v>0</v>
      </c>
    </row>
    <row r="631" spans="1:5">
      <c r="A631">
        <v>821</v>
      </c>
      <c r="B631">
        <v>1830197</v>
      </c>
      <c r="C631" s="5">
        <v>46055</v>
      </c>
      <c r="D631" t="s">
        <v>458</v>
      </c>
      <c r="E631">
        <v>325</v>
      </c>
    </row>
    <row r="632" spans="1:5">
      <c r="A632">
        <v>880</v>
      </c>
      <c r="B632">
        <v>1830197</v>
      </c>
      <c r="C632" s="5">
        <v>46055</v>
      </c>
      <c r="D632" t="s">
        <v>458</v>
      </c>
      <c r="E632">
        <v>0</v>
      </c>
    </row>
    <row r="633" spans="1:5">
      <c r="A633">
        <v>894</v>
      </c>
      <c r="B633">
        <v>1830197</v>
      </c>
      <c r="C633" s="5">
        <v>46055</v>
      </c>
      <c r="D633" t="s">
        <v>458</v>
      </c>
      <c r="E633">
        <v>0</v>
      </c>
    </row>
    <row r="634" spans="1:5">
      <c r="A634">
        <v>994</v>
      </c>
      <c r="B634">
        <v>1830197</v>
      </c>
      <c r="C634" s="5">
        <v>46055</v>
      </c>
      <c r="D634" t="s">
        <v>458</v>
      </c>
      <c r="E634">
        <v>0</v>
      </c>
    </row>
    <row r="635" spans="1:5">
      <c r="A635">
        <v>995</v>
      </c>
      <c r="B635">
        <v>1830197</v>
      </c>
      <c r="C635" s="5">
        <v>46055</v>
      </c>
      <c r="D635" t="s">
        <v>458</v>
      </c>
      <c r="E635">
        <v>0</v>
      </c>
    </row>
    <row r="636" spans="1:5">
      <c r="A636">
        <v>996</v>
      </c>
      <c r="B636">
        <v>1830197</v>
      </c>
      <c r="C636" s="5">
        <v>46055</v>
      </c>
      <c r="D636" t="s">
        <v>458</v>
      </c>
      <c r="E636">
        <v>0</v>
      </c>
    </row>
    <row r="637" spans="1:5">
      <c r="A637">
        <v>997</v>
      </c>
      <c r="B637">
        <v>1830197</v>
      </c>
      <c r="C637" s="5">
        <v>46055</v>
      </c>
      <c r="D637" t="s">
        <v>458</v>
      </c>
      <c r="E637">
        <v>0</v>
      </c>
    </row>
    <row r="638" spans="1:5">
      <c r="A638">
        <v>1007</v>
      </c>
      <c r="B638">
        <v>1830197</v>
      </c>
      <c r="C638" s="5">
        <v>46055</v>
      </c>
      <c r="D638" t="s">
        <v>458</v>
      </c>
      <c r="E638">
        <v>1.77</v>
      </c>
    </row>
    <row r="639" spans="1:5">
      <c r="A639">
        <v>1116</v>
      </c>
      <c r="B639">
        <v>1830197</v>
      </c>
      <c r="C639" s="5">
        <v>46055</v>
      </c>
      <c r="D639" t="s">
        <v>458</v>
      </c>
      <c r="E639">
        <v>18.79</v>
      </c>
    </row>
    <row r="640" spans="1:5">
      <c r="A640">
        <v>1125</v>
      </c>
      <c r="B640">
        <v>1830197</v>
      </c>
      <c r="C640" s="5">
        <v>46055</v>
      </c>
      <c r="D640" t="s">
        <v>458</v>
      </c>
      <c r="E640">
        <v>63</v>
      </c>
    </row>
    <row r="641" spans="1:5">
      <c r="A641">
        <v>1127</v>
      </c>
      <c r="B641">
        <v>1830197</v>
      </c>
      <c r="C641" s="5">
        <v>46055</v>
      </c>
      <c r="D641" t="s">
        <v>458</v>
      </c>
      <c r="E641">
        <v>0</v>
      </c>
    </row>
    <row r="642" spans="1:5">
      <c r="A642">
        <v>1131</v>
      </c>
      <c r="B642">
        <v>1830197</v>
      </c>
      <c r="C642" s="5">
        <v>46055</v>
      </c>
      <c r="D642" t="s">
        <v>458</v>
      </c>
      <c r="E642">
        <v>0</v>
      </c>
    </row>
    <row r="643" spans="1:5">
      <c r="A643">
        <v>1139</v>
      </c>
      <c r="B643">
        <v>1830197</v>
      </c>
      <c r="C643" s="5">
        <v>46055</v>
      </c>
      <c r="D643" t="s">
        <v>458</v>
      </c>
      <c r="E643">
        <v>445</v>
      </c>
    </row>
    <row r="644" spans="1:5">
      <c r="A644">
        <v>1146</v>
      </c>
      <c r="B644">
        <v>1830197</v>
      </c>
      <c r="C644" s="5">
        <v>46055</v>
      </c>
      <c r="D644" t="s">
        <v>458</v>
      </c>
      <c r="E644">
        <v>50</v>
      </c>
    </row>
    <row r="645" spans="1:5">
      <c r="A645">
        <v>1179</v>
      </c>
      <c r="B645">
        <v>1830197</v>
      </c>
      <c r="C645" s="5">
        <v>46055</v>
      </c>
      <c r="D645" t="s">
        <v>458</v>
      </c>
      <c r="E645">
        <v>0</v>
      </c>
    </row>
    <row r="646" spans="1:5">
      <c r="A646">
        <v>1224</v>
      </c>
      <c r="B646">
        <v>1830197</v>
      </c>
      <c r="C646" s="5">
        <v>46055</v>
      </c>
      <c r="D646" t="s">
        <v>458</v>
      </c>
      <c r="E646">
        <v>0</v>
      </c>
    </row>
    <row r="647" spans="1:5">
      <c r="A647">
        <v>1242</v>
      </c>
      <c r="B647">
        <v>1830197</v>
      </c>
      <c r="C647" s="5">
        <v>46055</v>
      </c>
      <c r="D647" t="s">
        <v>458</v>
      </c>
      <c r="E647">
        <v>265</v>
      </c>
    </row>
    <row r="648" spans="1:5">
      <c r="A648">
        <v>1243</v>
      </c>
      <c r="B648">
        <v>1830197</v>
      </c>
      <c r="C648" s="5">
        <v>46055</v>
      </c>
      <c r="D648" t="s">
        <v>458</v>
      </c>
      <c r="E648">
        <v>0</v>
      </c>
    </row>
    <row r="649" spans="1:5">
      <c r="A649">
        <v>1244</v>
      </c>
      <c r="B649">
        <v>1830197</v>
      </c>
      <c r="C649" s="5">
        <v>46055</v>
      </c>
      <c r="D649" t="s">
        <v>458</v>
      </c>
      <c r="E649">
        <v>0</v>
      </c>
    </row>
    <row r="650" spans="1:5">
      <c r="A650">
        <v>1245</v>
      </c>
      <c r="B650">
        <v>1830197</v>
      </c>
      <c r="C650" s="5">
        <v>46055</v>
      </c>
      <c r="D650" t="s">
        <v>458</v>
      </c>
      <c r="E650">
        <v>0</v>
      </c>
    </row>
    <row r="651" spans="1:5">
      <c r="A651">
        <v>1394</v>
      </c>
      <c r="B651">
        <v>1830197</v>
      </c>
      <c r="C651" s="5">
        <v>46055</v>
      </c>
      <c r="D651" t="s">
        <v>458</v>
      </c>
      <c r="E651">
        <v>0</v>
      </c>
    </row>
    <row r="652" spans="1:5">
      <c r="A652">
        <v>1441</v>
      </c>
      <c r="B652">
        <v>1830197</v>
      </c>
      <c r="C652" s="5">
        <v>46055</v>
      </c>
      <c r="D652" t="s">
        <v>458</v>
      </c>
      <c r="E652">
        <v>111</v>
      </c>
    </row>
    <row r="653" spans="1:5">
      <c r="A653">
        <v>1494</v>
      </c>
      <c r="B653">
        <v>1830197</v>
      </c>
      <c r="C653" s="5">
        <v>46055</v>
      </c>
      <c r="D653" t="s">
        <v>458</v>
      </c>
      <c r="E653">
        <v>0</v>
      </c>
    </row>
    <row r="654" spans="1:5">
      <c r="A654">
        <v>1503</v>
      </c>
      <c r="B654">
        <v>1830197</v>
      </c>
      <c r="C654" s="5">
        <v>46055</v>
      </c>
      <c r="D654" t="s">
        <v>458</v>
      </c>
      <c r="E654">
        <v>7.0000000000000007E-2</v>
      </c>
    </row>
    <row r="655" spans="1:5">
      <c r="A655">
        <v>1541</v>
      </c>
      <c r="B655">
        <v>1830197</v>
      </c>
      <c r="C655" s="5">
        <v>46055</v>
      </c>
      <c r="D655" t="s">
        <v>458</v>
      </c>
      <c r="E655">
        <v>2</v>
      </c>
    </row>
    <row r="656" spans="1:5">
      <c r="A656">
        <v>1637</v>
      </c>
      <c r="B656">
        <v>1830197</v>
      </c>
      <c r="C656" s="5">
        <v>46055</v>
      </c>
      <c r="D656" t="s">
        <v>458</v>
      </c>
      <c r="E656">
        <v>684</v>
      </c>
    </row>
    <row r="657" spans="1:5">
      <c r="A657">
        <v>1782</v>
      </c>
      <c r="B657">
        <v>1830197</v>
      </c>
      <c r="C657" s="5">
        <v>46055</v>
      </c>
      <c r="D657" t="s">
        <v>458</v>
      </c>
      <c r="E657">
        <v>0</v>
      </c>
    </row>
    <row r="658" spans="1:5">
      <c r="A658">
        <v>1798</v>
      </c>
      <c r="B658">
        <v>1830197</v>
      </c>
      <c r="C658" s="5">
        <v>46055</v>
      </c>
      <c r="D658" t="s">
        <v>458</v>
      </c>
      <c r="E658">
        <v>0</v>
      </c>
    </row>
    <row r="659" spans="1:5">
      <c r="A659">
        <v>1799</v>
      </c>
      <c r="B659">
        <v>1830197</v>
      </c>
      <c r="C659" s="5">
        <v>46055</v>
      </c>
      <c r="D659" t="s">
        <v>458</v>
      </c>
      <c r="E659">
        <v>0</v>
      </c>
    </row>
    <row r="660" spans="1:5">
      <c r="A660">
        <v>1811</v>
      </c>
      <c r="B660">
        <v>1830197</v>
      </c>
      <c r="C660" s="5">
        <v>46055</v>
      </c>
      <c r="D660" t="s">
        <v>458</v>
      </c>
      <c r="E660">
        <v>164</v>
      </c>
    </row>
    <row r="661" spans="1:5">
      <c r="A661">
        <v>1812</v>
      </c>
      <c r="B661">
        <v>1830197</v>
      </c>
      <c r="C661" s="5">
        <v>46055</v>
      </c>
      <c r="D661" t="s">
        <v>458</v>
      </c>
      <c r="E661">
        <v>0</v>
      </c>
    </row>
    <row r="662" spans="1:5">
      <c r="A662">
        <v>1850</v>
      </c>
      <c r="B662">
        <v>1830197</v>
      </c>
      <c r="C662" s="5">
        <v>46055</v>
      </c>
      <c r="D662" t="s">
        <v>458</v>
      </c>
      <c r="E662">
        <v>0</v>
      </c>
    </row>
    <row r="663" spans="1:5">
      <c r="A663">
        <v>1863</v>
      </c>
      <c r="B663">
        <v>1830197</v>
      </c>
      <c r="C663" s="5">
        <v>46055</v>
      </c>
      <c r="D663" t="s">
        <v>458</v>
      </c>
      <c r="E663">
        <v>0</v>
      </c>
    </row>
    <row r="664" spans="1:5">
      <c r="A664">
        <v>1870</v>
      </c>
      <c r="B664">
        <v>1830197</v>
      </c>
      <c r="C664" s="5">
        <v>46055</v>
      </c>
      <c r="D664" t="s">
        <v>458</v>
      </c>
      <c r="E664">
        <v>0</v>
      </c>
    </row>
    <row r="665" spans="1:5">
      <c r="A665">
        <v>1912</v>
      </c>
      <c r="B665">
        <v>1830197</v>
      </c>
      <c r="C665" s="5">
        <v>46055</v>
      </c>
      <c r="D665" t="s">
        <v>458</v>
      </c>
      <c r="E665">
        <v>0</v>
      </c>
    </row>
    <row r="666" spans="1:5">
      <c r="A666">
        <v>2016</v>
      </c>
      <c r="B666">
        <v>1830197</v>
      </c>
      <c r="C666" s="5">
        <v>46055</v>
      </c>
      <c r="D666" t="s">
        <v>458</v>
      </c>
      <c r="E666">
        <v>0</v>
      </c>
    </row>
    <row r="667" spans="1:5">
      <c r="A667">
        <v>2254</v>
      </c>
      <c r="B667">
        <v>1830197</v>
      </c>
      <c r="C667" s="5">
        <v>46055</v>
      </c>
      <c r="D667" t="s">
        <v>458</v>
      </c>
      <c r="E667">
        <v>6</v>
      </c>
    </row>
    <row r="668" spans="1:5">
      <c r="A668">
        <v>2255</v>
      </c>
      <c r="B668">
        <v>1830197</v>
      </c>
      <c r="C668" s="5">
        <v>46055</v>
      </c>
      <c r="D668" t="s">
        <v>458</v>
      </c>
      <c r="E668">
        <v>4</v>
      </c>
    </row>
    <row r="669" spans="1:5">
      <c r="A669">
        <v>2399</v>
      </c>
      <c r="B669">
        <v>1830197</v>
      </c>
      <c r="C669" s="5">
        <v>46055</v>
      </c>
      <c r="D669" t="s">
        <v>458</v>
      </c>
      <c r="E669">
        <v>-1.63</v>
      </c>
    </row>
    <row r="670" spans="1:5">
      <c r="A670">
        <v>2441</v>
      </c>
      <c r="B670">
        <v>1830197</v>
      </c>
      <c r="C670" s="5">
        <v>46055</v>
      </c>
      <c r="D670" t="s">
        <v>458</v>
      </c>
      <c r="E670">
        <v>0</v>
      </c>
    </row>
    <row r="671" spans="1:5">
      <c r="A671">
        <v>2442</v>
      </c>
      <c r="B671">
        <v>1830197</v>
      </c>
      <c r="C671" s="5">
        <v>46055</v>
      </c>
      <c r="D671" t="s">
        <v>458</v>
      </c>
      <c r="E671">
        <v>0</v>
      </c>
    </row>
    <row r="672" spans="1:5">
      <c r="A672">
        <v>2481</v>
      </c>
      <c r="B672">
        <v>1830197</v>
      </c>
      <c r="C672" s="5">
        <v>46055</v>
      </c>
      <c r="D672" t="s">
        <v>458</v>
      </c>
      <c r="E672">
        <v>0.24</v>
      </c>
    </row>
    <row r="673" spans="1:5">
      <c r="A673">
        <v>2540</v>
      </c>
      <c r="B673">
        <v>1830197</v>
      </c>
      <c r="C673" s="5">
        <v>46055</v>
      </c>
      <c r="D673" t="s">
        <v>458</v>
      </c>
      <c r="E673">
        <v>15</v>
      </c>
    </row>
    <row r="674" spans="1:5">
      <c r="A674">
        <v>2549</v>
      </c>
      <c r="B674">
        <v>1830197</v>
      </c>
      <c r="C674" s="5">
        <v>46055</v>
      </c>
      <c r="D674" t="s">
        <v>458</v>
      </c>
      <c r="E674">
        <v>45</v>
      </c>
    </row>
    <row r="675" spans="1:5">
      <c r="A675">
        <v>2550</v>
      </c>
      <c r="B675">
        <v>1830197</v>
      </c>
      <c r="C675" s="5">
        <v>46055</v>
      </c>
      <c r="D675" t="s">
        <v>458</v>
      </c>
      <c r="E675">
        <v>8</v>
      </c>
    </row>
    <row r="676" spans="1:5">
      <c r="A676">
        <v>2589</v>
      </c>
      <c r="B676">
        <v>1830197</v>
      </c>
      <c r="C676" s="5">
        <v>46055</v>
      </c>
      <c r="D676" t="s">
        <v>458</v>
      </c>
      <c r="E676">
        <v>0</v>
      </c>
    </row>
    <row r="677" spans="1:5">
      <c r="A677">
        <v>2590</v>
      </c>
      <c r="B677">
        <v>1830197</v>
      </c>
      <c r="C677" s="5">
        <v>46055</v>
      </c>
      <c r="D677" t="s">
        <v>458</v>
      </c>
      <c r="E677">
        <v>0</v>
      </c>
    </row>
    <row r="678" spans="1:5">
      <c r="A678">
        <v>2591</v>
      </c>
      <c r="B678">
        <v>1830197</v>
      </c>
      <c r="C678" s="5">
        <v>46055</v>
      </c>
      <c r="D678" t="s">
        <v>458</v>
      </c>
      <c r="E678">
        <v>8</v>
      </c>
    </row>
    <row r="679" spans="1:5">
      <c r="A679">
        <v>2601</v>
      </c>
      <c r="B679">
        <v>1830197</v>
      </c>
      <c r="C679" s="5">
        <v>46055</v>
      </c>
      <c r="D679" t="s">
        <v>458</v>
      </c>
      <c r="E679">
        <v>0.1</v>
      </c>
    </row>
    <row r="680" spans="1:5">
      <c r="A680">
        <v>2679</v>
      </c>
      <c r="B680">
        <v>1830197</v>
      </c>
      <c r="C680" s="5">
        <v>46055</v>
      </c>
      <c r="D680" t="s">
        <v>458</v>
      </c>
      <c r="E680">
        <v>-5.19</v>
      </c>
    </row>
    <row r="681" spans="1:5">
      <c r="A681">
        <v>2683</v>
      </c>
      <c r="B681">
        <v>1830197</v>
      </c>
      <c r="C681" s="5">
        <v>46055</v>
      </c>
      <c r="D681" t="s">
        <v>458</v>
      </c>
      <c r="E681">
        <v>0</v>
      </c>
    </row>
    <row r="682" spans="1:5">
      <c r="A682">
        <v>2684</v>
      </c>
      <c r="B682">
        <v>1830197</v>
      </c>
      <c r="C682" s="5">
        <v>46055</v>
      </c>
      <c r="D682" t="s">
        <v>458</v>
      </c>
      <c r="E682">
        <v>0</v>
      </c>
    </row>
    <row r="683" spans="1:5">
      <c r="A683">
        <v>2685</v>
      </c>
      <c r="B683">
        <v>1830197</v>
      </c>
      <c r="C683" s="5">
        <v>46055</v>
      </c>
      <c r="D683" t="s">
        <v>458</v>
      </c>
      <c r="E683">
        <v>0</v>
      </c>
    </row>
    <row r="684" spans="1:5">
      <c r="A684">
        <v>2784</v>
      </c>
      <c r="B684">
        <v>1830197</v>
      </c>
      <c r="C684" s="5">
        <v>46055</v>
      </c>
      <c r="D684" t="s">
        <v>458</v>
      </c>
      <c r="E684">
        <v>12.09</v>
      </c>
    </row>
    <row r="685" spans="1:5">
      <c r="A685">
        <v>2785</v>
      </c>
      <c r="B685">
        <v>1830197</v>
      </c>
      <c r="C685" s="5">
        <v>46055</v>
      </c>
      <c r="D685" t="s">
        <v>458</v>
      </c>
      <c r="E685">
        <v>0</v>
      </c>
    </row>
    <row r="686" spans="1:5">
      <c r="A686">
        <v>2786</v>
      </c>
      <c r="B686">
        <v>1830197</v>
      </c>
      <c r="C686" s="5">
        <v>46055</v>
      </c>
      <c r="D686" t="s">
        <v>458</v>
      </c>
      <c r="E686">
        <v>-1</v>
      </c>
    </row>
    <row r="687" spans="1:5">
      <c r="A687">
        <v>2787</v>
      </c>
      <c r="B687">
        <v>1830197</v>
      </c>
      <c r="C687" s="5">
        <v>46055</v>
      </c>
      <c r="D687" t="s">
        <v>458</v>
      </c>
      <c r="E687">
        <v>2</v>
      </c>
    </row>
    <row r="688" spans="1:5">
      <c r="A688">
        <v>2814</v>
      </c>
      <c r="B688">
        <v>1830197</v>
      </c>
      <c r="C688" s="5">
        <v>46055</v>
      </c>
      <c r="D688" t="s">
        <v>458</v>
      </c>
      <c r="E688">
        <v>0</v>
      </c>
    </row>
    <row r="689" spans="1:5">
      <c r="A689">
        <v>2815</v>
      </c>
      <c r="B689">
        <v>1830197</v>
      </c>
      <c r="C689" s="5">
        <v>46055</v>
      </c>
      <c r="D689" t="s">
        <v>458</v>
      </c>
      <c r="E689">
        <v>0</v>
      </c>
    </row>
    <row r="690" spans="1:5">
      <c r="A690">
        <v>2816</v>
      </c>
      <c r="B690">
        <v>1830197</v>
      </c>
      <c r="C690" s="5">
        <v>46055</v>
      </c>
      <c r="D690" t="s">
        <v>458</v>
      </c>
      <c r="E690">
        <v>0</v>
      </c>
    </row>
    <row r="691" spans="1:5">
      <c r="A691">
        <v>2817</v>
      </c>
      <c r="B691">
        <v>1830197</v>
      </c>
      <c r="C691" s="5">
        <v>46055</v>
      </c>
      <c r="D691" t="s">
        <v>458</v>
      </c>
      <c r="E691">
        <v>0</v>
      </c>
    </row>
    <row r="692" spans="1:5">
      <c r="A692">
        <v>2856</v>
      </c>
      <c r="B692">
        <v>1830197</v>
      </c>
      <c r="C692" s="5">
        <v>46055</v>
      </c>
      <c r="D692" t="s">
        <v>458</v>
      </c>
      <c r="E692">
        <v>0</v>
      </c>
    </row>
    <row r="693" spans="1:5">
      <c r="A693">
        <v>2872</v>
      </c>
      <c r="B693">
        <v>1830197</v>
      </c>
      <c r="C693" s="5">
        <v>46055</v>
      </c>
      <c r="D693" t="s">
        <v>458</v>
      </c>
      <c r="E693">
        <v>0</v>
      </c>
    </row>
    <row r="694" spans="1:5">
      <c r="A694">
        <v>2956</v>
      </c>
      <c r="B694">
        <v>1830197</v>
      </c>
      <c r="C694" s="5">
        <v>46055</v>
      </c>
      <c r="D694" t="s">
        <v>458</v>
      </c>
      <c r="E694">
        <v>0.1</v>
      </c>
    </row>
    <row r="695" spans="1:5">
      <c r="A695">
        <v>2963</v>
      </c>
      <c r="B695">
        <v>1830197</v>
      </c>
      <c r="C695" s="5">
        <v>46055</v>
      </c>
      <c r="D695" t="s">
        <v>458</v>
      </c>
      <c r="E695">
        <v>0</v>
      </c>
    </row>
    <row r="696" spans="1:5">
      <c r="A696">
        <v>3034</v>
      </c>
      <c r="B696">
        <v>1830197</v>
      </c>
      <c r="C696" s="5">
        <v>46055</v>
      </c>
      <c r="D696" t="s">
        <v>458</v>
      </c>
      <c r="E696">
        <v>27</v>
      </c>
    </row>
    <row r="697" spans="1:5">
      <c r="A697">
        <v>3087</v>
      </c>
      <c r="B697">
        <v>1830197</v>
      </c>
      <c r="C697" s="5">
        <v>46055</v>
      </c>
      <c r="D697" t="s">
        <v>458</v>
      </c>
      <c r="E697">
        <v>185</v>
      </c>
    </row>
    <row r="698" spans="1:5">
      <c r="A698">
        <v>3143</v>
      </c>
      <c r="B698">
        <v>1830197</v>
      </c>
      <c r="C698" s="5">
        <v>46055</v>
      </c>
      <c r="D698" t="s">
        <v>458</v>
      </c>
      <c r="E698">
        <v>0</v>
      </c>
    </row>
    <row r="699" spans="1:5">
      <c r="A699">
        <v>3206</v>
      </c>
      <c r="B699">
        <v>1830197</v>
      </c>
      <c r="C699" s="5">
        <v>46055</v>
      </c>
      <c r="D699" t="s">
        <v>458</v>
      </c>
      <c r="E699">
        <v>0</v>
      </c>
    </row>
    <row r="700" spans="1:5">
      <c r="A700">
        <v>3236</v>
      </c>
      <c r="B700">
        <v>1830197</v>
      </c>
      <c r="C700" s="5">
        <v>46055</v>
      </c>
      <c r="D700" t="s">
        <v>458</v>
      </c>
      <c r="E700">
        <v>496</v>
      </c>
    </row>
    <row r="701" spans="1:5">
      <c r="A701">
        <v>3278</v>
      </c>
      <c r="B701">
        <v>1830197</v>
      </c>
      <c r="C701" s="5">
        <v>46055</v>
      </c>
      <c r="D701" t="s">
        <v>458</v>
      </c>
      <c r="E701">
        <v>208</v>
      </c>
    </row>
    <row r="702" spans="1:5">
      <c r="A702">
        <v>3297</v>
      </c>
      <c r="B702">
        <v>1830197</v>
      </c>
      <c r="C702" s="5">
        <v>46055</v>
      </c>
      <c r="D702" t="s">
        <v>458</v>
      </c>
      <c r="E702">
        <v>0</v>
      </c>
    </row>
    <row r="703" spans="1:5">
      <c r="A703">
        <v>3309</v>
      </c>
      <c r="B703">
        <v>1830197</v>
      </c>
      <c r="C703" s="5">
        <v>46055</v>
      </c>
      <c r="D703" t="s">
        <v>458</v>
      </c>
      <c r="E703">
        <v>62</v>
      </c>
    </row>
    <row r="704" spans="1:5">
      <c r="A704">
        <v>3423</v>
      </c>
      <c r="B704">
        <v>1830197</v>
      </c>
      <c r="C704" s="5">
        <v>46055</v>
      </c>
      <c r="D704" t="s">
        <v>458</v>
      </c>
      <c r="E704">
        <v>0.08</v>
      </c>
    </row>
    <row r="705" spans="1:5">
      <c r="A705">
        <v>3439</v>
      </c>
      <c r="B705">
        <v>1830197</v>
      </c>
      <c r="C705" s="5">
        <v>46055</v>
      </c>
      <c r="D705" t="s">
        <v>458</v>
      </c>
      <c r="E705">
        <v>0</v>
      </c>
    </row>
    <row r="706" spans="1:5">
      <c r="A706">
        <v>3471</v>
      </c>
      <c r="B706">
        <v>1830197</v>
      </c>
      <c r="C706" s="5">
        <v>46055</v>
      </c>
      <c r="D706" t="s">
        <v>458</v>
      </c>
      <c r="E706">
        <v>0.85</v>
      </c>
    </row>
    <row r="707" spans="1:5">
      <c r="A707">
        <v>3488</v>
      </c>
      <c r="B707">
        <v>1830197</v>
      </c>
      <c r="C707" s="5">
        <v>46055</v>
      </c>
      <c r="D707" t="s">
        <v>458</v>
      </c>
      <c r="E707">
        <v>0</v>
      </c>
    </row>
    <row r="708" spans="1:5">
      <c r="A708">
        <v>3496</v>
      </c>
      <c r="B708">
        <v>1830197</v>
      </c>
      <c r="C708" s="5">
        <v>46055</v>
      </c>
      <c r="D708" t="s">
        <v>458</v>
      </c>
      <c r="E708">
        <v>0</v>
      </c>
    </row>
    <row r="709" spans="1:5">
      <c r="A709">
        <v>3557</v>
      </c>
      <c r="B709">
        <v>1830197</v>
      </c>
      <c r="C709" s="5">
        <v>46055</v>
      </c>
      <c r="D709" t="s">
        <v>458</v>
      </c>
      <c r="E709">
        <v>0</v>
      </c>
    </row>
    <row r="710" spans="1:5">
      <c r="A710">
        <v>3584</v>
      </c>
      <c r="B710">
        <v>1830197</v>
      </c>
      <c r="C710" s="5">
        <v>46055</v>
      </c>
      <c r="D710" t="s">
        <v>458</v>
      </c>
      <c r="E710">
        <v>13</v>
      </c>
    </row>
    <row r="711" spans="1:5">
      <c r="A711">
        <v>3593</v>
      </c>
      <c r="B711">
        <v>1830197</v>
      </c>
      <c r="C711" s="5">
        <v>46055</v>
      </c>
      <c r="D711" t="s">
        <v>458</v>
      </c>
      <c r="E711">
        <v>63</v>
      </c>
    </row>
    <row r="712" spans="1:5">
      <c r="A712">
        <v>3594</v>
      </c>
      <c r="B712">
        <v>1830197</v>
      </c>
      <c r="C712" s="5">
        <v>46055</v>
      </c>
      <c r="D712" t="s">
        <v>458</v>
      </c>
      <c r="E712">
        <v>189</v>
      </c>
    </row>
    <row r="713" spans="1:5">
      <c r="A713">
        <v>3595</v>
      </c>
      <c r="B713">
        <v>1830197</v>
      </c>
      <c r="C713" s="5">
        <v>46055</v>
      </c>
      <c r="D713" t="s">
        <v>458</v>
      </c>
      <c r="E713">
        <v>0</v>
      </c>
    </row>
    <row r="714" spans="1:5">
      <c r="A714">
        <v>3596</v>
      </c>
      <c r="B714">
        <v>1830197</v>
      </c>
      <c r="C714" s="5">
        <v>46055</v>
      </c>
      <c r="D714" t="s">
        <v>458</v>
      </c>
      <c r="E714">
        <v>0</v>
      </c>
    </row>
    <row r="715" spans="1:5">
      <c r="A715">
        <v>3597</v>
      </c>
      <c r="B715">
        <v>1830197</v>
      </c>
      <c r="C715" s="5">
        <v>46055</v>
      </c>
      <c r="D715" t="s">
        <v>458</v>
      </c>
      <c r="E715">
        <v>27</v>
      </c>
    </row>
    <row r="716" spans="1:5">
      <c r="A716">
        <v>3617</v>
      </c>
      <c r="B716">
        <v>1830197</v>
      </c>
      <c r="C716" s="5">
        <v>46055</v>
      </c>
      <c r="D716" t="s">
        <v>458</v>
      </c>
      <c r="E716">
        <v>0.92</v>
      </c>
    </row>
    <row r="717" spans="1:5">
      <c r="A717">
        <v>3636</v>
      </c>
      <c r="B717">
        <v>1830197</v>
      </c>
      <c r="C717" s="5">
        <v>46055</v>
      </c>
      <c r="D717" t="s">
        <v>458</v>
      </c>
      <c r="E717">
        <v>0</v>
      </c>
    </row>
    <row r="718" spans="1:5">
      <c r="A718">
        <v>3646</v>
      </c>
      <c r="B718">
        <v>1830197</v>
      </c>
      <c r="C718" s="5">
        <v>46055</v>
      </c>
      <c r="D718" t="s">
        <v>458</v>
      </c>
      <c r="E718">
        <v>0</v>
      </c>
    </row>
    <row r="719" spans="1:5">
      <c r="A719">
        <v>3647</v>
      </c>
      <c r="B719">
        <v>1830197</v>
      </c>
      <c r="C719" s="5">
        <v>46055</v>
      </c>
      <c r="D719" t="s">
        <v>458</v>
      </c>
      <c r="E719">
        <v>0</v>
      </c>
    </row>
    <row r="720" spans="1:5">
      <c r="A720">
        <v>3648</v>
      </c>
      <c r="B720">
        <v>1830197</v>
      </c>
      <c r="C720" s="5">
        <v>46055</v>
      </c>
      <c r="D720" t="s">
        <v>458</v>
      </c>
      <c r="E720">
        <v>0</v>
      </c>
    </row>
    <row r="721" spans="1:5">
      <c r="A721">
        <v>3735</v>
      </c>
      <c r="B721">
        <v>1830197</v>
      </c>
      <c r="C721" s="5">
        <v>46055</v>
      </c>
      <c r="D721" t="s">
        <v>458</v>
      </c>
      <c r="E721">
        <v>0</v>
      </c>
    </row>
    <row r="722" spans="1:5">
      <c r="A722">
        <v>3761</v>
      </c>
      <c r="B722">
        <v>1830197</v>
      </c>
      <c r="C722" s="5">
        <v>46055</v>
      </c>
      <c r="D722" t="s">
        <v>458</v>
      </c>
      <c r="E722">
        <v>250</v>
      </c>
    </row>
    <row r="723" spans="1:5">
      <c r="A723">
        <v>3815</v>
      </c>
      <c r="B723">
        <v>1830197</v>
      </c>
      <c r="C723" s="5">
        <v>46055</v>
      </c>
      <c r="D723" t="s">
        <v>458</v>
      </c>
      <c r="E723">
        <v>0</v>
      </c>
    </row>
    <row r="724" spans="1:5">
      <c r="A724">
        <v>3866</v>
      </c>
      <c r="B724">
        <v>1830197</v>
      </c>
      <c r="C724" s="5">
        <v>46055</v>
      </c>
      <c r="D724" t="s">
        <v>458</v>
      </c>
      <c r="E724">
        <v>0</v>
      </c>
    </row>
    <row r="725" spans="1:5">
      <c r="A725">
        <v>3867</v>
      </c>
      <c r="B725">
        <v>1830197</v>
      </c>
      <c r="C725" s="5">
        <v>46055</v>
      </c>
      <c r="D725" t="s">
        <v>458</v>
      </c>
      <c r="E725">
        <v>0</v>
      </c>
    </row>
    <row r="726" spans="1:5">
      <c r="A726">
        <v>3868</v>
      </c>
      <c r="B726">
        <v>1830197</v>
      </c>
      <c r="C726" s="5">
        <v>46055</v>
      </c>
      <c r="D726" t="s">
        <v>458</v>
      </c>
      <c r="E726">
        <v>0</v>
      </c>
    </row>
    <row r="727" spans="1:5">
      <c r="A727">
        <v>4027</v>
      </c>
      <c r="B727">
        <v>1830197</v>
      </c>
      <c r="C727" s="5">
        <v>46055</v>
      </c>
      <c r="D727" t="s">
        <v>458</v>
      </c>
      <c r="E727">
        <v>0</v>
      </c>
    </row>
    <row r="728" spans="1:5">
      <c r="A728">
        <v>4111</v>
      </c>
      <c r="B728">
        <v>1830197</v>
      </c>
      <c r="C728" s="5">
        <v>46055</v>
      </c>
      <c r="D728" t="s">
        <v>458</v>
      </c>
      <c r="E728">
        <v>5</v>
      </c>
    </row>
    <row r="729" spans="1:5">
      <c r="A729">
        <v>4209</v>
      </c>
      <c r="B729">
        <v>1830197</v>
      </c>
      <c r="C729" s="5">
        <v>46055</v>
      </c>
      <c r="D729" t="s">
        <v>458</v>
      </c>
      <c r="E729">
        <v>-0.04</v>
      </c>
    </row>
    <row r="730" spans="1:5">
      <c r="A730">
        <v>4334</v>
      </c>
      <c r="B730">
        <v>1830197</v>
      </c>
      <c r="C730" s="5">
        <v>46055</v>
      </c>
      <c r="D730" t="s">
        <v>458</v>
      </c>
      <c r="E730">
        <v>0</v>
      </c>
    </row>
    <row r="731" spans="1:5">
      <c r="A731">
        <v>4422</v>
      </c>
      <c r="B731">
        <v>1830197</v>
      </c>
      <c r="C731" s="5">
        <v>46055</v>
      </c>
      <c r="D731" t="s">
        <v>458</v>
      </c>
      <c r="E731">
        <v>0</v>
      </c>
    </row>
    <row r="732" spans="1:5">
      <c r="A732">
        <v>4551</v>
      </c>
      <c r="B732">
        <v>1830197</v>
      </c>
      <c r="C732" s="5">
        <v>46055</v>
      </c>
      <c r="D732" t="s">
        <v>458</v>
      </c>
      <c r="E732">
        <v>55</v>
      </c>
    </row>
    <row r="733" spans="1:5">
      <c r="A733">
        <v>4596</v>
      </c>
      <c r="B733">
        <v>1830197</v>
      </c>
      <c r="C733" s="5">
        <v>46055</v>
      </c>
      <c r="D733" t="s">
        <v>458</v>
      </c>
      <c r="E733">
        <v>0</v>
      </c>
    </row>
    <row r="734" spans="1:5">
      <c r="A734">
        <v>4607</v>
      </c>
      <c r="B734">
        <v>1830197</v>
      </c>
      <c r="C734" s="5">
        <v>46055</v>
      </c>
      <c r="D734" t="s">
        <v>458</v>
      </c>
      <c r="E734">
        <v>22</v>
      </c>
    </row>
    <row r="735" spans="1:5">
      <c r="A735">
        <v>4703</v>
      </c>
      <c r="B735">
        <v>1830197</v>
      </c>
      <c r="C735" s="5">
        <v>46055</v>
      </c>
      <c r="D735" t="s">
        <v>458</v>
      </c>
      <c r="E735">
        <v>0</v>
      </c>
    </row>
    <row r="736" spans="1:5">
      <c r="A736">
        <v>4704</v>
      </c>
      <c r="B736">
        <v>1830197</v>
      </c>
      <c r="C736" s="5">
        <v>46055</v>
      </c>
      <c r="D736" t="s">
        <v>458</v>
      </c>
      <c r="E736">
        <v>0</v>
      </c>
    </row>
    <row r="737" spans="1:5">
      <c r="A737">
        <v>4853</v>
      </c>
      <c r="B737">
        <v>1830197</v>
      </c>
      <c r="C737" s="5">
        <v>46055</v>
      </c>
      <c r="D737" t="s">
        <v>458</v>
      </c>
      <c r="E737">
        <v>114</v>
      </c>
    </row>
    <row r="738" spans="1:5">
      <c r="A738">
        <v>4887</v>
      </c>
      <c r="B738">
        <v>1830197</v>
      </c>
      <c r="C738" s="5">
        <v>46055</v>
      </c>
      <c r="D738" t="s">
        <v>458</v>
      </c>
      <c r="E738">
        <v>0</v>
      </c>
    </row>
    <row r="739" spans="1:5">
      <c r="A739">
        <v>4926</v>
      </c>
      <c r="B739">
        <v>1830197</v>
      </c>
      <c r="C739" s="5">
        <v>46055</v>
      </c>
      <c r="D739" t="s">
        <v>458</v>
      </c>
      <c r="E739">
        <v>0</v>
      </c>
    </row>
    <row r="740" spans="1:5">
      <c r="A740">
        <v>4954</v>
      </c>
      <c r="B740">
        <v>1830197</v>
      </c>
      <c r="C740" s="5">
        <v>46055</v>
      </c>
      <c r="D740" t="s">
        <v>458</v>
      </c>
      <c r="E740">
        <v>0</v>
      </c>
    </row>
    <row r="741" spans="1:5">
      <c r="A741">
        <v>4970</v>
      </c>
      <c r="B741">
        <v>1830197</v>
      </c>
      <c r="C741" s="5">
        <v>46055</v>
      </c>
      <c r="D741" t="s">
        <v>458</v>
      </c>
      <c r="E741">
        <v>0</v>
      </c>
    </row>
    <row r="742" spans="1:5">
      <c r="A742">
        <v>4980</v>
      </c>
      <c r="B742">
        <v>1830197</v>
      </c>
      <c r="C742" s="5">
        <v>46055</v>
      </c>
      <c r="D742" t="s">
        <v>458</v>
      </c>
      <c r="E742">
        <v>0</v>
      </c>
    </row>
    <row r="743" spans="1:5">
      <c r="A743">
        <v>4995</v>
      </c>
      <c r="B743">
        <v>1830197</v>
      </c>
      <c r="C743" s="5">
        <v>46055</v>
      </c>
      <c r="D743" t="s">
        <v>458</v>
      </c>
      <c r="E743">
        <v>0</v>
      </c>
    </row>
    <row r="744" spans="1:5">
      <c r="A744">
        <v>4996</v>
      </c>
      <c r="B744">
        <v>1830197</v>
      </c>
      <c r="C744" s="5">
        <v>46055</v>
      </c>
      <c r="D744" t="s">
        <v>458</v>
      </c>
      <c r="E744">
        <v>0</v>
      </c>
    </row>
    <row r="745" spans="1:5">
      <c r="A745">
        <v>4997</v>
      </c>
      <c r="B745">
        <v>1830197</v>
      </c>
      <c r="C745" s="5">
        <v>46055</v>
      </c>
      <c r="D745" t="s">
        <v>458</v>
      </c>
      <c r="E745">
        <v>8</v>
      </c>
    </row>
    <row r="746" spans="1:5">
      <c r="A746">
        <v>4998</v>
      </c>
      <c r="B746">
        <v>1830197</v>
      </c>
      <c r="C746" s="5">
        <v>46055</v>
      </c>
      <c r="D746" t="s">
        <v>458</v>
      </c>
      <c r="E746">
        <v>22</v>
      </c>
    </row>
    <row r="747" spans="1:5">
      <c r="A747">
        <v>4999</v>
      </c>
      <c r="B747">
        <v>1830197</v>
      </c>
      <c r="C747" s="5">
        <v>46055</v>
      </c>
      <c r="D747" t="s">
        <v>458</v>
      </c>
      <c r="E747">
        <v>351</v>
      </c>
    </row>
    <row r="748" spans="1:5">
      <c r="A748">
        <v>5012</v>
      </c>
      <c r="B748">
        <v>1830197</v>
      </c>
      <c r="C748" s="5">
        <v>46055</v>
      </c>
      <c r="D748" t="s">
        <v>458</v>
      </c>
      <c r="E748">
        <v>2.59</v>
      </c>
    </row>
    <row r="749" spans="1:5">
      <c r="A749">
        <v>5054</v>
      </c>
      <c r="B749">
        <v>1830197</v>
      </c>
      <c r="C749" s="5">
        <v>46055</v>
      </c>
      <c r="D749" t="s">
        <v>458</v>
      </c>
      <c r="E749">
        <v>13.73</v>
      </c>
    </row>
    <row r="750" spans="1:5">
      <c r="A750">
        <v>5163</v>
      </c>
      <c r="B750">
        <v>1830197</v>
      </c>
      <c r="C750" s="5">
        <v>46055</v>
      </c>
      <c r="D750" t="s">
        <v>458</v>
      </c>
      <c r="E750">
        <v>0</v>
      </c>
    </row>
    <row r="751" spans="1:5">
      <c r="A751">
        <v>5209</v>
      </c>
      <c r="B751">
        <v>1830197</v>
      </c>
      <c r="C751" s="5">
        <v>46055</v>
      </c>
      <c r="D751" t="s">
        <v>458</v>
      </c>
      <c r="E751">
        <v>2.94</v>
      </c>
    </row>
    <row r="752" spans="1:5">
      <c r="A752">
        <v>5349</v>
      </c>
      <c r="B752">
        <v>1830197</v>
      </c>
      <c r="C752" s="5">
        <v>46055</v>
      </c>
      <c r="D752" t="s">
        <v>458</v>
      </c>
      <c r="E752">
        <v>0</v>
      </c>
    </row>
    <row r="753" spans="1:5">
      <c r="A753">
        <v>5351</v>
      </c>
      <c r="B753">
        <v>1830197</v>
      </c>
      <c r="C753" s="5">
        <v>46055</v>
      </c>
      <c r="D753" t="s">
        <v>458</v>
      </c>
      <c r="E753">
        <v>0</v>
      </c>
    </row>
    <row r="754" spans="1:5">
      <c r="A754">
        <v>5358</v>
      </c>
      <c r="B754">
        <v>1830197</v>
      </c>
      <c r="C754" s="5">
        <v>46055</v>
      </c>
      <c r="D754" t="s">
        <v>458</v>
      </c>
      <c r="E754">
        <v>0</v>
      </c>
    </row>
    <row r="755" spans="1:5">
      <c r="A755">
        <v>5378</v>
      </c>
      <c r="B755">
        <v>1830197</v>
      </c>
      <c r="C755" s="5">
        <v>46055</v>
      </c>
      <c r="D755" t="s">
        <v>458</v>
      </c>
      <c r="E755">
        <v>0</v>
      </c>
    </row>
    <row r="756" spans="1:5">
      <c r="A756">
        <v>5391</v>
      </c>
      <c r="B756">
        <v>1830197</v>
      </c>
      <c r="C756" s="5">
        <v>46055</v>
      </c>
      <c r="D756" t="s">
        <v>458</v>
      </c>
      <c r="E756">
        <v>0</v>
      </c>
    </row>
    <row r="757" spans="1:5">
      <c r="A757">
        <v>5429</v>
      </c>
      <c r="B757">
        <v>1830197</v>
      </c>
      <c r="C757" s="5">
        <v>46055</v>
      </c>
      <c r="D757" t="s">
        <v>458</v>
      </c>
      <c r="E757">
        <v>6</v>
      </c>
    </row>
    <row r="758" spans="1:5">
      <c r="A758">
        <v>5430</v>
      </c>
      <c r="B758">
        <v>1830197</v>
      </c>
      <c r="C758" s="5">
        <v>46055</v>
      </c>
      <c r="D758" t="s">
        <v>458</v>
      </c>
      <c r="E758">
        <v>0</v>
      </c>
    </row>
    <row r="759" spans="1:5">
      <c r="A759">
        <v>5431</v>
      </c>
      <c r="B759">
        <v>1830197</v>
      </c>
      <c r="C759" s="5">
        <v>46055</v>
      </c>
      <c r="D759" t="s">
        <v>458</v>
      </c>
      <c r="E759">
        <v>0</v>
      </c>
    </row>
    <row r="760" spans="1:5">
      <c r="A760">
        <v>5432</v>
      </c>
      <c r="B760">
        <v>1830197</v>
      </c>
      <c r="C760" s="5">
        <v>46055</v>
      </c>
      <c r="D760" t="s">
        <v>458</v>
      </c>
      <c r="E760">
        <v>0</v>
      </c>
    </row>
    <row r="761" spans="1:5">
      <c r="A761">
        <v>5444</v>
      </c>
      <c r="B761">
        <v>1830197</v>
      </c>
      <c r="C761" s="5">
        <v>46055</v>
      </c>
      <c r="D761" t="s">
        <v>458</v>
      </c>
      <c r="E761">
        <v>0</v>
      </c>
    </row>
    <row r="762" spans="1:5">
      <c r="A762">
        <v>5478</v>
      </c>
      <c r="B762">
        <v>1830197</v>
      </c>
      <c r="C762" s="5">
        <v>46055</v>
      </c>
      <c r="D762" t="s">
        <v>458</v>
      </c>
      <c r="E762">
        <v>0</v>
      </c>
    </row>
    <row r="763" spans="1:5">
      <c r="A763">
        <v>5481</v>
      </c>
      <c r="B763">
        <v>1830197</v>
      </c>
      <c r="C763" s="5">
        <v>46055</v>
      </c>
      <c r="D763" t="s">
        <v>458</v>
      </c>
      <c r="E763">
        <v>0</v>
      </c>
    </row>
    <row r="764" spans="1:5">
      <c r="A764">
        <v>5551</v>
      </c>
      <c r="B764">
        <v>1830197</v>
      </c>
      <c r="C764" s="5">
        <v>46055</v>
      </c>
      <c r="D764" t="s">
        <v>458</v>
      </c>
      <c r="E764">
        <v>0</v>
      </c>
    </row>
    <row r="765" spans="1:5">
      <c r="A765">
        <v>5552</v>
      </c>
      <c r="B765">
        <v>1830197</v>
      </c>
      <c r="C765" s="5">
        <v>46055</v>
      </c>
      <c r="D765" t="s">
        <v>458</v>
      </c>
      <c r="E765">
        <v>24</v>
      </c>
    </row>
    <row r="766" spans="1:5">
      <c r="A766">
        <v>5565</v>
      </c>
      <c r="B766">
        <v>1830197</v>
      </c>
      <c r="C766" s="5">
        <v>46055</v>
      </c>
      <c r="D766" t="s">
        <v>458</v>
      </c>
      <c r="E766">
        <v>0</v>
      </c>
    </row>
    <row r="767" spans="1:5">
      <c r="A767">
        <v>5664</v>
      </c>
      <c r="B767">
        <v>1830197</v>
      </c>
      <c r="C767" s="5">
        <v>46055</v>
      </c>
      <c r="D767" t="s">
        <v>458</v>
      </c>
      <c r="E767">
        <v>2</v>
      </c>
    </row>
    <row r="768" spans="1:5">
      <c r="A768">
        <v>5876</v>
      </c>
      <c r="B768">
        <v>1830197</v>
      </c>
      <c r="C768" s="5">
        <v>46055</v>
      </c>
      <c r="D768" t="s">
        <v>458</v>
      </c>
      <c r="E768">
        <v>0</v>
      </c>
    </row>
    <row r="769" spans="1:5">
      <c r="A769">
        <v>5935</v>
      </c>
      <c r="B769">
        <v>1830197</v>
      </c>
      <c r="C769" s="5">
        <v>46055</v>
      </c>
      <c r="D769" t="s">
        <v>458</v>
      </c>
      <c r="E769">
        <v>0</v>
      </c>
    </row>
    <row r="770" spans="1:5">
      <c r="A770">
        <v>5939</v>
      </c>
      <c r="B770">
        <v>1830197</v>
      </c>
      <c r="C770" s="5">
        <v>46055</v>
      </c>
      <c r="D770" t="s">
        <v>458</v>
      </c>
      <c r="E770">
        <v>0</v>
      </c>
    </row>
    <row r="771" spans="1:5">
      <c r="A771">
        <v>5983</v>
      </c>
      <c r="B771">
        <v>1830197</v>
      </c>
      <c r="C771" s="5">
        <v>46055</v>
      </c>
      <c r="D771" t="s">
        <v>458</v>
      </c>
      <c r="E771">
        <v>3.21</v>
      </c>
    </row>
    <row r="772" spans="1:5">
      <c r="A772">
        <v>6053</v>
      </c>
      <c r="B772">
        <v>1830197</v>
      </c>
      <c r="C772" s="5">
        <v>46055</v>
      </c>
      <c r="D772" t="s">
        <v>458</v>
      </c>
      <c r="E772">
        <v>0</v>
      </c>
    </row>
    <row r="773" spans="1:5">
      <c r="A773">
        <v>6094</v>
      </c>
      <c r="B773">
        <v>1830197</v>
      </c>
      <c r="C773" s="5">
        <v>46055</v>
      </c>
      <c r="D773" t="s">
        <v>458</v>
      </c>
      <c r="E773">
        <v>3</v>
      </c>
    </row>
    <row r="774" spans="1:5">
      <c r="A774">
        <v>6373</v>
      </c>
      <c r="B774">
        <v>1830197</v>
      </c>
      <c r="C774" s="5">
        <v>46055</v>
      </c>
      <c r="D774" t="s">
        <v>458</v>
      </c>
      <c r="E774">
        <v>0</v>
      </c>
    </row>
    <row r="775" spans="1:5">
      <c r="A775">
        <v>6374</v>
      </c>
      <c r="B775">
        <v>1830197</v>
      </c>
      <c r="C775" s="5">
        <v>46055</v>
      </c>
      <c r="D775" t="s">
        <v>458</v>
      </c>
      <c r="E775">
        <v>0</v>
      </c>
    </row>
    <row r="776" spans="1:5">
      <c r="A776">
        <v>6375</v>
      </c>
      <c r="B776">
        <v>1830197</v>
      </c>
      <c r="C776" s="5">
        <v>46055</v>
      </c>
      <c r="D776" t="s">
        <v>458</v>
      </c>
      <c r="E776">
        <v>0</v>
      </c>
    </row>
    <row r="777" spans="1:5">
      <c r="A777">
        <v>6376</v>
      </c>
      <c r="B777">
        <v>1830197</v>
      </c>
      <c r="C777" s="5">
        <v>46055</v>
      </c>
      <c r="D777" t="s">
        <v>458</v>
      </c>
      <c r="E777">
        <v>0</v>
      </c>
    </row>
    <row r="778" spans="1:5">
      <c r="A778">
        <v>6472</v>
      </c>
      <c r="B778">
        <v>1830197</v>
      </c>
      <c r="C778" s="5">
        <v>46055</v>
      </c>
      <c r="D778" t="s">
        <v>458</v>
      </c>
      <c r="E778">
        <v>0</v>
      </c>
    </row>
    <row r="779" spans="1:5">
      <c r="A779">
        <v>6477</v>
      </c>
      <c r="B779">
        <v>1830197</v>
      </c>
      <c r="C779" s="5">
        <v>46055</v>
      </c>
      <c r="D779" t="s">
        <v>458</v>
      </c>
      <c r="E779">
        <v>0</v>
      </c>
    </row>
    <row r="780" spans="1:5">
      <c r="A780">
        <v>6724</v>
      </c>
      <c r="B780">
        <v>1830197</v>
      </c>
      <c r="C780" s="5">
        <v>46055</v>
      </c>
      <c r="D780" t="s">
        <v>458</v>
      </c>
      <c r="E780">
        <v>0</v>
      </c>
    </row>
    <row r="781" spans="1:5">
      <c r="A781">
        <v>6757</v>
      </c>
      <c r="B781">
        <v>1830197</v>
      </c>
      <c r="C781" s="5">
        <v>46055</v>
      </c>
      <c r="D781" t="s">
        <v>458</v>
      </c>
      <c r="E781">
        <v>0</v>
      </c>
    </row>
    <row r="782" spans="1:5">
      <c r="A782">
        <v>6761</v>
      </c>
      <c r="B782">
        <v>1830197</v>
      </c>
      <c r="C782" s="5">
        <v>46055</v>
      </c>
      <c r="D782" t="s">
        <v>458</v>
      </c>
      <c r="E782">
        <v>0</v>
      </c>
    </row>
    <row r="783" spans="1:5">
      <c r="A783">
        <v>6776</v>
      </c>
      <c r="B783">
        <v>1830197</v>
      </c>
      <c r="C783" s="5">
        <v>46055</v>
      </c>
      <c r="D783" t="s">
        <v>458</v>
      </c>
      <c r="E783">
        <v>0</v>
      </c>
    </row>
    <row r="784" spans="1:5">
      <c r="A784">
        <v>6810</v>
      </c>
      <c r="B784">
        <v>1830197</v>
      </c>
      <c r="C784" s="5">
        <v>46055</v>
      </c>
      <c r="D784" t="s">
        <v>458</v>
      </c>
      <c r="E784">
        <v>0</v>
      </c>
    </row>
    <row r="785" spans="1:5">
      <c r="A785">
        <v>6811</v>
      </c>
      <c r="B785">
        <v>1830197</v>
      </c>
      <c r="C785" s="5">
        <v>46055</v>
      </c>
      <c r="D785" t="s">
        <v>458</v>
      </c>
      <c r="E785">
        <v>258</v>
      </c>
    </row>
    <row r="786" spans="1:5">
      <c r="A786">
        <v>6880</v>
      </c>
      <c r="B786">
        <v>1830197</v>
      </c>
      <c r="C786" s="5">
        <v>46055</v>
      </c>
      <c r="D786" t="s">
        <v>458</v>
      </c>
      <c r="E786">
        <v>0</v>
      </c>
    </row>
    <row r="787" spans="1:5">
      <c r="A787">
        <v>6928</v>
      </c>
      <c r="B787">
        <v>1830197</v>
      </c>
      <c r="C787" s="5">
        <v>46055</v>
      </c>
      <c r="D787" t="s">
        <v>458</v>
      </c>
      <c r="E787">
        <v>0</v>
      </c>
    </row>
    <row r="788" spans="1:5">
      <c r="A788">
        <v>7034</v>
      </c>
      <c r="B788">
        <v>1830197</v>
      </c>
      <c r="C788" s="5">
        <v>46055</v>
      </c>
      <c r="D788" t="s">
        <v>458</v>
      </c>
      <c r="E788">
        <v>0</v>
      </c>
    </row>
    <row r="789" spans="1:5">
      <c r="A789">
        <v>7127</v>
      </c>
      <c r="B789">
        <v>1830197</v>
      </c>
      <c r="C789" s="5">
        <v>46055</v>
      </c>
      <c r="D789" t="s">
        <v>458</v>
      </c>
      <c r="E789">
        <v>3</v>
      </c>
    </row>
    <row r="790" spans="1:5">
      <c r="A790">
        <v>7205</v>
      </c>
      <c r="B790">
        <v>1830197</v>
      </c>
      <c r="C790" s="5">
        <v>46055</v>
      </c>
      <c r="D790" t="s">
        <v>458</v>
      </c>
      <c r="E790">
        <v>123</v>
      </c>
    </row>
    <row r="791" spans="1:5">
      <c r="A791">
        <v>7206</v>
      </c>
      <c r="B791">
        <v>1830197</v>
      </c>
      <c r="C791" s="5">
        <v>46055</v>
      </c>
      <c r="D791" t="s">
        <v>458</v>
      </c>
      <c r="E791">
        <v>83</v>
      </c>
    </row>
    <row r="792" spans="1:5">
      <c r="A792">
        <v>7223</v>
      </c>
      <c r="B792">
        <v>1830197</v>
      </c>
      <c r="C792" s="5">
        <v>46055</v>
      </c>
      <c r="D792" t="s">
        <v>458</v>
      </c>
      <c r="E792">
        <v>0</v>
      </c>
    </row>
    <row r="793" spans="1:5">
      <c r="A793">
        <v>7301</v>
      </c>
      <c r="B793">
        <v>1830197</v>
      </c>
      <c r="C793" s="5">
        <v>46055</v>
      </c>
      <c r="D793" t="s">
        <v>458</v>
      </c>
      <c r="E793">
        <v>101</v>
      </c>
    </row>
    <row r="794" spans="1:5">
      <c r="A794">
        <v>7311</v>
      </c>
      <c r="B794">
        <v>1830197</v>
      </c>
      <c r="C794" s="5">
        <v>46055</v>
      </c>
      <c r="D794" t="s">
        <v>458</v>
      </c>
      <c r="E794">
        <v>0</v>
      </c>
    </row>
    <row r="795" spans="1:5">
      <c r="A795">
        <v>7312</v>
      </c>
      <c r="B795">
        <v>1830197</v>
      </c>
      <c r="C795" s="5">
        <v>46055</v>
      </c>
      <c r="D795" t="s">
        <v>458</v>
      </c>
      <c r="E795">
        <v>0</v>
      </c>
    </row>
    <row r="796" spans="1:5">
      <c r="A796">
        <v>7313</v>
      </c>
      <c r="B796">
        <v>1830197</v>
      </c>
      <c r="C796" s="5">
        <v>46055</v>
      </c>
      <c r="D796" t="s">
        <v>458</v>
      </c>
      <c r="E796">
        <v>3</v>
      </c>
    </row>
    <row r="797" spans="1:5">
      <c r="A797">
        <v>7326</v>
      </c>
      <c r="B797">
        <v>1830197</v>
      </c>
      <c r="C797" s="5">
        <v>46055</v>
      </c>
      <c r="D797" t="s">
        <v>458</v>
      </c>
      <c r="E797">
        <v>0</v>
      </c>
    </row>
    <row r="798" spans="1:5">
      <c r="A798">
        <v>7333</v>
      </c>
      <c r="B798">
        <v>1830197</v>
      </c>
      <c r="C798" s="5">
        <v>46055</v>
      </c>
      <c r="D798" t="s">
        <v>458</v>
      </c>
      <c r="E798">
        <v>295</v>
      </c>
    </row>
    <row r="799" spans="1:5">
      <c r="A799">
        <v>7421</v>
      </c>
      <c r="B799">
        <v>1830197</v>
      </c>
      <c r="C799" s="5">
        <v>46055</v>
      </c>
      <c r="D799" t="s">
        <v>458</v>
      </c>
      <c r="E799">
        <v>0</v>
      </c>
    </row>
    <row r="800" spans="1:5">
      <c r="A800">
        <v>7422</v>
      </c>
      <c r="B800">
        <v>1830197</v>
      </c>
      <c r="C800" s="5">
        <v>46055</v>
      </c>
      <c r="D800" t="s">
        <v>458</v>
      </c>
      <c r="E800">
        <v>0.1</v>
      </c>
    </row>
    <row r="801" spans="1:5">
      <c r="A801">
        <v>7634</v>
      </c>
      <c r="B801">
        <v>1830197</v>
      </c>
      <c r="C801" s="5">
        <v>46055</v>
      </c>
      <c r="D801" t="s">
        <v>458</v>
      </c>
      <c r="E801">
        <v>6</v>
      </c>
    </row>
    <row r="802" spans="1:5">
      <c r="A802">
        <v>7919</v>
      </c>
      <c r="B802">
        <v>1830197</v>
      </c>
      <c r="C802" s="5">
        <v>46055</v>
      </c>
      <c r="D802" t="s">
        <v>458</v>
      </c>
      <c r="E802">
        <v>5.76</v>
      </c>
    </row>
    <row r="803" spans="1:5">
      <c r="A803">
        <v>7920</v>
      </c>
      <c r="B803">
        <v>1830197</v>
      </c>
      <c r="C803" s="5">
        <v>46055</v>
      </c>
      <c r="D803" t="s">
        <v>458</v>
      </c>
      <c r="E803">
        <v>221</v>
      </c>
    </row>
    <row r="804" spans="1:5">
      <c r="A804">
        <v>7969</v>
      </c>
      <c r="B804">
        <v>1830197</v>
      </c>
      <c r="C804" s="5">
        <v>46055</v>
      </c>
      <c r="D804" t="s">
        <v>458</v>
      </c>
      <c r="E804">
        <v>0</v>
      </c>
    </row>
    <row r="805" spans="1:5">
      <c r="A805">
        <v>8159</v>
      </c>
      <c r="B805">
        <v>1830197</v>
      </c>
      <c r="C805" s="5">
        <v>46055</v>
      </c>
      <c r="D805" t="s">
        <v>458</v>
      </c>
      <c r="E805">
        <v>0</v>
      </c>
    </row>
    <row r="806" spans="1:5">
      <c r="A806">
        <v>8201</v>
      </c>
      <c r="B806">
        <v>1830197</v>
      </c>
      <c r="C806" s="5">
        <v>46055</v>
      </c>
      <c r="D806" t="s">
        <v>458</v>
      </c>
      <c r="E806">
        <v>61</v>
      </c>
    </row>
    <row r="807" spans="1:5">
      <c r="A807">
        <v>8207</v>
      </c>
      <c r="B807">
        <v>1830197</v>
      </c>
      <c r="C807" s="5">
        <v>46055</v>
      </c>
      <c r="D807" t="s">
        <v>458</v>
      </c>
      <c r="E807">
        <v>0</v>
      </c>
    </row>
    <row r="808" spans="1:5">
      <c r="A808">
        <v>8322</v>
      </c>
      <c r="B808">
        <v>1830197</v>
      </c>
      <c r="C808" s="5">
        <v>46055</v>
      </c>
      <c r="D808" t="s">
        <v>458</v>
      </c>
      <c r="E808">
        <v>0</v>
      </c>
    </row>
    <row r="809" spans="1:5">
      <c r="A809">
        <v>8541</v>
      </c>
      <c r="B809">
        <v>1830197</v>
      </c>
      <c r="C809" s="5">
        <v>46055</v>
      </c>
      <c r="D809" t="s">
        <v>458</v>
      </c>
      <c r="E809">
        <v>3</v>
      </c>
    </row>
    <row r="810" spans="1:5">
      <c r="A810">
        <v>8800</v>
      </c>
      <c r="B810">
        <v>1830197</v>
      </c>
      <c r="C810" s="5">
        <v>46055</v>
      </c>
      <c r="D810" t="s">
        <v>458</v>
      </c>
      <c r="E810">
        <v>0</v>
      </c>
    </row>
    <row r="811" spans="1:5">
      <c r="A811">
        <v>8801</v>
      </c>
      <c r="B811">
        <v>1830197</v>
      </c>
      <c r="C811" s="5">
        <v>46055</v>
      </c>
      <c r="D811" t="s">
        <v>458</v>
      </c>
      <c r="E811">
        <v>0</v>
      </c>
    </row>
    <row r="812" spans="1:5">
      <c r="A812">
        <v>8886</v>
      </c>
      <c r="B812">
        <v>1830197</v>
      </c>
      <c r="C812" s="5">
        <v>46055</v>
      </c>
      <c r="D812" t="s">
        <v>458</v>
      </c>
      <c r="E812">
        <v>0</v>
      </c>
    </row>
    <row r="813" spans="1:5">
      <c r="A813">
        <v>8951</v>
      </c>
      <c r="B813">
        <v>1830197</v>
      </c>
      <c r="C813" s="5">
        <v>46055</v>
      </c>
      <c r="D813" t="s">
        <v>458</v>
      </c>
      <c r="E813">
        <v>0</v>
      </c>
    </row>
    <row r="814" spans="1:5">
      <c r="A814">
        <v>8970</v>
      </c>
      <c r="B814">
        <v>1830197</v>
      </c>
      <c r="C814" s="5">
        <v>46055</v>
      </c>
      <c r="D814" t="s">
        <v>458</v>
      </c>
      <c r="E814">
        <v>0</v>
      </c>
    </row>
    <row r="815" spans="1:5">
      <c r="A815">
        <v>9110</v>
      </c>
      <c r="B815">
        <v>1830197</v>
      </c>
      <c r="C815" s="5">
        <v>46055</v>
      </c>
      <c r="D815" t="s">
        <v>458</v>
      </c>
      <c r="E815">
        <v>83</v>
      </c>
    </row>
    <row r="816" spans="1:5">
      <c r="A816">
        <v>9456</v>
      </c>
      <c r="B816">
        <v>1830197</v>
      </c>
      <c r="C816" s="5">
        <v>46055</v>
      </c>
      <c r="D816" t="s">
        <v>458</v>
      </c>
      <c r="E816">
        <v>0</v>
      </c>
    </row>
    <row r="817" spans="1:5">
      <c r="A817">
        <v>9903</v>
      </c>
      <c r="B817">
        <v>1830197</v>
      </c>
      <c r="C817" s="5">
        <v>46055</v>
      </c>
      <c r="D817" t="s">
        <v>458</v>
      </c>
      <c r="E817">
        <v>0</v>
      </c>
    </row>
    <row r="818" spans="1:5">
      <c r="A818">
        <v>9920</v>
      </c>
      <c r="B818">
        <v>1830197</v>
      </c>
      <c r="C818" s="5">
        <v>46055</v>
      </c>
      <c r="D818" t="s">
        <v>458</v>
      </c>
      <c r="E818">
        <v>0</v>
      </c>
    </row>
    <row r="819" spans="1:5">
      <c r="A819">
        <v>9930</v>
      </c>
      <c r="B819">
        <v>1830197</v>
      </c>
      <c r="C819" s="5">
        <v>46055</v>
      </c>
      <c r="D819" t="s">
        <v>458</v>
      </c>
      <c r="E819">
        <v>0</v>
      </c>
    </row>
    <row r="820" spans="1:5">
      <c r="A820">
        <v>9931</v>
      </c>
      <c r="B820">
        <v>1830197</v>
      </c>
      <c r="C820" s="5">
        <v>46055</v>
      </c>
      <c r="D820" t="s">
        <v>458</v>
      </c>
      <c r="E820">
        <v>0</v>
      </c>
    </row>
    <row r="821" spans="1:5">
      <c r="A821">
        <v>9972</v>
      </c>
      <c r="B821">
        <v>1830197</v>
      </c>
      <c r="C821" s="5">
        <v>46055</v>
      </c>
      <c r="D821" t="s">
        <v>458</v>
      </c>
      <c r="E821">
        <v>0</v>
      </c>
    </row>
    <row r="822" spans="1:5">
      <c r="A822">
        <v>10010</v>
      </c>
      <c r="B822">
        <v>1830197</v>
      </c>
      <c r="C822" s="5">
        <v>46055</v>
      </c>
      <c r="D822" t="s">
        <v>458</v>
      </c>
      <c r="E822">
        <v>0</v>
      </c>
    </row>
    <row r="823" spans="1:5">
      <c r="A823">
        <v>10264</v>
      </c>
      <c r="B823">
        <v>1830197</v>
      </c>
      <c r="C823" s="5">
        <v>46055</v>
      </c>
      <c r="D823" t="s">
        <v>458</v>
      </c>
      <c r="E823">
        <v>0.14000000000000001</v>
      </c>
    </row>
    <row r="824" spans="1:5">
      <c r="A824">
        <v>10294</v>
      </c>
      <c r="B824">
        <v>1830197</v>
      </c>
      <c r="C824" s="5">
        <v>46055</v>
      </c>
      <c r="D824" t="s">
        <v>458</v>
      </c>
      <c r="E824">
        <v>0</v>
      </c>
    </row>
    <row r="825" spans="1:5">
      <c r="A825">
        <v>10295</v>
      </c>
      <c r="B825">
        <v>1830197</v>
      </c>
      <c r="C825" s="5">
        <v>46055</v>
      </c>
      <c r="D825" t="s">
        <v>458</v>
      </c>
      <c r="E825">
        <v>0</v>
      </c>
    </row>
    <row r="826" spans="1:5">
      <c r="A826">
        <v>10296</v>
      </c>
      <c r="B826">
        <v>1830197</v>
      </c>
      <c r="C826" s="5">
        <v>46055</v>
      </c>
      <c r="D826" t="s">
        <v>458</v>
      </c>
      <c r="E826">
        <v>0</v>
      </c>
    </row>
    <row r="827" spans="1:5">
      <c r="A827">
        <v>10297</v>
      </c>
      <c r="B827">
        <v>1830197</v>
      </c>
      <c r="C827" s="5">
        <v>46055</v>
      </c>
      <c r="D827" t="s">
        <v>458</v>
      </c>
      <c r="E827">
        <v>0</v>
      </c>
    </row>
    <row r="828" spans="1:5">
      <c r="A828">
        <v>10298</v>
      </c>
      <c r="B828">
        <v>1830197</v>
      </c>
      <c r="C828" s="5">
        <v>46055</v>
      </c>
      <c r="D828" t="s">
        <v>458</v>
      </c>
      <c r="E828">
        <v>0</v>
      </c>
    </row>
    <row r="829" spans="1:5">
      <c r="A829">
        <v>10299</v>
      </c>
      <c r="B829">
        <v>1830197</v>
      </c>
      <c r="C829" s="5">
        <v>46055</v>
      </c>
      <c r="D829" t="s">
        <v>458</v>
      </c>
      <c r="E829">
        <v>0</v>
      </c>
    </row>
    <row r="830" spans="1:5">
      <c r="A830">
        <v>10458</v>
      </c>
      <c r="B830">
        <v>1830197</v>
      </c>
      <c r="C830" s="5">
        <v>46055</v>
      </c>
      <c r="D830" t="s">
        <v>458</v>
      </c>
      <c r="E830">
        <v>0</v>
      </c>
    </row>
    <row r="831" spans="1:5">
      <c r="A831">
        <v>10550</v>
      </c>
      <c r="B831">
        <v>1830197</v>
      </c>
      <c r="C831" s="5">
        <v>46055</v>
      </c>
      <c r="D831" t="s">
        <v>458</v>
      </c>
      <c r="E831">
        <v>50</v>
      </c>
    </row>
    <row r="832" spans="1:5">
      <c r="A832">
        <v>10594</v>
      </c>
      <c r="B832">
        <v>1830197</v>
      </c>
      <c r="C832" s="5">
        <v>46055</v>
      </c>
      <c r="D832" t="s">
        <v>458</v>
      </c>
      <c r="E832">
        <v>0.5</v>
      </c>
    </row>
    <row r="833" spans="1:5">
      <c r="A833">
        <v>10595</v>
      </c>
      <c r="B833">
        <v>1830197</v>
      </c>
      <c r="C833" s="5">
        <v>46055</v>
      </c>
      <c r="D833" t="s">
        <v>458</v>
      </c>
      <c r="E833">
        <v>0.5</v>
      </c>
    </row>
    <row r="834" spans="1:5">
      <c r="A834">
        <v>10596</v>
      </c>
      <c r="B834">
        <v>1830197</v>
      </c>
      <c r="C834" s="5">
        <v>46055</v>
      </c>
      <c r="D834" t="s">
        <v>458</v>
      </c>
      <c r="E834">
        <v>5.2</v>
      </c>
    </row>
    <row r="835" spans="1:5">
      <c r="A835">
        <v>10597</v>
      </c>
      <c r="B835">
        <v>1830197</v>
      </c>
      <c r="C835" s="5">
        <v>46055</v>
      </c>
      <c r="D835" t="s">
        <v>458</v>
      </c>
      <c r="E835">
        <v>5.5</v>
      </c>
    </row>
    <row r="836" spans="1:5">
      <c r="A836">
        <v>10598</v>
      </c>
      <c r="B836">
        <v>1830197</v>
      </c>
      <c r="C836" s="5">
        <v>46055</v>
      </c>
      <c r="D836" t="s">
        <v>458</v>
      </c>
      <c r="E836">
        <v>30</v>
      </c>
    </row>
    <row r="837" spans="1:5">
      <c r="A837">
        <v>10599</v>
      </c>
      <c r="B837">
        <v>1830197</v>
      </c>
      <c r="C837" s="5">
        <v>46055</v>
      </c>
      <c r="D837" t="s">
        <v>458</v>
      </c>
      <c r="E837">
        <v>0</v>
      </c>
    </row>
    <row r="838" spans="1:5">
      <c r="A838">
        <v>10629</v>
      </c>
      <c r="B838">
        <v>1830197</v>
      </c>
      <c r="C838" s="5">
        <v>46055</v>
      </c>
      <c r="D838" t="s">
        <v>458</v>
      </c>
      <c r="E838">
        <v>12</v>
      </c>
    </row>
    <row r="839" spans="1:5">
      <c r="A839">
        <v>10683</v>
      </c>
      <c r="B839">
        <v>1830197</v>
      </c>
      <c r="C839" s="5">
        <v>46055</v>
      </c>
      <c r="D839" t="s">
        <v>458</v>
      </c>
      <c r="E839">
        <v>0</v>
      </c>
    </row>
    <row r="840" spans="1:5">
      <c r="A840">
        <v>10685</v>
      </c>
      <c r="B840">
        <v>1830197</v>
      </c>
      <c r="C840" s="5">
        <v>46055</v>
      </c>
      <c r="D840" t="s">
        <v>458</v>
      </c>
      <c r="E840">
        <v>0</v>
      </c>
    </row>
    <row r="841" spans="1:5">
      <c r="A841">
        <v>10754</v>
      </c>
      <c r="B841">
        <v>1830197</v>
      </c>
      <c r="C841" s="5">
        <v>46055</v>
      </c>
      <c r="D841" t="s">
        <v>458</v>
      </c>
      <c r="E841">
        <v>0</v>
      </c>
    </row>
    <row r="842" spans="1:5">
      <c r="A842">
        <v>10958</v>
      </c>
      <c r="B842">
        <v>1830197</v>
      </c>
      <c r="C842" s="5">
        <v>46055</v>
      </c>
      <c r="D842" t="s">
        <v>458</v>
      </c>
      <c r="E842">
        <v>15</v>
      </c>
    </row>
    <row r="843" spans="1:5">
      <c r="A843">
        <v>11056</v>
      </c>
      <c r="B843">
        <v>1830197</v>
      </c>
      <c r="C843" s="5">
        <v>46055</v>
      </c>
      <c r="D843" t="s">
        <v>458</v>
      </c>
      <c r="E843">
        <v>0</v>
      </c>
    </row>
    <row r="844" spans="1:5">
      <c r="A844">
        <v>11162</v>
      </c>
      <c r="B844">
        <v>1830197</v>
      </c>
      <c r="C844" s="5">
        <v>46055</v>
      </c>
      <c r="D844" t="s">
        <v>458</v>
      </c>
      <c r="E844">
        <v>0</v>
      </c>
    </row>
    <row r="845" spans="1:5">
      <c r="A845">
        <v>11172</v>
      </c>
      <c r="B845">
        <v>1830197</v>
      </c>
      <c r="C845" s="5">
        <v>46055</v>
      </c>
      <c r="D845" t="s">
        <v>458</v>
      </c>
      <c r="E845">
        <v>0</v>
      </c>
    </row>
    <row r="846" spans="1:5">
      <c r="A846">
        <v>11312</v>
      </c>
      <c r="B846">
        <v>1830197</v>
      </c>
      <c r="C846" s="5">
        <v>46055</v>
      </c>
      <c r="D846" t="s">
        <v>458</v>
      </c>
      <c r="E846">
        <v>21</v>
      </c>
    </row>
    <row r="847" spans="1:5">
      <c r="A847">
        <v>11313</v>
      </c>
      <c r="B847">
        <v>1830197</v>
      </c>
      <c r="C847" s="5">
        <v>46055</v>
      </c>
      <c r="D847" t="s">
        <v>458</v>
      </c>
      <c r="E847">
        <v>0</v>
      </c>
    </row>
    <row r="848" spans="1:5">
      <c r="A848">
        <v>11322</v>
      </c>
      <c r="B848">
        <v>1830197</v>
      </c>
      <c r="C848" s="5">
        <v>46055</v>
      </c>
      <c r="D848" t="s">
        <v>458</v>
      </c>
      <c r="E848">
        <v>0</v>
      </c>
    </row>
    <row r="849" spans="1:5">
      <c r="A849">
        <v>11323</v>
      </c>
      <c r="B849">
        <v>1830197</v>
      </c>
      <c r="C849" s="5">
        <v>46055</v>
      </c>
      <c r="D849" t="s">
        <v>458</v>
      </c>
      <c r="E849">
        <v>0</v>
      </c>
    </row>
    <row r="850" spans="1:5">
      <c r="A850">
        <v>11588</v>
      </c>
      <c r="B850">
        <v>1830197</v>
      </c>
      <c r="C850" s="5">
        <v>46055</v>
      </c>
      <c r="D850" t="s">
        <v>458</v>
      </c>
      <c r="E850">
        <v>0</v>
      </c>
    </row>
    <row r="851" spans="1:5">
      <c r="A851">
        <v>11597</v>
      </c>
      <c r="B851">
        <v>1830197</v>
      </c>
      <c r="C851" s="5">
        <v>46055</v>
      </c>
      <c r="D851" t="s">
        <v>458</v>
      </c>
      <c r="E851">
        <v>0</v>
      </c>
    </row>
    <row r="852" spans="1:5">
      <c r="A852">
        <v>11662</v>
      </c>
      <c r="B852">
        <v>1830197</v>
      </c>
      <c r="C852" s="5">
        <v>46055</v>
      </c>
      <c r="D852" t="s">
        <v>458</v>
      </c>
      <c r="E852">
        <v>0</v>
      </c>
    </row>
    <row r="853" spans="1:5">
      <c r="A853">
        <v>11663</v>
      </c>
      <c r="B853">
        <v>1830197</v>
      </c>
      <c r="C853" s="5">
        <v>46055</v>
      </c>
      <c r="D853" t="s">
        <v>458</v>
      </c>
      <c r="E853">
        <v>0</v>
      </c>
    </row>
    <row r="854" spans="1:5">
      <c r="A854">
        <v>11676</v>
      </c>
      <c r="B854">
        <v>1830197</v>
      </c>
      <c r="C854" s="5">
        <v>46055</v>
      </c>
      <c r="D854" t="s">
        <v>458</v>
      </c>
      <c r="E854">
        <v>0</v>
      </c>
    </row>
    <row r="855" spans="1:5">
      <c r="A855">
        <v>11720</v>
      </c>
      <c r="B855">
        <v>1830197</v>
      </c>
      <c r="C855" s="5">
        <v>46055</v>
      </c>
      <c r="D855" t="s">
        <v>458</v>
      </c>
      <c r="E855">
        <v>0</v>
      </c>
    </row>
    <row r="856" spans="1:5">
      <c r="A856">
        <v>11883</v>
      </c>
      <c r="B856">
        <v>1830197</v>
      </c>
      <c r="C856" s="5">
        <v>46055</v>
      </c>
      <c r="D856" t="s">
        <v>458</v>
      </c>
      <c r="E856">
        <v>3</v>
      </c>
    </row>
    <row r="857" spans="1:5">
      <c r="A857">
        <v>12037</v>
      </c>
      <c r="B857">
        <v>1830197</v>
      </c>
      <c r="C857" s="5">
        <v>46055</v>
      </c>
      <c r="D857" t="s">
        <v>458</v>
      </c>
      <c r="E857">
        <v>0</v>
      </c>
    </row>
    <row r="858" spans="1:5">
      <c r="A858">
        <v>12063</v>
      </c>
      <c r="B858">
        <v>1830197</v>
      </c>
      <c r="C858" s="5">
        <v>46055</v>
      </c>
      <c r="D858" t="s">
        <v>458</v>
      </c>
      <c r="E858">
        <v>0</v>
      </c>
    </row>
    <row r="859" spans="1:5">
      <c r="A859">
        <v>12234</v>
      </c>
      <c r="B859">
        <v>1830197</v>
      </c>
      <c r="C859" s="5">
        <v>46055</v>
      </c>
      <c r="D859" t="s">
        <v>458</v>
      </c>
      <c r="E859">
        <v>11</v>
      </c>
    </row>
    <row r="860" spans="1:5">
      <c r="A860">
        <v>12244</v>
      </c>
      <c r="B860">
        <v>1830197</v>
      </c>
      <c r="C860" s="5">
        <v>46055</v>
      </c>
      <c r="D860" t="s">
        <v>458</v>
      </c>
      <c r="E860">
        <v>0</v>
      </c>
    </row>
    <row r="861" spans="1:5">
      <c r="A861">
        <v>12245</v>
      </c>
      <c r="B861">
        <v>1830197</v>
      </c>
      <c r="C861" s="5">
        <v>46055</v>
      </c>
      <c r="D861" t="s">
        <v>458</v>
      </c>
      <c r="E861">
        <v>0</v>
      </c>
    </row>
    <row r="862" spans="1:5">
      <c r="A862">
        <v>12322</v>
      </c>
      <c r="B862">
        <v>1830197</v>
      </c>
      <c r="C862" s="5">
        <v>46055</v>
      </c>
      <c r="D862" t="s">
        <v>458</v>
      </c>
      <c r="E862">
        <v>10</v>
      </c>
    </row>
    <row r="863" spans="1:5">
      <c r="A863">
        <v>12713</v>
      </c>
      <c r="B863">
        <v>1830197</v>
      </c>
      <c r="C863" s="5">
        <v>46055</v>
      </c>
      <c r="D863" t="s">
        <v>458</v>
      </c>
      <c r="E863">
        <v>35</v>
      </c>
    </row>
    <row r="864" spans="1:5">
      <c r="A864">
        <v>13201</v>
      </c>
      <c r="B864">
        <v>1830197</v>
      </c>
      <c r="C864" s="5">
        <v>46055</v>
      </c>
      <c r="D864" t="s">
        <v>458</v>
      </c>
      <c r="E864">
        <v>15</v>
      </c>
    </row>
    <row r="865" spans="1:5">
      <c r="A865">
        <v>13229</v>
      </c>
      <c r="B865">
        <v>1830197</v>
      </c>
      <c r="C865" s="5">
        <v>46055</v>
      </c>
      <c r="D865" t="s">
        <v>458</v>
      </c>
      <c r="E865">
        <v>0</v>
      </c>
    </row>
    <row r="866" spans="1:5">
      <c r="A866">
        <v>13322</v>
      </c>
      <c r="B866">
        <v>1830197</v>
      </c>
      <c r="C866" s="5">
        <v>46055</v>
      </c>
      <c r="D866" t="s">
        <v>458</v>
      </c>
      <c r="E866">
        <v>0</v>
      </c>
    </row>
    <row r="867" spans="1:5">
      <c r="A867">
        <v>13450</v>
      </c>
      <c r="B867">
        <v>1830197</v>
      </c>
      <c r="C867" s="5">
        <v>46055</v>
      </c>
      <c r="D867" t="s">
        <v>458</v>
      </c>
      <c r="E867">
        <v>0</v>
      </c>
    </row>
    <row r="868" spans="1:5">
      <c r="A868">
        <v>13451</v>
      </c>
      <c r="B868">
        <v>1830197</v>
      </c>
      <c r="C868" s="5">
        <v>46055</v>
      </c>
      <c r="D868" t="s">
        <v>458</v>
      </c>
      <c r="E868">
        <v>0</v>
      </c>
    </row>
    <row r="869" spans="1:5">
      <c r="A869">
        <v>13537</v>
      </c>
      <c r="B869">
        <v>1830197</v>
      </c>
      <c r="C869" s="5">
        <v>46055</v>
      </c>
      <c r="D869" t="s">
        <v>458</v>
      </c>
      <c r="E869">
        <v>0</v>
      </c>
    </row>
    <row r="870" spans="1:5">
      <c r="A870">
        <v>13539</v>
      </c>
      <c r="B870">
        <v>1830197</v>
      </c>
      <c r="C870" s="5">
        <v>46055</v>
      </c>
      <c r="D870" t="s">
        <v>458</v>
      </c>
      <c r="E870">
        <v>0</v>
      </c>
    </row>
    <row r="871" spans="1:5">
      <c r="A871">
        <v>13540</v>
      </c>
      <c r="B871">
        <v>1830197</v>
      </c>
      <c r="C871" s="5">
        <v>46055</v>
      </c>
      <c r="D871" t="s">
        <v>458</v>
      </c>
      <c r="E871">
        <v>0</v>
      </c>
    </row>
    <row r="872" spans="1:5">
      <c r="A872">
        <v>13541</v>
      </c>
      <c r="B872">
        <v>1830197</v>
      </c>
      <c r="C872" s="5">
        <v>46055</v>
      </c>
      <c r="D872" t="s">
        <v>458</v>
      </c>
      <c r="E872">
        <v>0</v>
      </c>
    </row>
    <row r="873" spans="1:5">
      <c r="A873">
        <v>13542</v>
      </c>
      <c r="B873">
        <v>1830197</v>
      </c>
      <c r="C873" s="5">
        <v>46055</v>
      </c>
      <c r="D873" t="s">
        <v>458</v>
      </c>
      <c r="E873">
        <v>0</v>
      </c>
    </row>
    <row r="874" spans="1:5">
      <c r="A874">
        <v>13837</v>
      </c>
      <c r="B874">
        <v>1830197</v>
      </c>
      <c r="C874" s="5">
        <v>46055</v>
      </c>
      <c r="D874" t="s">
        <v>458</v>
      </c>
      <c r="E874">
        <v>0</v>
      </c>
    </row>
    <row r="875" spans="1:5">
      <c r="A875">
        <v>13874</v>
      </c>
      <c r="B875">
        <v>1830197</v>
      </c>
      <c r="C875" s="5">
        <v>46055</v>
      </c>
      <c r="D875" t="s">
        <v>458</v>
      </c>
      <c r="E875">
        <v>0</v>
      </c>
    </row>
    <row r="876" spans="1:5">
      <c r="A876">
        <v>14069</v>
      </c>
      <c r="B876">
        <v>1830197</v>
      </c>
      <c r="C876" s="5">
        <v>46055</v>
      </c>
      <c r="D876" t="s">
        <v>458</v>
      </c>
      <c r="E876">
        <v>0</v>
      </c>
    </row>
    <row r="877" spans="1:5">
      <c r="A877">
        <v>14165</v>
      </c>
      <c r="B877">
        <v>1830197</v>
      </c>
      <c r="C877" s="5">
        <v>46055</v>
      </c>
      <c r="D877" t="s">
        <v>458</v>
      </c>
      <c r="E877">
        <v>112</v>
      </c>
    </row>
    <row r="878" spans="1:5">
      <c r="A878">
        <v>14186</v>
      </c>
      <c r="B878">
        <v>1830197</v>
      </c>
      <c r="C878" s="5">
        <v>46055</v>
      </c>
      <c r="D878" t="s">
        <v>458</v>
      </c>
      <c r="E878">
        <v>0</v>
      </c>
    </row>
    <row r="879" spans="1:5">
      <c r="A879">
        <v>14198</v>
      </c>
      <c r="B879">
        <v>1830197</v>
      </c>
      <c r="C879" s="5">
        <v>46055</v>
      </c>
      <c r="D879" t="s">
        <v>458</v>
      </c>
      <c r="E879">
        <v>1</v>
      </c>
    </row>
    <row r="880" spans="1:5">
      <c r="A880">
        <v>14265</v>
      </c>
      <c r="B880">
        <v>1830197</v>
      </c>
      <c r="C880" s="5">
        <v>46055</v>
      </c>
      <c r="D880" t="s">
        <v>458</v>
      </c>
      <c r="E880">
        <v>0</v>
      </c>
    </row>
    <row r="881" spans="1:5">
      <c r="A881">
        <v>14410</v>
      </c>
      <c r="B881">
        <v>1830197</v>
      </c>
      <c r="C881" s="5">
        <v>46055</v>
      </c>
      <c r="D881" t="s">
        <v>458</v>
      </c>
      <c r="E881">
        <v>0</v>
      </c>
    </row>
    <row r="882" spans="1:5">
      <c r="A882">
        <v>14430</v>
      </c>
      <c r="B882">
        <v>1830197</v>
      </c>
      <c r="C882" s="5">
        <v>46055</v>
      </c>
      <c r="D882" t="s">
        <v>458</v>
      </c>
      <c r="E882">
        <v>0.2</v>
      </c>
    </row>
    <row r="883" spans="1:5">
      <c r="A883">
        <v>14540</v>
      </c>
      <c r="B883">
        <v>1830197</v>
      </c>
      <c r="C883" s="5">
        <v>46055</v>
      </c>
      <c r="D883" t="s">
        <v>458</v>
      </c>
      <c r="E883">
        <v>0</v>
      </c>
    </row>
    <row r="884" spans="1:5">
      <c r="A884">
        <v>14587</v>
      </c>
      <c r="B884">
        <v>1830197</v>
      </c>
      <c r="C884" s="5">
        <v>46055</v>
      </c>
      <c r="D884" t="s">
        <v>458</v>
      </c>
      <c r="E884">
        <v>0</v>
      </c>
    </row>
    <row r="885" spans="1:5">
      <c r="A885">
        <v>14707</v>
      </c>
      <c r="B885">
        <v>1830197</v>
      </c>
      <c r="C885" s="5">
        <v>46055</v>
      </c>
      <c r="D885" t="s">
        <v>458</v>
      </c>
      <c r="E885">
        <v>0</v>
      </c>
    </row>
    <row r="886" spans="1:5">
      <c r="A886">
        <v>14752</v>
      </c>
      <c r="B886">
        <v>1830197</v>
      </c>
      <c r="C886" s="5">
        <v>46055</v>
      </c>
      <c r="D886" t="s">
        <v>458</v>
      </c>
      <c r="E886">
        <v>0</v>
      </c>
    </row>
    <row r="887" spans="1:5">
      <c r="A887">
        <v>14838</v>
      </c>
      <c r="B887">
        <v>1830197</v>
      </c>
      <c r="C887" s="5">
        <v>46055</v>
      </c>
      <c r="D887" t="s">
        <v>458</v>
      </c>
      <c r="E887">
        <v>0</v>
      </c>
    </row>
    <row r="888" spans="1:5">
      <c r="A888">
        <v>15065</v>
      </c>
      <c r="B888">
        <v>1830197</v>
      </c>
      <c r="C888" s="5">
        <v>46055</v>
      </c>
      <c r="D888" t="s">
        <v>458</v>
      </c>
      <c r="E888">
        <v>0</v>
      </c>
    </row>
    <row r="889" spans="1:5">
      <c r="A889">
        <v>15114</v>
      </c>
      <c r="B889">
        <v>1830197</v>
      </c>
      <c r="C889" s="5">
        <v>46055</v>
      </c>
      <c r="D889" t="s">
        <v>458</v>
      </c>
      <c r="E889">
        <v>0</v>
      </c>
    </row>
    <row r="890" spans="1:5">
      <c r="A890">
        <v>15196</v>
      </c>
      <c r="B890">
        <v>1830197</v>
      </c>
      <c r="C890" s="5">
        <v>46055</v>
      </c>
      <c r="D890" t="s">
        <v>458</v>
      </c>
      <c r="E890">
        <v>0</v>
      </c>
    </row>
    <row r="891" spans="1:5">
      <c r="A891">
        <v>15306</v>
      </c>
      <c r="B891">
        <v>1830197</v>
      </c>
      <c r="C891" s="5">
        <v>46055</v>
      </c>
      <c r="D891" t="s">
        <v>458</v>
      </c>
      <c r="E891">
        <v>0</v>
      </c>
    </row>
    <row r="892" spans="1:5">
      <c r="A892">
        <v>15339</v>
      </c>
      <c r="B892">
        <v>1830197</v>
      </c>
      <c r="C892" s="5">
        <v>46055</v>
      </c>
      <c r="D892" t="s">
        <v>458</v>
      </c>
      <c r="E892">
        <v>0</v>
      </c>
    </row>
    <row r="893" spans="1:5">
      <c r="A893">
        <v>15394</v>
      </c>
      <c r="B893">
        <v>1830197</v>
      </c>
      <c r="C893" s="5">
        <v>46055</v>
      </c>
      <c r="D893" t="s">
        <v>458</v>
      </c>
      <c r="E893">
        <v>0</v>
      </c>
    </row>
    <row r="894" spans="1:5">
      <c r="A894">
        <v>15395</v>
      </c>
      <c r="B894">
        <v>1830197</v>
      </c>
      <c r="C894" s="5">
        <v>46055</v>
      </c>
      <c r="D894" t="s">
        <v>458</v>
      </c>
      <c r="E894">
        <v>0</v>
      </c>
    </row>
    <row r="895" spans="1:5">
      <c r="A895">
        <v>15652</v>
      </c>
      <c r="B895">
        <v>1830197</v>
      </c>
      <c r="C895" s="5">
        <v>46055</v>
      </c>
      <c r="D895" t="s">
        <v>458</v>
      </c>
      <c r="E895">
        <v>0</v>
      </c>
    </row>
    <row r="896" spans="1:5">
      <c r="A896">
        <v>15653</v>
      </c>
      <c r="B896">
        <v>1830197</v>
      </c>
      <c r="C896" s="5">
        <v>46055</v>
      </c>
      <c r="D896" t="s">
        <v>458</v>
      </c>
      <c r="E896">
        <v>0</v>
      </c>
    </row>
    <row r="897" spans="1:5">
      <c r="A897">
        <v>15678</v>
      </c>
      <c r="B897">
        <v>1830197</v>
      </c>
      <c r="C897" s="5">
        <v>46055</v>
      </c>
      <c r="D897" t="s">
        <v>458</v>
      </c>
      <c r="E897">
        <v>35</v>
      </c>
    </row>
    <row r="898" spans="1:5">
      <c r="A898">
        <v>15825</v>
      </c>
      <c r="B898">
        <v>1830197</v>
      </c>
      <c r="C898" s="5">
        <v>46055</v>
      </c>
      <c r="D898" t="s">
        <v>458</v>
      </c>
      <c r="E898">
        <v>4</v>
      </c>
    </row>
    <row r="899" spans="1:5">
      <c r="A899">
        <v>15982</v>
      </c>
      <c r="B899">
        <v>1830197</v>
      </c>
      <c r="C899" s="5">
        <v>46055</v>
      </c>
      <c r="D899" t="s">
        <v>458</v>
      </c>
      <c r="E899">
        <v>1.77</v>
      </c>
    </row>
    <row r="900" spans="1:5">
      <c r="A900">
        <v>16033</v>
      </c>
      <c r="B900">
        <v>1830197</v>
      </c>
      <c r="C900" s="5">
        <v>46055</v>
      </c>
      <c r="D900" t="s">
        <v>458</v>
      </c>
      <c r="E900">
        <v>0</v>
      </c>
    </row>
    <row r="901" spans="1:5">
      <c r="A901">
        <v>16045</v>
      </c>
      <c r="B901">
        <v>1830197</v>
      </c>
      <c r="C901" s="5">
        <v>46055</v>
      </c>
      <c r="D901" t="s">
        <v>458</v>
      </c>
      <c r="E901">
        <v>0</v>
      </c>
    </row>
    <row r="902" spans="1:5">
      <c r="A902">
        <v>16381</v>
      </c>
      <c r="B902">
        <v>1830197</v>
      </c>
      <c r="C902" s="5">
        <v>46055</v>
      </c>
      <c r="D902" t="s">
        <v>458</v>
      </c>
      <c r="E902">
        <v>0</v>
      </c>
    </row>
    <row r="903" spans="1:5">
      <c r="A903">
        <v>16387</v>
      </c>
      <c r="B903">
        <v>1830197</v>
      </c>
      <c r="C903" s="5">
        <v>46055</v>
      </c>
      <c r="D903" t="s">
        <v>458</v>
      </c>
      <c r="E903">
        <v>14</v>
      </c>
    </row>
    <row r="904" spans="1:5">
      <c r="A904">
        <v>16564</v>
      </c>
      <c r="B904">
        <v>1830197</v>
      </c>
      <c r="C904" s="5">
        <v>46055</v>
      </c>
      <c r="D904" t="s">
        <v>458</v>
      </c>
      <c r="E904">
        <v>0</v>
      </c>
    </row>
    <row r="905" spans="1:5">
      <c r="A905">
        <v>16565</v>
      </c>
      <c r="B905">
        <v>1830197</v>
      </c>
      <c r="C905" s="5">
        <v>46055</v>
      </c>
      <c r="D905" t="s">
        <v>458</v>
      </c>
      <c r="E905">
        <v>0</v>
      </c>
    </row>
    <row r="906" spans="1:5">
      <c r="A906">
        <v>16569</v>
      </c>
      <c r="B906">
        <v>1830197</v>
      </c>
      <c r="C906" s="5">
        <v>46055</v>
      </c>
      <c r="D906" t="s">
        <v>458</v>
      </c>
      <c r="E906">
        <v>0</v>
      </c>
    </row>
    <row r="907" spans="1:5">
      <c r="A907">
        <v>17091</v>
      </c>
      <c r="B907">
        <v>1830197</v>
      </c>
      <c r="C907" s="5">
        <v>46055</v>
      </c>
      <c r="D907" t="s">
        <v>458</v>
      </c>
      <c r="E907">
        <v>0</v>
      </c>
    </row>
    <row r="908" spans="1:5">
      <c r="A908">
        <v>17113</v>
      </c>
      <c r="B908">
        <v>1830197</v>
      </c>
      <c r="C908" s="5">
        <v>46055</v>
      </c>
      <c r="D908" t="s">
        <v>458</v>
      </c>
      <c r="E908">
        <v>0</v>
      </c>
    </row>
    <row r="909" spans="1:5">
      <c r="A909">
        <v>17362</v>
      </c>
      <c r="B909">
        <v>1830197</v>
      </c>
      <c r="C909" s="5">
        <v>46055</v>
      </c>
      <c r="D909" t="s">
        <v>458</v>
      </c>
      <c r="E909">
        <v>0</v>
      </c>
    </row>
    <row r="910" spans="1:5">
      <c r="A910">
        <v>17363</v>
      </c>
      <c r="B910">
        <v>1830197</v>
      </c>
      <c r="C910" s="5">
        <v>46055</v>
      </c>
      <c r="D910" t="s">
        <v>458</v>
      </c>
      <c r="E910">
        <v>0</v>
      </c>
    </row>
    <row r="911" spans="1:5">
      <c r="A911">
        <v>17383</v>
      </c>
      <c r="B911">
        <v>1830197</v>
      </c>
      <c r="C911" s="5">
        <v>46055</v>
      </c>
      <c r="D911" t="s">
        <v>458</v>
      </c>
      <c r="E911">
        <v>0</v>
      </c>
    </row>
    <row r="912" spans="1:5">
      <c r="A912">
        <v>17384</v>
      </c>
      <c r="B912">
        <v>1830197</v>
      </c>
      <c r="C912" s="5">
        <v>46055</v>
      </c>
      <c r="D912" t="s">
        <v>458</v>
      </c>
      <c r="E912">
        <v>0</v>
      </c>
    </row>
    <row r="913" spans="1:5">
      <c r="A913">
        <v>17385</v>
      </c>
      <c r="B913">
        <v>1830197</v>
      </c>
      <c r="C913" s="5">
        <v>46055</v>
      </c>
      <c r="D913" t="s">
        <v>458</v>
      </c>
      <c r="E913">
        <v>1</v>
      </c>
    </row>
    <row r="914" spans="1:5">
      <c r="A914">
        <v>17482</v>
      </c>
      <c r="B914">
        <v>1830197</v>
      </c>
      <c r="C914" s="5">
        <v>46055</v>
      </c>
      <c r="D914" t="s">
        <v>458</v>
      </c>
      <c r="E914">
        <v>0</v>
      </c>
    </row>
    <row r="915" spans="1:5">
      <c r="A915">
        <v>17515</v>
      </c>
      <c r="B915">
        <v>1830197</v>
      </c>
      <c r="C915" s="5">
        <v>46055</v>
      </c>
      <c r="D915" t="s">
        <v>458</v>
      </c>
      <c r="E915">
        <v>6</v>
      </c>
    </row>
    <row r="916" spans="1:5">
      <c r="A916">
        <v>17581</v>
      </c>
      <c r="B916">
        <v>1830197</v>
      </c>
      <c r="C916" s="5">
        <v>46055</v>
      </c>
      <c r="D916" t="s">
        <v>458</v>
      </c>
      <c r="E916">
        <v>39</v>
      </c>
    </row>
    <row r="917" spans="1:5">
      <c r="A917">
        <v>17588</v>
      </c>
      <c r="B917">
        <v>1830197</v>
      </c>
      <c r="C917" s="5">
        <v>46055</v>
      </c>
      <c r="D917" t="s">
        <v>458</v>
      </c>
      <c r="E917">
        <v>0</v>
      </c>
    </row>
    <row r="918" spans="1:5">
      <c r="A918">
        <v>17639</v>
      </c>
      <c r="B918">
        <v>1830197</v>
      </c>
      <c r="C918" s="5">
        <v>46055</v>
      </c>
      <c r="D918" t="s">
        <v>458</v>
      </c>
      <c r="E918">
        <v>0</v>
      </c>
    </row>
    <row r="919" spans="1:5">
      <c r="A919">
        <v>17771</v>
      </c>
      <c r="B919">
        <v>1830197</v>
      </c>
      <c r="C919" s="5">
        <v>46055</v>
      </c>
      <c r="D919" t="s">
        <v>458</v>
      </c>
      <c r="E919">
        <v>0</v>
      </c>
    </row>
    <row r="920" spans="1:5">
      <c r="A920">
        <v>17774</v>
      </c>
      <c r="B920">
        <v>1830197</v>
      </c>
      <c r="C920" s="5">
        <v>46055</v>
      </c>
      <c r="D920" t="s">
        <v>458</v>
      </c>
      <c r="E920">
        <v>0</v>
      </c>
    </row>
    <row r="921" spans="1:5">
      <c r="A921">
        <v>17775</v>
      </c>
      <c r="B921">
        <v>1830197</v>
      </c>
      <c r="C921" s="5">
        <v>46055</v>
      </c>
      <c r="D921" t="s">
        <v>458</v>
      </c>
      <c r="E921">
        <v>0</v>
      </c>
    </row>
    <row r="922" spans="1:5">
      <c r="A922">
        <v>17849</v>
      </c>
      <c r="B922">
        <v>1830197</v>
      </c>
      <c r="C922" s="5">
        <v>46055</v>
      </c>
      <c r="D922" t="s">
        <v>458</v>
      </c>
      <c r="E922">
        <v>0</v>
      </c>
    </row>
    <row r="923" spans="1:5">
      <c r="A923">
        <v>17947</v>
      </c>
      <c r="B923">
        <v>1830197</v>
      </c>
      <c r="C923" s="5">
        <v>46055</v>
      </c>
      <c r="D923" t="s">
        <v>458</v>
      </c>
      <c r="E923">
        <v>0</v>
      </c>
    </row>
    <row r="924" spans="1:5">
      <c r="A924">
        <v>18087</v>
      </c>
      <c r="B924">
        <v>1830197</v>
      </c>
      <c r="C924" s="5">
        <v>46055</v>
      </c>
      <c r="D924" t="s">
        <v>458</v>
      </c>
      <c r="E924">
        <v>0</v>
      </c>
    </row>
    <row r="925" spans="1:5">
      <c r="A925">
        <v>18088</v>
      </c>
      <c r="B925">
        <v>1830197</v>
      </c>
      <c r="C925" s="5">
        <v>46055</v>
      </c>
      <c r="D925" t="s">
        <v>458</v>
      </c>
      <c r="E925">
        <v>0</v>
      </c>
    </row>
    <row r="926" spans="1:5">
      <c r="A926">
        <v>18161</v>
      </c>
      <c r="B926">
        <v>1830197</v>
      </c>
      <c r="C926" s="5">
        <v>46055</v>
      </c>
      <c r="D926" t="s">
        <v>458</v>
      </c>
      <c r="E926">
        <v>0</v>
      </c>
    </row>
    <row r="927" spans="1:5">
      <c r="A927">
        <v>18229</v>
      </c>
      <c r="B927">
        <v>1830197</v>
      </c>
      <c r="C927" s="5">
        <v>46055</v>
      </c>
      <c r="D927" t="s">
        <v>458</v>
      </c>
      <c r="E927">
        <v>0</v>
      </c>
    </row>
    <row r="928" spans="1:5">
      <c r="A928">
        <v>18309</v>
      </c>
      <c r="B928">
        <v>1830197</v>
      </c>
      <c r="C928" s="5">
        <v>46055</v>
      </c>
      <c r="D928" t="s">
        <v>458</v>
      </c>
      <c r="E928">
        <v>0</v>
      </c>
    </row>
    <row r="929" spans="1:5">
      <c r="A929">
        <v>18310</v>
      </c>
      <c r="B929">
        <v>1830197</v>
      </c>
      <c r="C929" s="5">
        <v>46055</v>
      </c>
      <c r="D929" t="s">
        <v>458</v>
      </c>
      <c r="E929">
        <v>0</v>
      </c>
    </row>
    <row r="930" spans="1:5">
      <c r="A930">
        <v>18342</v>
      </c>
      <c r="B930">
        <v>1830197</v>
      </c>
      <c r="C930" s="5">
        <v>46055</v>
      </c>
      <c r="D930" t="s">
        <v>458</v>
      </c>
      <c r="E930">
        <v>34</v>
      </c>
    </row>
    <row r="931" spans="1:5">
      <c r="A931">
        <v>18471</v>
      </c>
      <c r="B931">
        <v>1830197</v>
      </c>
      <c r="C931" s="5">
        <v>46055</v>
      </c>
      <c r="D931" t="s">
        <v>458</v>
      </c>
      <c r="E931">
        <v>0</v>
      </c>
    </row>
    <row r="932" spans="1:5">
      <c r="A932">
        <v>18472</v>
      </c>
      <c r="B932">
        <v>1830197</v>
      </c>
      <c r="C932" s="5">
        <v>46055</v>
      </c>
      <c r="D932" t="s">
        <v>458</v>
      </c>
      <c r="E932">
        <v>0</v>
      </c>
    </row>
    <row r="933" spans="1:5">
      <c r="A933">
        <v>18626</v>
      </c>
      <c r="B933">
        <v>1830197</v>
      </c>
      <c r="C933" s="5">
        <v>46055</v>
      </c>
      <c r="D933" t="s">
        <v>458</v>
      </c>
      <c r="E933">
        <v>0</v>
      </c>
    </row>
    <row r="934" spans="1:5">
      <c r="A934">
        <v>18640</v>
      </c>
      <c r="B934">
        <v>1830197</v>
      </c>
      <c r="C934" s="5">
        <v>46055</v>
      </c>
      <c r="D934" t="s">
        <v>458</v>
      </c>
      <c r="E934">
        <v>0</v>
      </c>
    </row>
    <row r="935" spans="1:5">
      <c r="A935">
        <v>18649</v>
      </c>
      <c r="B935">
        <v>1830197</v>
      </c>
      <c r="C935" s="5">
        <v>46055</v>
      </c>
      <c r="D935" t="s">
        <v>458</v>
      </c>
      <c r="E935">
        <v>36</v>
      </c>
    </row>
    <row r="936" spans="1:5">
      <c r="A936">
        <v>19050</v>
      </c>
      <c r="B936">
        <v>1830197</v>
      </c>
      <c r="C936" s="5">
        <v>46055</v>
      </c>
      <c r="D936" t="s">
        <v>458</v>
      </c>
      <c r="E936">
        <v>0</v>
      </c>
    </row>
    <row r="937" spans="1:5">
      <c r="A937">
        <v>19051</v>
      </c>
      <c r="B937">
        <v>1830197</v>
      </c>
      <c r="C937" s="5">
        <v>46055</v>
      </c>
      <c r="D937" t="s">
        <v>458</v>
      </c>
      <c r="E937">
        <v>0</v>
      </c>
    </row>
    <row r="938" spans="1:5">
      <c r="A938">
        <v>19060</v>
      </c>
      <c r="B938">
        <v>1830197</v>
      </c>
      <c r="C938" s="5">
        <v>46055</v>
      </c>
      <c r="D938" t="s">
        <v>458</v>
      </c>
      <c r="E938">
        <v>0</v>
      </c>
    </row>
    <row r="939" spans="1:5">
      <c r="A939">
        <v>19235</v>
      </c>
      <c r="B939">
        <v>1830197</v>
      </c>
      <c r="C939" s="5">
        <v>46055</v>
      </c>
      <c r="D939" t="s">
        <v>458</v>
      </c>
      <c r="E939">
        <v>0</v>
      </c>
    </row>
    <row r="940" spans="1:5">
      <c r="A940">
        <v>19236</v>
      </c>
      <c r="B940">
        <v>1830197</v>
      </c>
      <c r="C940" s="5">
        <v>46055</v>
      </c>
      <c r="D940" t="s">
        <v>458</v>
      </c>
      <c r="E940">
        <v>0</v>
      </c>
    </row>
    <row r="941" spans="1:5">
      <c r="A941">
        <v>19346</v>
      </c>
      <c r="B941">
        <v>1830197</v>
      </c>
      <c r="C941" s="5">
        <v>46055</v>
      </c>
      <c r="D941" t="s">
        <v>458</v>
      </c>
      <c r="E941">
        <v>0</v>
      </c>
    </row>
    <row r="942" spans="1:5">
      <c r="A942">
        <v>19500</v>
      </c>
      <c r="B942">
        <v>1830197</v>
      </c>
      <c r="C942" s="5">
        <v>46055</v>
      </c>
      <c r="D942" t="s">
        <v>458</v>
      </c>
      <c r="E942">
        <v>0</v>
      </c>
    </row>
    <row r="943" spans="1:5">
      <c r="A943">
        <v>19541</v>
      </c>
      <c r="B943">
        <v>1830197</v>
      </c>
      <c r="C943" s="5">
        <v>46055</v>
      </c>
      <c r="D943" t="s">
        <v>458</v>
      </c>
      <c r="E943">
        <v>0</v>
      </c>
    </row>
    <row r="944" spans="1:5">
      <c r="A944">
        <v>19670</v>
      </c>
      <c r="B944">
        <v>1830197</v>
      </c>
      <c r="C944" s="5">
        <v>46055</v>
      </c>
      <c r="D944" t="s">
        <v>458</v>
      </c>
      <c r="E944">
        <v>0</v>
      </c>
    </row>
    <row r="945" spans="1:5">
      <c r="A945">
        <v>19701</v>
      </c>
      <c r="B945">
        <v>1830197</v>
      </c>
      <c r="C945" s="5">
        <v>46055</v>
      </c>
      <c r="D945" t="s">
        <v>458</v>
      </c>
      <c r="E945">
        <v>0</v>
      </c>
    </row>
    <row r="946" spans="1:5">
      <c r="A946">
        <v>20091</v>
      </c>
      <c r="B946">
        <v>1830197</v>
      </c>
      <c r="C946" s="5">
        <v>46055</v>
      </c>
      <c r="D946" t="s">
        <v>458</v>
      </c>
      <c r="E946">
        <v>0.2</v>
      </c>
    </row>
    <row r="947" spans="1:5">
      <c r="A947">
        <v>20096</v>
      </c>
      <c r="B947">
        <v>1830197</v>
      </c>
      <c r="C947" s="5">
        <v>46055</v>
      </c>
      <c r="D947" t="s">
        <v>458</v>
      </c>
      <c r="E947">
        <v>0</v>
      </c>
    </row>
    <row r="948" spans="1:5">
      <c r="A948">
        <v>20124</v>
      </c>
      <c r="B948">
        <v>1830197</v>
      </c>
      <c r="C948" s="5">
        <v>46055</v>
      </c>
      <c r="D948" t="s">
        <v>458</v>
      </c>
      <c r="E948">
        <v>-6</v>
      </c>
    </row>
    <row r="949" spans="1:5">
      <c r="A949">
        <v>20245</v>
      </c>
      <c r="B949">
        <v>1830197</v>
      </c>
      <c r="C949" s="5">
        <v>46055</v>
      </c>
      <c r="D949" t="s">
        <v>458</v>
      </c>
      <c r="E949">
        <v>0</v>
      </c>
    </row>
    <row r="950" spans="1:5">
      <c r="A950">
        <v>22061</v>
      </c>
      <c r="B950">
        <v>1830197</v>
      </c>
      <c r="C950" s="5">
        <v>46055</v>
      </c>
      <c r="D950" t="s">
        <v>458</v>
      </c>
      <c r="E950">
        <v>0</v>
      </c>
    </row>
    <row r="951" spans="1:5">
      <c r="A951">
        <v>22070</v>
      </c>
      <c r="B951">
        <v>1830197</v>
      </c>
      <c r="C951" s="5">
        <v>46055</v>
      </c>
      <c r="D951" t="s">
        <v>458</v>
      </c>
      <c r="E951">
        <v>0</v>
      </c>
    </row>
    <row r="952" spans="1:5">
      <c r="A952">
        <v>22388</v>
      </c>
      <c r="B952">
        <v>1830197</v>
      </c>
      <c r="C952" s="5">
        <v>46055</v>
      </c>
      <c r="D952" t="s">
        <v>458</v>
      </c>
      <c r="E952">
        <v>14</v>
      </c>
    </row>
    <row r="953" spans="1:5">
      <c r="A953">
        <v>23991</v>
      </c>
      <c r="B953">
        <v>1830197</v>
      </c>
      <c r="C953" s="5">
        <v>46055</v>
      </c>
      <c r="D953" t="s">
        <v>458</v>
      </c>
      <c r="E953">
        <v>0.86</v>
      </c>
    </row>
    <row r="954" spans="1:5">
      <c r="A954">
        <v>24276</v>
      </c>
      <c r="B954">
        <v>1830197</v>
      </c>
      <c r="C954" s="5">
        <v>46055</v>
      </c>
      <c r="D954" t="s">
        <v>458</v>
      </c>
      <c r="E954">
        <v>0</v>
      </c>
    </row>
    <row r="955" spans="1:5">
      <c r="A955">
        <v>24737</v>
      </c>
      <c r="B955">
        <v>1830197</v>
      </c>
      <c r="C955" s="5">
        <v>46055</v>
      </c>
      <c r="D955" t="s">
        <v>458</v>
      </c>
      <c r="E955">
        <v>0</v>
      </c>
    </row>
    <row r="956" spans="1:5">
      <c r="A956">
        <v>24738</v>
      </c>
      <c r="B956">
        <v>1830197</v>
      </c>
      <c r="C956" s="5">
        <v>46055</v>
      </c>
      <c r="D956" t="s">
        <v>458</v>
      </c>
      <c r="E956">
        <v>0</v>
      </c>
    </row>
    <row r="957" spans="1:5">
      <c r="A957">
        <v>30139</v>
      </c>
      <c r="B957">
        <v>1830197</v>
      </c>
      <c r="C957" s="5">
        <v>46055</v>
      </c>
      <c r="D957" t="s">
        <v>458</v>
      </c>
      <c r="E957">
        <v>2</v>
      </c>
    </row>
    <row r="958" spans="1:5">
      <c r="A958">
        <v>30140</v>
      </c>
      <c r="B958">
        <v>1830197</v>
      </c>
      <c r="C958" s="5">
        <v>46055</v>
      </c>
      <c r="D958" t="s">
        <v>458</v>
      </c>
      <c r="E958">
        <v>1</v>
      </c>
    </row>
    <row r="959" spans="1:5">
      <c r="A959">
        <v>30154</v>
      </c>
      <c r="B959">
        <v>1830197</v>
      </c>
      <c r="C959" s="5">
        <v>46055</v>
      </c>
      <c r="D959" t="s">
        <v>458</v>
      </c>
      <c r="E959">
        <v>0.1</v>
      </c>
    </row>
    <row r="960" spans="1:5">
      <c r="A960">
        <v>34120</v>
      </c>
      <c r="B960">
        <v>1830197</v>
      </c>
      <c r="C960" s="5">
        <v>46055</v>
      </c>
      <c r="D960" t="s">
        <v>458</v>
      </c>
      <c r="E960">
        <v>0</v>
      </c>
    </row>
    <row r="961" spans="1:5">
      <c r="A961">
        <v>36055</v>
      </c>
      <c r="B961">
        <v>1830197</v>
      </c>
      <c r="C961" s="5">
        <v>46055</v>
      </c>
      <c r="D961" t="s">
        <v>458</v>
      </c>
      <c r="E961">
        <v>0</v>
      </c>
    </row>
    <row r="962" spans="1:5">
      <c r="A962">
        <v>36061</v>
      </c>
      <c r="B962">
        <v>1830197</v>
      </c>
      <c r="C962" s="5">
        <v>46055</v>
      </c>
      <c r="D962" t="s">
        <v>458</v>
      </c>
      <c r="E962">
        <v>0</v>
      </c>
    </row>
    <row r="963" spans="1:5">
      <c r="A963">
        <v>37089</v>
      </c>
      <c r="B963">
        <v>1830197</v>
      </c>
      <c r="C963" s="5">
        <v>46055</v>
      </c>
      <c r="D963" t="s">
        <v>458</v>
      </c>
      <c r="E963">
        <v>0</v>
      </c>
    </row>
    <row r="964" spans="1:5">
      <c r="A964">
        <v>39852</v>
      </c>
      <c r="B964">
        <v>1830197</v>
      </c>
      <c r="C964" s="5">
        <v>46055</v>
      </c>
      <c r="D964" t="s">
        <v>458</v>
      </c>
      <c r="E964">
        <v>0</v>
      </c>
    </row>
    <row r="965" spans="1:5">
      <c r="A965">
        <v>40076</v>
      </c>
      <c r="B965">
        <v>1830197</v>
      </c>
      <c r="C965" s="5">
        <v>46055</v>
      </c>
      <c r="D965" t="s">
        <v>458</v>
      </c>
      <c r="E965">
        <v>277</v>
      </c>
    </row>
    <row r="966" spans="1:5">
      <c r="A966">
        <v>40077</v>
      </c>
      <c r="B966">
        <v>1830197</v>
      </c>
      <c r="C966" s="5">
        <v>46055</v>
      </c>
      <c r="D966" t="s">
        <v>458</v>
      </c>
      <c r="E966">
        <v>8</v>
      </c>
    </row>
    <row r="967" spans="1:5">
      <c r="A967">
        <v>40078</v>
      </c>
      <c r="B967">
        <v>1830197</v>
      </c>
      <c r="C967" s="5">
        <v>46055</v>
      </c>
      <c r="D967" t="s">
        <v>458</v>
      </c>
      <c r="E967">
        <v>8</v>
      </c>
    </row>
    <row r="968" spans="1:5">
      <c r="A968">
        <v>40079</v>
      </c>
      <c r="B968">
        <v>1830197</v>
      </c>
      <c r="C968" s="5">
        <v>46055</v>
      </c>
      <c r="D968" t="s">
        <v>458</v>
      </c>
      <c r="E968">
        <v>0</v>
      </c>
    </row>
    <row r="969" spans="1:5">
      <c r="A969">
        <v>45695</v>
      </c>
      <c r="B969">
        <v>1830197</v>
      </c>
      <c r="C969" s="5">
        <v>46055</v>
      </c>
      <c r="D969" t="s">
        <v>458</v>
      </c>
      <c r="E969">
        <v>14</v>
      </c>
    </row>
    <row r="970" spans="1:5">
      <c r="A970">
        <v>80174</v>
      </c>
      <c r="B970">
        <v>1830197</v>
      </c>
      <c r="C970" s="5">
        <v>46055</v>
      </c>
      <c r="D970" t="s">
        <v>458</v>
      </c>
      <c r="E970">
        <v>0</v>
      </c>
    </row>
    <row r="971" spans="1:5">
      <c r="A971">
        <v>84522</v>
      </c>
      <c r="B971">
        <v>1830197</v>
      </c>
      <c r="C971" s="5">
        <v>46055</v>
      </c>
      <c r="D971" t="s">
        <v>458</v>
      </c>
      <c r="E971">
        <v>3</v>
      </c>
    </row>
    <row r="972" spans="1:5">
      <c r="A972">
        <v>84523</v>
      </c>
      <c r="B972">
        <v>1830197</v>
      </c>
      <c r="C972" s="5">
        <v>46055</v>
      </c>
      <c r="D972" t="s">
        <v>458</v>
      </c>
      <c r="E972">
        <v>3</v>
      </c>
    </row>
    <row r="973" spans="1:5">
      <c r="A973">
        <v>87096</v>
      </c>
      <c r="B973">
        <v>1830197</v>
      </c>
      <c r="C973" s="5">
        <v>46055</v>
      </c>
      <c r="D973" t="s">
        <v>458</v>
      </c>
      <c r="E973">
        <v>0</v>
      </c>
    </row>
    <row r="974" spans="1:5">
      <c r="A974">
        <v>87098</v>
      </c>
      <c r="B974">
        <v>1830197</v>
      </c>
      <c r="C974" s="5">
        <v>46055</v>
      </c>
      <c r="D974" t="s">
        <v>458</v>
      </c>
      <c r="E974">
        <v>3</v>
      </c>
    </row>
    <row r="975" spans="1:5">
      <c r="A975">
        <v>91426</v>
      </c>
      <c r="B975">
        <v>1830197</v>
      </c>
      <c r="C975" s="5">
        <v>46055</v>
      </c>
      <c r="D975" t="s">
        <v>458</v>
      </c>
      <c r="E975">
        <v>0</v>
      </c>
    </row>
    <row r="976" spans="1:5">
      <c r="A976">
        <v>91427</v>
      </c>
      <c r="B976">
        <v>1830197</v>
      </c>
      <c r="C976" s="5">
        <v>46055</v>
      </c>
      <c r="D976" t="s">
        <v>458</v>
      </c>
      <c r="E976">
        <v>0</v>
      </c>
    </row>
    <row r="977" spans="1:5">
      <c r="A977">
        <v>91428</v>
      </c>
      <c r="B977">
        <v>1830197</v>
      </c>
      <c r="C977" s="5">
        <v>46055</v>
      </c>
      <c r="D977" t="s">
        <v>458</v>
      </c>
      <c r="E977">
        <v>0</v>
      </c>
    </row>
    <row r="978" spans="1:5">
      <c r="A978">
        <v>91429</v>
      </c>
      <c r="B978">
        <v>1830197</v>
      </c>
      <c r="C978" s="5">
        <v>46055</v>
      </c>
      <c r="D978" t="s">
        <v>458</v>
      </c>
      <c r="E978">
        <v>0</v>
      </c>
    </row>
    <row r="979" spans="1:5">
      <c r="A979">
        <v>91430</v>
      </c>
      <c r="B979">
        <v>1830197</v>
      </c>
      <c r="C979" s="5">
        <v>46055</v>
      </c>
      <c r="D979" t="s">
        <v>458</v>
      </c>
      <c r="E979">
        <v>0</v>
      </c>
    </row>
    <row r="980" spans="1:5">
      <c r="A980">
        <v>91431</v>
      </c>
      <c r="B980">
        <v>1830197</v>
      </c>
      <c r="C980" s="5">
        <v>46055</v>
      </c>
      <c r="D980" t="s">
        <v>458</v>
      </c>
      <c r="E980">
        <v>0</v>
      </c>
    </row>
    <row r="981" spans="1:5">
      <c r="A981">
        <v>91432</v>
      </c>
      <c r="B981">
        <v>1830197</v>
      </c>
      <c r="C981" s="5">
        <v>46055</v>
      </c>
      <c r="D981" t="s">
        <v>458</v>
      </c>
      <c r="E981">
        <v>0</v>
      </c>
    </row>
    <row r="982" spans="1:5">
      <c r="A982">
        <v>91433</v>
      </c>
      <c r="B982">
        <v>1830197</v>
      </c>
      <c r="C982" s="5">
        <v>46055</v>
      </c>
      <c r="D982" t="s">
        <v>458</v>
      </c>
      <c r="E982">
        <v>0</v>
      </c>
    </row>
    <row r="983" spans="1:5">
      <c r="A983">
        <v>92009</v>
      </c>
      <c r="B983">
        <v>1830197</v>
      </c>
      <c r="C983" s="5">
        <v>46055</v>
      </c>
      <c r="D983" t="s">
        <v>458</v>
      </c>
      <c r="E983">
        <v>0</v>
      </c>
    </row>
    <row r="984" spans="1:5">
      <c r="A984">
        <v>92084</v>
      </c>
      <c r="B984">
        <v>1830197</v>
      </c>
      <c r="C984" s="5">
        <v>46055</v>
      </c>
      <c r="D984" t="s">
        <v>458</v>
      </c>
      <c r="E984">
        <v>0</v>
      </c>
    </row>
    <row r="985" spans="1:5">
      <c r="A985">
        <v>93111</v>
      </c>
      <c r="B985">
        <v>1830197</v>
      </c>
      <c r="C985" s="5">
        <v>46055</v>
      </c>
      <c r="D985" t="s">
        <v>458</v>
      </c>
      <c r="E985">
        <v>0</v>
      </c>
    </row>
    <row r="986" spans="1:5">
      <c r="A986">
        <v>94827</v>
      </c>
      <c r="B986">
        <v>1830197</v>
      </c>
      <c r="C986" s="5">
        <v>46055</v>
      </c>
      <c r="D986" t="s">
        <v>458</v>
      </c>
      <c r="E986">
        <v>0</v>
      </c>
    </row>
    <row r="987" spans="1:5">
      <c r="A987">
        <v>94830</v>
      </c>
      <c r="B987">
        <v>1830197</v>
      </c>
      <c r="C987" s="5">
        <v>46055</v>
      </c>
      <c r="D987" t="s">
        <v>458</v>
      </c>
      <c r="E987">
        <v>0</v>
      </c>
    </row>
    <row r="988" spans="1:5">
      <c r="A988">
        <v>94833</v>
      </c>
      <c r="B988">
        <v>1830197</v>
      </c>
      <c r="C988" s="5">
        <v>46055</v>
      </c>
      <c r="D988" t="s">
        <v>458</v>
      </c>
      <c r="E988">
        <v>0</v>
      </c>
    </row>
    <row r="989" spans="1:5">
      <c r="A989">
        <v>94836</v>
      </c>
      <c r="B989">
        <v>1830197</v>
      </c>
      <c r="C989" s="5">
        <v>46055</v>
      </c>
      <c r="D989" t="s">
        <v>458</v>
      </c>
      <c r="E989">
        <v>0</v>
      </c>
    </row>
    <row r="990" spans="1:5">
      <c r="A990">
        <v>94839</v>
      </c>
      <c r="B990">
        <v>1830197</v>
      </c>
      <c r="C990" s="5">
        <v>46055</v>
      </c>
      <c r="D990" t="s">
        <v>458</v>
      </c>
      <c r="E990">
        <v>0</v>
      </c>
    </row>
    <row r="991" spans="1:5">
      <c r="A991">
        <v>94842</v>
      </c>
      <c r="B991">
        <v>1830197</v>
      </c>
      <c r="C991" s="5">
        <v>46055</v>
      </c>
      <c r="D991" t="s">
        <v>458</v>
      </c>
      <c r="E991">
        <v>0</v>
      </c>
    </row>
    <row r="992" spans="1:5">
      <c r="A992">
        <v>94845</v>
      </c>
      <c r="B992">
        <v>1830197</v>
      </c>
      <c r="C992" s="5">
        <v>46055</v>
      </c>
      <c r="D992" t="s">
        <v>458</v>
      </c>
      <c r="E992">
        <v>0</v>
      </c>
    </row>
    <row r="993" spans="1:5">
      <c r="A993">
        <v>94848</v>
      </c>
      <c r="B993">
        <v>1830197</v>
      </c>
      <c r="C993" s="5">
        <v>46055</v>
      </c>
      <c r="D993" t="s">
        <v>458</v>
      </c>
      <c r="E993">
        <v>0</v>
      </c>
    </row>
    <row r="994" spans="1:5">
      <c r="A994">
        <v>94872</v>
      </c>
      <c r="B994">
        <v>1830197</v>
      </c>
      <c r="C994" s="5">
        <v>46055</v>
      </c>
      <c r="D994" t="s">
        <v>458</v>
      </c>
      <c r="E994">
        <v>0</v>
      </c>
    </row>
    <row r="995" spans="1:5">
      <c r="A995">
        <v>99078</v>
      </c>
      <c r="B995">
        <v>1830197</v>
      </c>
      <c r="C995" s="5">
        <v>46055</v>
      </c>
      <c r="D995" t="s">
        <v>458</v>
      </c>
      <c r="E995">
        <v>0</v>
      </c>
    </row>
    <row r="996" spans="1:5">
      <c r="A996">
        <v>99165</v>
      </c>
      <c r="B996">
        <v>1830197</v>
      </c>
      <c r="C996" s="5">
        <v>46055</v>
      </c>
      <c r="D996" t="s">
        <v>458</v>
      </c>
      <c r="E996">
        <v>0</v>
      </c>
    </row>
    <row r="997" spans="1:5">
      <c r="A997">
        <v>99166</v>
      </c>
      <c r="B997">
        <v>1830197</v>
      </c>
      <c r="C997" s="5">
        <v>46055</v>
      </c>
      <c r="D997" t="s">
        <v>458</v>
      </c>
      <c r="E997">
        <v>0</v>
      </c>
    </row>
    <row r="998" spans="1:5">
      <c r="A998">
        <v>99168</v>
      </c>
      <c r="B998">
        <v>1830197</v>
      </c>
      <c r="C998" s="5">
        <v>46055</v>
      </c>
      <c r="D998" t="s">
        <v>458</v>
      </c>
      <c r="E998">
        <v>0</v>
      </c>
    </row>
    <row r="999" spans="1:5">
      <c r="A999">
        <v>99169</v>
      </c>
      <c r="B999">
        <v>1830197</v>
      </c>
      <c r="C999" s="5">
        <v>46055</v>
      </c>
      <c r="D999" t="s">
        <v>458</v>
      </c>
      <c r="E999">
        <v>0</v>
      </c>
    </row>
    <row r="1000" spans="1:5">
      <c r="A1000">
        <v>99170</v>
      </c>
      <c r="B1000">
        <v>1830197</v>
      </c>
      <c r="C1000" s="5">
        <v>46055</v>
      </c>
      <c r="D1000" t="s">
        <v>458</v>
      </c>
      <c r="E1000">
        <v>0</v>
      </c>
    </row>
    <row r="1001" spans="1:5">
      <c r="A1001">
        <v>99216</v>
      </c>
      <c r="B1001">
        <v>1830197</v>
      </c>
      <c r="C1001" s="5">
        <v>46055</v>
      </c>
      <c r="D1001" t="s">
        <v>458</v>
      </c>
      <c r="E1001">
        <v>0</v>
      </c>
    </row>
    <row r="1002" spans="1:5">
      <c r="A1002">
        <v>99249</v>
      </c>
      <c r="B1002">
        <v>1830197</v>
      </c>
      <c r="C1002" s="5">
        <v>46055</v>
      </c>
      <c r="D1002" t="s">
        <v>458</v>
      </c>
      <c r="E1002">
        <v>0</v>
      </c>
    </row>
    <row r="1003" spans="1:5">
      <c r="A1003">
        <v>99305</v>
      </c>
      <c r="B1003">
        <v>1830197</v>
      </c>
      <c r="C1003" s="5">
        <v>46055</v>
      </c>
      <c r="D1003" t="s">
        <v>458</v>
      </c>
      <c r="E1003">
        <v>0</v>
      </c>
    </row>
    <row r="1004" spans="1:5">
      <c r="A1004">
        <v>99378</v>
      </c>
      <c r="B1004">
        <v>1830197</v>
      </c>
      <c r="C1004" s="5">
        <v>46055</v>
      </c>
      <c r="D1004" t="s">
        <v>458</v>
      </c>
      <c r="E1004">
        <v>0.17</v>
      </c>
    </row>
    <row r="1005" spans="1:5">
      <c r="A1005">
        <v>99422</v>
      </c>
      <c r="B1005">
        <v>1830197</v>
      </c>
      <c r="C1005" s="5">
        <v>46055</v>
      </c>
      <c r="D1005" t="s">
        <v>458</v>
      </c>
      <c r="E1005">
        <v>0</v>
      </c>
    </row>
    <row r="1006" spans="1:5">
      <c r="A1006">
        <v>99903</v>
      </c>
      <c r="B1006">
        <v>1830197</v>
      </c>
      <c r="C1006" s="5">
        <v>46055</v>
      </c>
      <c r="D1006" t="s">
        <v>458</v>
      </c>
      <c r="E1006">
        <v>0</v>
      </c>
    </row>
    <row r="1007" spans="1:5">
      <c r="A1007">
        <v>99906</v>
      </c>
      <c r="B1007">
        <v>1830197</v>
      </c>
      <c r="C1007" s="5">
        <v>46055</v>
      </c>
      <c r="D1007" t="s">
        <v>458</v>
      </c>
      <c r="E1007">
        <v>6</v>
      </c>
    </row>
    <row r="1008" spans="1:5">
      <c r="A1008">
        <v>99907</v>
      </c>
      <c r="B1008">
        <v>1830197</v>
      </c>
      <c r="C1008" s="5">
        <v>46055</v>
      </c>
      <c r="D1008" t="s">
        <v>458</v>
      </c>
      <c r="E1008">
        <v>9</v>
      </c>
    </row>
    <row r="1009" spans="1:5">
      <c r="A1009">
        <v>99908</v>
      </c>
      <c r="B1009">
        <v>1830197</v>
      </c>
      <c r="C1009" s="5">
        <v>46055</v>
      </c>
      <c r="D1009" t="s">
        <v>458</v>
      </c>
      <c r="E1009">
        <v>0</v>
      </c>
    </row>
    <row r="1010" spans="1:5">
      <c r="A1010">
        <v>99912</v>
      </c>
      <c r="B1010">
        <v>1830197</v>
      </c>
      <c r="C1010" s="5">
        <v>46055</v>
      </c>
      <c r="D1010" t="s">
        <v>458</v>
      </c>
      <c r="E1010">
        <v>0</v>
      </c>
    </row>
    <row r="1011" spans="1:5">
      <c r="A1011">
        <v>99913</v>
      </c>
      <c r="B1011">
        <v>1830197</v>
      </c>
      <c r="C1011" s="5">
        <v>46055</v>
      </c>
      <c r="D1011" t="s">
        <v>458</v>
      </c>
      <c r="E1011">
        <v>0</v>
      </c>
    </row>
    <row r="1012" spans="1:5">
      <c r="A1012">
        <v>99914</v>
      </c>
      <c r="B1012">
        <v>1830197</v>
      </c>
      <c r="C1012" s="5">
        <v>46055</v>
      </c>
      <c r="D1012" t="s">
        <v>458</v>
      </c>
      <c r="E1012">
        <v>1</v>
      </c>
    </row>
    <row r="1013" spans="1:5">
      <c r="A1013">
        <v>99915</v>
      </c>
      <c r="B1013">
        <v>1830197</v>
      </c>
      <c r="C1013" s="5">
        <v>46055</v>
      </c>
      <c r="D1013" t="s">
        <v>458</v>
      </c>
      <c r="E1013">
        <v>0</v>
      </c>
    </row>
    <row r="1014" spans="1:5">
      <c r="A1014">
        <v>99916</v>
      </c>
      <c r="B1014">
        <v>1830197</v>
      </c>
      <c r="C1014" s="5">
        <v>46055</v>
      </c>
      <c r="D1014" t="s">
        <v>458</v>
      </c>
      <c r="E1014">
        <v>1</v>
      </c>
    </row>
    <row r="1015" spans="1:5">
      <c r="A1015">
        <v>99917</v>
      </c>
      <c r="B1015">
        <v>1830197</v>
      </c>
      <c r="C1015" s="5">
        <v>46055</v>
      </c>
      <c r="D1015" t="s">
        <v>458</v>
      </c>
      <c r="E1015">
        <v>0</v>
      </c>
    </row>
    <row r="1016" spans="1:5">
      <c r="A1016">
        <v>99920</v>
      </c>
      <c r="B1016">
        <v>1830197</v>
      </c>
      <c r="C1016" s="5">
        <v>46055</v>
      </c>
      <c r="D1016" t="s">
        <v>458</v>
      </c>
      <c r="E1016">
        <v>0</v>
      </c>
    </row>
    <row r="1017" spans="1:5">
      <c r="A1017">
        <v>99929</v>
      </c>
      <c r="B1017">
        <v>1830197</v>
      </c>
      <c r="C1017" s="5">
        <v>46055</v>
      </c>
      <c r="D1017" t="s">
        <v>458</v>
      </c>
      <c r="E1017">
        <v>0</v>
      </c>
    </row>
    <row r="1018" spans="1:5">
      <c r="A1018">
        <v>99931</v>
      </c>
      <c r="B1018">
        <v>1830197</v>
      </c>
      <c r="C1018" s="5">
        <v>46055</v>
      </c>
      <c r="D1018" t="s">
        <v>458</v>
      </c>
      <c r="E1018">
        <v>0</v>
      </c>
    </row>
    <row r="1019" spans="1:5">
      <c r="A1019">
        <v>99932</v>
      </c>
      <c r="B1019">
        <v>1830197</v>
      </c>
      <c r="C1019" s="5">
        <v>46055</v>
      </c>
      <c r="D1019" t="s">
        <v>458</v>
      </c>
      <c r="E1019">
        <v>0</v>
      </c>
    </row>
    <row r="1020" spans="1:5">
      <c r="A1020">
        <v>99946</v>
      </c>
      <c r="B1020">
        <v>1830197</v>
      </c>
      <c r="C1020" s="5">
        <v>46055</v>
      </c>
      <c r="D1020" t="s">
        <v>458</v>
      </c>
      <c r="E1020">
        <v>0</v>
      </c>
    </row>
    <row r="1021" spans="1:5">
      <c r="A1021">
        <v>99967</v>
      </c>
      <c r="B1021">
        <v>1830197</v>
      </c>
      <c r="C1021" s="5">
        <v>46055</v>
      </c>
      <c r="D1021" t="s">
        <v>458</v>
      </c>
      <c r="E1021">
        <v>0</v>
      </c>
    </row>
    <row r="1022" spans="1:5">
      <c r="A1022">
        <v>99968</v>
      </c>
      <c r="B1022">
        <v>1830197</v>
      </c>
      <c r="C1022" s="5">
        <v>46055</v>
      </c>
      <c r="D1022" t="s">
        <v>458</v>
      </c>
      <c r="E1022">
        <v>0</v>
      </c>
    </row>
    <row r="1023" spans="1:5">
      <c r="A1023">
        <v>99969</v>
      </c>
      <c r="B1023">
        <v>1830197</v>
      </c>
      <c r="C1023" s="5">
        <v>46055</v>
      </c>
      <c r="D1023" t="s">
        <v>458</v>
      </c>
      <c r="E1023">
        <v>0</v>
      </c>
    </row>
    <row r="1024" spans="1:5">
      <c r="A1024">
        <v>99970</v>
      </c>
      <c r="B1024">
        <v>1830197</v>
      </c>
      <c r="C1024" s="5">
        <v>46055</v>
      </c>
      <c r="D1024" t="s">
        <v>458</v>
      </c>
      <c r="E1024">
        <v>1</v>
      </c>
    </row>
    <row r="1025" spans="1:5">
      <c r="A1025">
        <v>99971</v>
      </c>
      <c r="B1025">
        <v>1830197</v>
      </c>
      <c r="C1025" s="5">
        <v>46055</v>
      </c>
      <c r="D1025" t="s">
        <v>458</v>
      </c>
      <c r="E1025">
        <v>4</v>
      </c>
    </row>
    <row r="1026" spans="1:5">
      <c r="A1026">
        <v>99972</v>
      </c>
      <c r="B1026">
        <v>1830197</v>
      </c>
      <c r="C1026" s="5">
        <v>46055</v>
      </c>
      <c r="D1026" t="s">
        <v>458</v>
      </c>
      <c r="E1026">
        <v>0</v>
      </c>
    </row>
    <row r="1027" spans="1:5">
      <c r="A1027">
        <v>99973</v>
      </c>
      <c r="B1027">
        <v>1830197</v>
      </c>
      <c r="C1027" s="5">
        <v>46055</v>
      </c>
      <c r="D1027" t="s">
        <v>458</v>
      </c>
      <c r="E1027">
        <v>0</v>
      </c>
    </row>
    <row r="1028" spans="1:5">
      <c r="A1028">
        <v>99974</v>
      </c>
      <c r="B1028">
        <v>1830197</v>
      </c>
      <c r="C1028" s="5">
        <v>46055</v>
      </c>
      <c r="D1028" t="s">
        <v>458</v>
      </c>
      <c r="E1028">
        <v>0.2</v>
      </c>
    </row>
    <row r="1029" spans="1:5">
      <c r="A1029">
        <v>99977</v>
      </c>
      <c r="B1029">
        <v>1830197</v>
      </c>
      <c r="C1029" s="5">
        <v>46055</v>
      </c>
      <c r="D1029" t="s">
        <v>458</v>
      </c>
      <c r="E1029">
        <v>0</v>
      </c>
    </row>
    <row r="1030" spans="1:5">
      <c r="A1030">
        <v>99978</v>
      </c>
      <c r="B1030">
        <v>1830197</v>
      </c>
      <c r="C1030" s="5">
        <v>46055</v>
      </c>
      <c r="D1030" t="s">
        <v>458</v>
      </c>
      <c r="E1030">
        <v>0</v>
      </c>
    </row>
    <row r="1031" spans="1:5">
      <c r="A1031">
        <v>99979</v>
      </c>
      <c r="B1031">
        <v>1830197</v>
      </c>
      <c r="C1031" s="5">
        <v>46055</v>
      </c>
      <c r="D1031" t="s">
        <v>458</v>
      </c>
      <c r="E1031">
        <v>0</v>
      </c>
    </row>
    <row r="1032" spans="1:5">
      <c r="A1032">
        <v>99980</v>
      </c>
      <c r="B1032">
        <v>1830197</v>
      </c>
      <c r="C1032" s="5">
        <v>46055</v>
      </c>
      <c r="D1032" t="s">
        <v>458</v>
      </c>
      <c r="E1032">
        <v>0</v>
      </c>
    </row>
    <row r="1033" spans="1:5">
      <c r="A1033">
        <v>99981</v>
      </c>
      <c r="B1033">
        <v>1830197</v>
      </c>
      <c r="C1033" s="5">
        <v>46055</v>
      </c>
      <c r="D1033" t="s">
        <v>458</v>
      </c>
      <c r="E1033">
        <v>0</v>
      </c>
    </row>
    <row r="1034" spans="1:5">
      <c r="A1034">
        <v>99982</v>
      </c>
      <c r="B1034">
        <v>1830197</v>
      </c>
      <c r="C1034" s="5">
        <v>46055</v>
      </c>
      <c r="D1034" t="s">
        <v>458</v>
      </c>
      <c r="E1034">
        <v>0</v>
      </c>
    </row>
    <row r="1035" spans="1:5">
      <c r="A1035">
        <v>99983</v>
      </c>
      <c r="B1035">
        <v>1830197</v>
      </c>
      <c r="C1035" s="5">
        <v>46055</v>
      </c>
      <c r="D1035" t="s">
        <v>458</v>
      </c>
      <c r="E1035">
        <v>0</v>
      </c>
    </row>
    <row r="1036" spans="1:5">
      <c r="A1036">
        <v>99984</v>
      </c>
      <c r="B1036">
        <v>1830197</v>
      </c>
      <c r="C1036" s="5">
        <v>46055</v>
      </c>
      <c r="D1036" t="s">
        <v>458</v>
      </c>
      <c r="E1036">
        <v>0</v>
      </c>
    </row>
    <row r="1037" spans="1:5">
      <c r="A1037">
        <v>99985</v>
      </c>
      <c r="B1037">
        <v>1830197</v>
      </c>
      <c r="C1037" s="5">
        <v>46055</v>
      </c>
      <c r="D1037" t="s">
        <v>458</v>
      </c>
      <c r="E1037">
        <v>0</v>
      </c>
    </row>
    <row r="1038" spans="1:5">
      <c r="A1038">
        <v>99988</v>
      </c>
      <c r="B1038">
        <v>1830197</v>
      </c>
      <c r="C1038" s="5">
        <v>46055</v>
      </c>
      <c r="D1038" t="s">
        <v>458</v>
      </c>
      <c r="E1038">
        <v>0</v>
      </c>
    </row>
    <row r="1039" spans="1:5">
      <c r="A1039">
        <v>99989</v>
      </c>
      <c r="B1039">
        <v>1830197</v>
      </c>
      <c r="C1039" s="5">
        <v>46055</v>
      </c>
      <c r="D1039" t="s">
        <v>458</v>
      </c>
      <c r="E1039">
        <v>0</v>
      </c>
    </row>
    <row r="1040" spans="1:5">
      <c r="A1040">
        <v>99990</v>
      </c>
      <c r="B1040">
        <v>1830197</v>
      </c>
      <c r="C1040" s="5">
        <v>46055</v>
      </c>
      <c r="D1040" t="s">
        <v>458</v>
      </c>
      <c r="E1040">
        <v>0</v>
      </c>
    </row>
    <row r="1041" spans="1:5">
      <c r="A1041">
        <v>99991</v>
      </c>
      <c r="B1041">
        <v>1830197</v>
      </c>
      <c r="C1041" s="5">
        <v>46055</v>
      </c>
      <c r="D1041" t="s">
        <v>458</v>
      </c>
      <c r="E1041">
        <v>0</v>
      </c>
    </row>
    <row r="1042" spans="1:5">
      <c r="A1042">
        <v>99992</v>
      </c>
      <c r="B1042">
        <v>1830197</v>
      </c>
      <c r="C1042" s="5">
        <v>46055</v>
      </c>
      <c r="D1042" t="s">
        <v>458</v>
      </c>
      <c r="E1042">
        <v>0</v>
      </c>
    </row>
    <row r="1043" spans="1:5">
      <c r="A1043">
        <v>99993</v>
      </c>
      <c r="B1043">
        <v>1830197</v>
      </c>
      <c r="C1043" s="5">
        <v>46055</v>
      </c>
      <c r="D1043" t="s">
        <v>458</v>
      </c>
      <c r="E1043">
        <v>0</v>
      </c>
    </row>
    <row r="1044" spans="1:5">
      <c r="A1044">
        <v>99994</v>
      </c>
      <c r="B1044">
        <v>1830197</v>
      </c>
      <c r="C1044" s="5">
        <v>46055</v>
      </c>
      <c r="D1044" t="s">
        <v>458</v>
      </c>
      <c r="E1044">
        <v>0</v>
      </c>
    </row>
    <row r="1045" spans="1:5">
      <c r="A1045">
        <v>99995</v>
      </c>
      <c r="B1045">
        <v>1830197</v>
      </c>
      <c r="C1045" s="5">
        <v>46055</v>
      </c>
      <c r="D1045" t="s">
        <v>458</v>
      </c>
      <c r="E1045">
        <v>0</v>
      </c>
    </row>
    <row r="1046" spans="1:5">
      <c r="A1046">
        <v>99996</v>
      </c>
      <c r="B1046">
        <v>1830197</v>
      </c>
      <c r="C1046" s="5">
        <v>46055</v>
      </c>
      <c r="D1046" t="s">
        <v>458</v>
      </c>
      <c r="E1046">
        <v>0</v>
      </c>
    </row>
    <row r="1047" spans="1:5">
      <c r="A1047">
        <v>99999</v>
      </c>
      <c r="B1047">
        <v>1830197</v>
      </c>
      <c r="C1047" s="5">
        <v>46055</v>
      </c>
      <c r="D1047" t="s">
        <v>458</v>
      </c>
      <c r="E1047">
        <v>0</v>
      </c>
    </row>
    <row r="1048" spans="1:5">
      <c r="A1048">
        <v>1</v>
      </c>
      <c r="B1048">
        <v>1830197</v>
      </c>
      <c r="C1048" s="5">
        <v>46056</v>
      </c>
      <c r="D1048" t="s">
        <v>458</v>
      </c>
      <c r="E1048">
        <v>430</v>
      </c>
    </row>
    <row r="1049" spans="1:5">
      <c r="A1049">
        <v>2</v>
      </c>
      <c r="B1049">
        <v>1830197</v>
      </c>
      <c r="C1049" s="5">
        <v>46056</v>
      </c>
      <c r="D1049" t="s">
        <v>458</v>
      </c>
      <c r="E1049">
        <v>95</v>
      </c>
    </row>
    <row r="1050" spans="1:5">
      <c r="A1050">
        <v>3</v>
      </c>
      <c r="B1050">
        <v>1830197</v>
      </c>
      <c r="C1050" s="5">
        <v>46056</v>
      </c>
      <c r="D1050" t="s">
        <v>458</v>
      </c>
      <c r="E1050">
        <v>122</v>
      </c>
    </row>
    <row r="1051" spans="1:5">
      <c r="A1051">
        <v>4</v>
      </c>
      <c r="B1051">
        <v>1830197</v>
      </c>
      <c r="C1051" s="5">
        <v>46056</v>
      </c>
      <c r="D1051" t="s">
        <v>458</v>
      </c>
      <c r="E1051">
        <v>483</v>
      </c>
    </row>
    <row r="1052" spans="1:5">
      <c r="A1052">
        <v>5</v>
      </c>
      <c r="B1052">
        <v>1830197</v>
      </c>
      <c r="C1052" s="5">
        <v>46056</v>
      </c>
      <c r="D1052" t="s">
        <v>458</v>
      </c>
      <c r="E1052">
        <v>161</v>
      </c>
    </row>
    <row r="1053" spans="1:5">
      <c r="A1053">
        <v>6</v>
      </c>
      <c r="B1053">
        <v>1830197</v>
      </c>
      <c r="C1053" s="5">
        <v>46056</v>
      </c>
      <c r="D1053" t="s">
        <v>458</v>
      </c>
      <c r="E1053">
        <v>20</v>
      </c>
    </row>
    <row r="1054" spans="1:5">
      <c r="A1054">
        <v>7</v>
      </c>
      <c r="B1054">
        <v>1830197</v>
      </c>
      <c r="C1054" s="5">
        <v>46056</v>
      </c>
      <c r="D1054" t="s">
        <v>458</v>
      </c>
      <c r="E1054">
        <v>166</v>
      </c>
    </row>
    <row r="1055" spans="1:5">
      <c r="A1055">
        <v>8</v>
      </c>
      <c r="B1055">
        <v>1830197</v>
      </c>
      <c r="C1055" s="5">
        <v>46056</v>
      </c>
      <c r="D1055" t="s">
        <v>458</v>
      </c>
      <c r="E1055">
        <v>0</v>
      </c>
    </row>
    <row r="1056" spans="1:5">
      <c r="A1056">
        <v>9</v>
      </c>
      <c r="B1056">
        <v>1830197</v>
      </c>
      <c r="C1056" s="5">
        <v>46056</v>
      </c>
      <c r="D1056" t="s">
        <v>458</v>
      </c>
      <c r="E1056">
        <v>0</v>
      </c>
    </row>
    <row r="1057" spans="1:5">
      <c r="A1057">
        <v>10</v>
      </c>
      <c r="B1057">
        <v>1830197</v>
      </c>
      <c r="C1057" s="5">
        <v>46056</v>
      </c>
      <c r="D1057" t="s">
        <v>458</v>
      </c>
      <c r="E1057">
        <v>5.36</v>
      </c>
    </row>
    <row r="1058" spans="1:5">
      <c r="A1058">
        <v>12</v>
      </c>
      <c r="B1058">
        <v>1830197</v>
      </c>
      <c r="C1058" s="5">
        <v>46056</v>
      </c>
      <c r="D1058" t="s">
        <v>458</v>
      </c>
      <c r="E1058">
        <v>15.5</v>
      </c>
    </row>
    <row r="1059" spans="1:5">
      <c r="A1059">
        <v>13</v>
      </c>
      <c r="B1059">
        <v>1830197</v>
      </c>
      <c r="C1059" s="5">
        <v>46056</v>
      </c>
      <c r="D1059" t="s">
        <v>458</v>
      </c>
      <c r="E1059">
        <v>637</v>
      </c>
    </row>
    <row r="1060" spans="1:5">
      <c r="A1060">
        <v>19</v>
      </c>
      <c r="B1060">
        <v>1830197</v>
      </c>
      <c r="C1060" s="5">
        <v>46056</v>
      </c>
      <c r="D1060" t="s">
        <v>458</v>
      </c>
      <c r="E1060">
        <v>48.74</v>
      </c>
    </row>
    <row r="1061" spans="1:5">
      <c r="A1061">
        <v>20</v>
      </c>
      <c r="B1061">
        <v>1830197</v>
      </c>
      <c r="C1061" s="5">
        <v>46056</v>
      </c>
      <c r="D1061" t="s">
        <v>458</v>
      </c>
      <c r="E1061">
        <v>282</v>
      </c>
    </row>
    <row r="1062" spans="1:5">
      <c r="A1062">
        <v>21</v>
      </c>
      <c r="B1062">
        <v>1830197</v>
      </c>
      <c r="C1062" s="5">
        <v>46056</v>
      </c>
      <c r="D1062" t="s">
        <v>458</v>
      </c>
      <c r="E1062">
        <v>0.42</v>
      </c>
    </row>
    <row r="1063" spans="1:5">
      <c r="A1063">
        <v>23</v>
      </c>
      <c r="B1063">
        <v>1830197</v>
      </c>
      <c r="C1063" s="5">
        <v>46056</v>
      </c>
      <c r="D1063" t="s">
        <v>458</v>
      </c>
      <c r="E1063">
        <v>81</v>
      </c>
    </row>
    <row r="1064" spans="1:5">
      <c r="A1064">
        <v>26</v>
      </c>
      <c r="B1064">
        <v>1830197</v>
      </c>
      <c r="C1064" s="5">
        <v>46056</v>
      </c>
      <c r="D1064" t="s">
        <v>458</v>
      </c>
      <c r="E1064">
        <v>0.02</v>
      </c>
    </row>
    <row r="1065" spans="1:5">
      <c r="A1065">
        <v>31</v>
      </c>
      <c r="B1065">
        <v>1830197</v>
      </c>
      <c r="C1065" s="5">
        <v>46056</v>
      </c>
      <c r="D1065" t="s">
        <v>458</v>
      </c>
      <c r="E1065">
        <v>0</v>
      </c>
    </row>
    <row r="1066" spans="1:5">
      <c r="A1066">
        <v>33</v>
      </c>
      <c r="B1066">
        <v>1830197</v>
      </c>
      <c r="C1066" s="5">
        <v>46056</v>
      </c>
      <c r="D1066" t="s">
        <v>458</v>
      </c>
      <c r="E1066">
        <v>0</v>
      </c>
    </row>
    <row r="1067" spans="1:5">
      <c r="A1067">
        <v>42</v>
      </c>
      <c r="B1067">
        <v>1830197</v>
      </c>
      <c r="C1067" s="5">
        <v>46056</v>
      </c>
      <c r="D1067" t="s">
        <v>458</v>
      </c>
      <c r="E1067">
        <v>0</v>
      </c>
    </row>
    <row r="1068" spans="1:5">
      <c r="A1068">
        <v>45</v>
      </c>
      <c r="B1068">
        <v>1830197</v>
      </c>
      <c r="C1068" s="5">
        <v>46056</v>
      </c>
      <c r="D1068" t="s">
        <v>458</v>
      </c>
      <c r="E1068">
        <v>1825</v>
      </c>
    </row>
    <row r="1069" spans="1:5">
      <c r="A1069">
        <v>48</v>
      </c>
      <c r="B1069">
        <v>1830197</v>
      </c>
      <c r="C1069" s="5">
        <v>46056</v>
      </c>
      <c r="D1069" t="s">
        <v>458</v>
      </c>
      <c r="E1069">
        <v>0</v>
      </c>
    </row>
    <row r="1070" spans="1:5">
      <c r="A1070">
        <v>50</v>
      </c>
      <c r="B1070">
        <v>1830197</v>
      </c>
      <c r="C1070" s="5">
        <v>46056</v>
      </c>
      <c r="D1070" t="s">
        <v>458</v>
      </c>
      <c r="E1070">
        <v>218</v>
      </c>
    </row>
    <row r="1071" spans="1:5">
      <c r="A1071">
        <v>55</v>
      </c>
      <c r="B1071">
        <v>1830197</v>
      </c>
      <c r="C1071" s="5">
        <v>46056</v>
      </c>
      <c r="D1071" t="s">
        <v>458</v>
      </c>
      <c r="E1071">
        <v>4.1100000000000003</v>
      </c>
    </row>
    <row r="1072" spans="1:5">
      <c r="A1072">
        <v>56</v>
      </c>
      <c r="B1072">
        <v>1830197</v>
      </c>
      <c r="C1072" s="5">
        <v>46056</v>
      </c>
      <c r="D1072" t="s">
        <v>458</v>
      </c>
      <c r="E1072">
        <v>0.66</v>
      </c>
    </row>
    <row r="1073" spans="1:5">
      <c r="A1073">
        <v>62</v>
      </c>
      <c r="B1073">
        <v>1830197</v>
      </c>
      <c r="C1073" s="5">
        <v>46056</v>
      </c>
      <c r="D1073" t="s">
        <v>458</v>
      </c>
      <c r="E1073">
        <v>0</v>
      </c>
    </row>
    <row r="1074" spans="1:5">
      <c r="A1074">
        <v>63</v>
      </c>
      <c r="B1074">
        <v>1830197</v>
      </c>
      <c r="C1074" s="5">
        <v>46056</v>
      </c>
      <c r="D1074" t="s">
        <v>458</v>
      </c>
      <c r="E1074">
        <v>0.35</v>
      </c>
    </row>
    <row r="1075" spans="1:5">
      <c r="A1075">
        <v>65</v>
      </c>
      <c r="B1075">
        <v>1830197</v>
      </c>
      <c r="C1075" s="5">
        <v>46056</v>
      </c>
      <c r="D1075" t="s">
        <v>458</v>
      </c>
      <c r="E1075">
        <v>14</v>
      </c>
    </row>
    <row r="1076" spans="1:5">
      <c r="A1076">
        <v>67</v>
      </c>
      <c r="B1076">
        <v>1830197</v>
      </c>
      <c r="C1076" s="5">
        <v>46056</v>
      </c>
      <c r="D1076" t="s">
        <v>458</v>
      </c>
      <c r="E1076">
        <v>0</v>
      </c>
    </row>
    <row r="1077" spans="1:5">
      <c r="A1077">
        <v>69</v>
      </c>
      <c r="B1077">
        <v>1830197</v>
      </c>
      <c r="C1077" s="5">
        <v>46056</v>
      </c>
      <c r="D1077" t="s">
        <v>458</v>
      </c>
      <c r="E1077">
        <v>3</v>
      </c>
    </row>
    <row r="1078" spans="1:5">
      <c r="A1078">
        <v>70</v>
      </c>
      <c r="B1078">
        <v>1830197</v>
      </c>
      <c r="C1078" s="5">
        <v>46056</v>
      </c>
      <c r="D1078" t="s">
        <v>458</v>
      </c>
      <c r="E1078">
        <v>0</v>
      </c>
    </row>
    <row r="1079" spans="1:5">
      <c r="A1079">
        <v>76</v>
      </c>
      <c r="B1079">
        <v>1830197</v>
      </c>
      <c r="C1079" s="5">
        <v>46056</v>
      </c>
      <c r="D1079" t="s">
        <v>458</v>
      </c>
      <c r="E1079">
        <v>47</v>
      </c>
    </row>
    <row r="1080" spans="1:5">
      <c r="A1080">
        <v>86</v>
      </c>
      <c r="B1080">
        <v>1830197</v>
      </c>
      <c r="C1080" s="5">
        <v>46056</v>
      </c>
      <c r="D1080" t="s">
        <v>458</v>
      </c>
      <c r="E1080">
        <v>144</v>
      </c>
    </row>
    <row r="1081" spans="1:5">
      <c r="A1081">
        <v>90</v>
      </c>
      <c r="B1081">
        <v>1830197</v>
      </c>
      <c r="C1081" s="5">
        <v>46056</v>
      </c>
      <c r="D1081" t="s">
        <v>458</v>
      </c>
      <c r="E1081">
        <v>10</v>
      </c>
    </row>
    <row r="1082" spans="1:5">
      <c r="A1082">
        <v>93</v>
      </c>
      <c r="B1082">
        <v>1830197</v>
      </c>
      <c r="C1082" s="5">
        <v>46056</v>
      </c>
      <c r="D1082" t="s">
        <v>458</v>
      </c>
      <c r="E1082">
        <v>0</v>
      </c>
    </row>
    <row r="1083" spans="1:5">
      <c r="A1083">
        <v>94</v>
      </c>
      <c r="B1083">
        <v>1830197</v>
      </c>
      <c r="C1083" s="5">
        <v>46056</v>
      </c>
      <c r="D1083" t="s">
        <v>458</v>
      </c>
      <c r="E1083">
        <v>10</v>
      </c>
    </row>
    <row r="1084" spans="1:5">
      <c r="A1084">
        <v>97</v>
      </c>
      <c r="B1084">
        <v>1830197</v>
      </c>
      <c r="C1084" s="5">
        <v>46056</v>
      </c>
      <c r="D1084" t="s">
        <v>458</v>
      </c>
      <c r="E1084">
        <v>0</v>
      </c>
    </row>
    <row r="1085" spans="1:5">
      <c r="A1085">
        <v>98</v>
      </c>
      <c r="B1085">
        <v>1830197</v>
      </c>
      <c r="C1085" s="5">
        <v>46056</v>
      </c>
      <c r="D1085" t="s">
        <v>458</v>
      </c>
      <c r="E1085">
        <v>0</v>
      </c>
    </row>
    <row r="1086" spans="1:5">
      <c r="A1086">
        <v>101</v>
      </c>
      <c r="B1086">
        <v>1830197</v>
      </c>
      <c r="C1086" s="5">
        <v>46056</v>
      </c>
      <c r="D1086" t="s">
        <v>458</v>
      </c>
      <c r="E1086">
        <v>71</v>
      </c>
    </row>
    <row r="1087" spans="1:5">
      <c r="A1087">
        <v>102</v>
      </c>
      <c r="B1087">
        <v>1830197</v>
      </c>
      <c r="C1087" s="5">
        <v>46056</v>
      </c>
      <c r="D1087" t="s">
        <v>458</v>
      </c>
      <c r="E1087">
        <v>0</v>
      </c>
    </row>
    <row r="1088" spans="1:5">
      <c r="A1088">
        <v>103</v>
      </c>
      <c r="B1088">
        <v>1830197</v>
      </c>
      <c r="C1088" s="5">
        <v>46056</v>
      </c>
      <c r="D1088" t="s">
        <v>458</v>
      </c>
      <c r="E1088">
        <v>11</v>
      </c>
    </row>
    <row r="1089" spans="1:5">
      <c r="A1089">
        <v>109</v>
      </c>
      <c r="B1089">
        <v>1830197</v>
      </c>
      <c r="C1089" s="5">
        <v>46056</v>
      </c>
      <c r="D1089" t="s">
        <v>458</v>
      </c>
      <c r="E1089">
        <v>81</v>
      </c>
    </row>
    <row r="1090" spans="1:5">
      <c r="A1090">
        <v>110</v>
      </c>
      <c r="B1090">
        <v>1830197</v>
      </c>
      <c r="C1090" s="5">
        <v>46056</v>
      </c>
      <c r="D1090" t="s">
        <v>458</v>
      </c>
      <c r="E1090">
        <v>25</v>
      </c>
    </row>
    <row r="1091" spans="1:5">
      <c r="A1091">
        <v>111</v>
      </c>
      <c r="B1091">
        <v>1830197</v>
      </c>
      <c r="C1091" s="5">
        <v>46056</v>
      </c>
      <c r="D1091" t="s">
        <v>458</v>
      </c>
      <c r="E1091">
        <v>69</v>
      </c>
    </row>
    <row r="1092" spans="1:5">
      <c r="A1092">
        <v>116</v>
      </c>
      <c r="B1092">
        <v>1830197</v>
      </c>
      <c r="C1092" s="5">
        <v>46056</v>
      </c>
      <c r="D1092" t="s">
        <v>458</v>
      </c>
      <c r="E1092">
        <v>149</v>
      </c>
    </row>
    <row r="1093" spans="1:5">
      <c r="A1093">
        <v>117</v>
      </c>
      <c r="B1093">
        <v>1830197</v>
      </c>
      <c r="C1093" s="5">
        <v>46056</v>
      </c>
      <c r="D1093" t="s">
        <v>458</v>
      </c>
      <c r="E1093">
        <v>753</v>
      </c>
    </row>
    <row r="1094" spans="1:5">
      <c r="A1094">
        <v>118</v>
      </c>
      <c r="B1094">
        <v>1830197</v>
      </c>
      <c r="C1094" s="5">
        <v>46056</v>
      </c>
      <c r="D1094" t="s">
        <v>458</v>
      </c>
      <c r="E1094">
        <v>0</v>
      </c>
    </row>
    <row r="1095" spans="1:5">
      <c r="A1095">
        <v>127</v>
      </c>
      <c r="B1095">
        <v>1830197</v>
      </c>
      <c r="C1095" s="5">
        <v>46056</v>
      </c>
      <c r="D1095" t="s">
        <v>458</v>
      </c>
      <c r="E1095">
        <v>234</v>
      </c>
    </row>
    <row r="1096" spans="1:5">
      <c r="A1096">
        <v>128</v>
      </c>
      <c r="B1096">
        <v>1830197</v>
      </c>
      <c r="C1096" s="5">
        <v>46056</v>
      </c>
      <c r="D1096" t="s">
        <v>458</v>
      </c>
      <c r="E1096">
        <v>0</v>
      </c>
    </row>
    <row r="1097" spans="1:5">
      <c r="A1097">
        <v>131</v>
      </c>
      <c r="B1097">
        <v>1830197</v>
      </c>
      <c r="C1097" s="5">
        <v>46056</v>
      </c>
      <c r="D1097" t="s">
        <v>458</v>
      </c>
      <c r="E1097">
        <v>0</v>
      </c>
    </row>
    <row r="1098" spans="1:5">
      <c r="A1098">
        <v>141</v>
      </c>
      <c r="B1098">
        <v>1830197</v>
      </c>
      <c r="C1098" s="5">
        <v>46056</v>
      </c>
      <c r="D1098" t="s">
        <v>458</v>
      </c>
      <c r="E1098">
        <v>0</v>
      </c>
    </row>
    <row r="1099" spans="1:5">
      <c r="A1099">
        <v>142</v>
      </c>
      <c r="B1099">
        <v>1830197</v>
      </c>
      <c r="C1099" s="5">
        <v>46056</v>
      </c>
      <c r="D1099" t="s">
        <v>458</v>
      </c>
      <c r="E1099">
        <v>0</v>
      </c>
    </row>
    <row r="1100" spans="1:5">
      <c r="A1100">
        <v>143</v>
      </c>
      <c r="B1100">
        <v>1830197</v>
      </c>
      <c r="C1100" s="5">
        <v>46056</v>
      </c>
      <c r="D1100" t="s">
        <v>458</v>
      </c>
      <c r="E1100">
        <v>0</v>
      </c>
    </row>
    <row r="1101" spans="1:5">
      <c r="A1101">
        <v>155</v>
      </c>
      <c r="B1101">
        <v>1830197</v>
      </c>
      <c r="C1101" s="5">
        <v>46056</v>
      </c>
      <c r="D1101" t="s">
        <v>458</v>
      </c>
      <c r="E1101">
        <v>149</v>
      </c>
    </row>
    <row r="1102" spans="1:5">
      <c r="A1102">
        <v>163</v>
      </c>
      <c r="B1102">
        <v>1830197</v>
      </c>
      <c r="C1102" s="5">
        <v>46056</v>
      </c>
      <c r="D1102" t="s">
        <v>458</v>
      </c>
      <c r="E1102">
        <v>329</v>
      </c>
    </row>
    <row r="1103" spans="1:5">
      <c r="A1103">
        <v>166</v>
      </c>
      <c r="B1103">
        <v>1830197</v>
      </c>
      <c r="C1103" s="5">
        <v>46056</v>
      </c>
      <c r="D1103" t="s">
        <v>458</v>
      </c>
      <c r="E1103">
        <v>29</v>
      </c>
    </row>
    <row r="1104" spans="1:5">
      <c r="A1104">
        <v>168</v>
      </c>
      <c r="B1104">
        <v>1830197</v>
      </c>
      <c r="C1104" s="5">
        <v>46056</v>
      </c>
      <c r="D1104" t="s">
        <v>458</v>
      </c>
      <c r="E1104">
        <v>10.56</v>
      </c>
    </row>
    <row r="1105" spans="1:5">
      <c r="A1105">
        <v>170</v>
      </c>
      <c r="B1105">
        <v>1830197</v>
      </c>
      <c r="C1105" s="5">
        <v>46056</v>
      </c>
      <c r="D1105" t="s">
        <v>458</v>
      </c>
      <c r="E1105">
        <v>0</v>
      </c>
    </row>
    <row r="1106" spans="1:5">
      <c r="A1106">
        <v>187</v>
      </c>
      <c r="B1106">
        <v>1830197</v>
      </c>
      <c r="C1106" s="5">
        <v>46056</v>
      </c>
      <c r="D1106" t="s">
        <v>458</v>
      </c>
      <c r="E1106">
        <v>12</v>
      </c>
    </row>
    <row r="1107" spans="1:5">
      <c r="A1107">
        <v>193</v>
      </c>
      <c r="B1107">
        <v>1830197</v>
      </c>
      <c r="C1107" s="5">
        <v>46056</v>
      </c>
      <c r="D1107" t="s">
        <v>458</v>
      </c>
      <c r="E1107">
        <v>6713</v>
      </c>
    </row>
    <row r="1108" spans="1:5">
      <c r="A1108">
        <v>205</v>
      </c>
      <c r="B1108">
        <v>1830197</v>
      </c>
      <c r="C1108" s="5">
        <v>46056</v>
      </c>
      <c r="D1108" t="s">
        <v>458</v>
      </c>
      <c r="E1108">
        <v>0</v>
      </c>
    </row>
    <row r="1109" spans="1:5">
      <c r="A1109">
        <v>206</v>
      </c>
      <c r="B1109">
        <v>1830197</v>
      </c>
      <c r="C1109" s="5">
        <v>46056</v>
      </c>
      <c r="D1109" t="s">
        <v>458</v>
      </c>
      <c r="E1109">
        <v>13</v>
      </c>
    </row>
    <row r="1110" spans="1:5">
      <c r="A1110">
        <v>209</v>
      </c>
      <c r="B1110">
        <v>1830197</v>
      </c>
      <c r="C1110" s="5">
        <v>46056</v>
      </c>
      <c r="D1110" t="s">
        <v>458</v>
      </c>
      <c r="E1110">
        <v>0</v>
      </c>
    </row>
    <row r="1111" spans="1:5">
      <c r="A1111">
        <v>210</v>
      </c>
      <c r="B1111">
        <v>1830197</v>
      </c>
      <c r="C1111" s="5">
        <v>46056</v>
      </c>
      <c r="D1111" t="s">
        <v>458</v>
      </c>
      <c r="E1111">
        <v>2</v>
      </c>
    </row>
    <row r="1112" spans="1:5">
      <c r="A1112">
        <v>223</v>
      </c>
      <c r="B1112">
        <v>1830197</v>
      </c>
      <c r="C1112" s="5">
        <v>46056</v>
      </c>
      <c r="D1112" t="s">
        <v>458</v>
      </c>
      <c r="E1112">
        <v>1162</v>
      </c>
    </row>
    <row r="1113" spans="1:5">
      <c r="A1113">
        <v>247</v>
      </c>
      <c r="B1113">
        <v>1830197</v>
      </c>
      <c r="C1113" s="5">
        <v>46056</v>
      </c>
      <c r="D1113" t="s">
        <v>458</v>
      </c>
      <c r="E1113">
        <v>0</v>
      </c>
    </row>
    <row r="1114" spans="1:5">
      <c r="A1114">
        <v>253</v>
      </c>
      <c r="B1114">
        <v>1830197</v>
      </c>
      <c r="C1114" s="5">
        <v>46056</v>
      </c>
      <c r="D1114" t="s">
        <v>458</v>
      </c>
      <c r="E1114">
        <v>10.9</v>
      </c>
    </row>
    <row r="1115" spans="1:5">
      <c r="A1115">
        <v>254</v>
      </c>
      <c r="B1115">
        <v>1830197</v>
      </c>
      <c r="C1115" s="5">
        <v>46056</v>
      </c>
      <c r="D1115" t="s">
        <v>458</v>
      </c>
      <c r="E1115">
        <v>5</v>
      </c>
    </row>
    <row r="1116" spans="1:5">
      <c r="A1116">
        <v>261</v>
      </c>
      <c r="B1116">
        <v>1830197</v>
      </c>
      <c r="C1116" s="5">
        <v>46056</v>
      </c>
      <c r="D1116" t="s">
        <v>458</v>
      </c>
      <c r="E1116">
        <v>16</v>
      </c>
    </row>
    <row r="1117" spans="1:5">
      <c r="A1117">
        <v>262</v>
      </c>
      <c r="B1117">
        <v>1830197</v>
      </c>
      <c r="C1117" s="5">
        <v>46056</v>
      </c>
      <c r="D1117" t="s">
        <v>458</v>
      </c>
      <c r="E1117">
        <v>0</v>
      </c>
    </row>
    <row r="1118" spans="1:5">
      <c r="A1118">
        <v>268</v>
      </c>
      <c r="B1118">
        <v>1830197</v>
      </c>
      <c r="C1118" s="5">
        <v>46056</v>
      </c>
      <c r="D1118" t="s">
        <v>458</v>
      </c>
      <c r="E1118">
        <v>30</v>
      </c>
    </row>
    <row r="1119" spans="1:5">
      <c r="A1119">
        <v>269</v>
      </c>
      <c r="B1119">
        <v>1830197</v>
      </c>
      <c r="C1119" s="5">
        <v>46056</v>
      </c>
      <c r="D1119" t="s">
        <v>458</v>
      </c>
      <c r="E1119">
        <v>59</v>
      </c>
    </row>
    <row r="1120" spans="1:5">
      <c r="A1120">
        <v>284</v>
      </c>
      <c r="B1120">
        <v>1830197</v>
      </c>
      <c r="C1120" s="5">
        <v>46056</v>
      </c>
      <c r="D1120" t="s">
        <v>458</v>
      </c>
      <c r="E1120">
        <v>7</v>
      </c>
    </row>
    <row r="1121" spans="1:5">
      <c r="A1121">
        <v>285</v>
      </c>
      <c r="B1121">
        <v>1830197</v>
      </c>
      <c r="C1121" s="5">
        <v>46056</v>
      </c>
      <c r="D1121" t="s">
        <v>458</v>
      </c>
      <c r="E1121">
        <v>20</v>
      </c>
    </row>
    <row r="1122" spans="1:5">
      <c r="A1122">
        <v>288</v>
      </c>
      <c r="B1122">
        <v>1830197</v>
      </c>
      <c r="C1122" s="5">
        <v>46056</v>
      </c>
      <c r="D1122" t="s">
        <v>458</v>
      </c>
      <c r="E1122">
        <v>43</v>
      </c>
    </row>
    <row r="1123" spans="1:5">
      <c r="A1123">
        <v>289</v>
      </c>
      <c r="B1123">
        <v>1830197</v>
      </c>
      <c r="C1123" s="5">
        <v>46056</v>
      </c>
      <c r="D1123" t="s">
        <v>458</v>
      </c>
      <c r="E1123">
        <v>0</v>
      </c>
    </row>
    <row r="1124" spans="1:5">
      <c r="A1124">
        <v>295</v>
      </c>
      <c r="B1124">
        <v>1830197</v>
      </c>
      <c r="C1124" s="5">
        <v>46056</v>
      </c>
      <c r="D1124" t="s">
        <v>458</v>
      </c>
      <c r="E1124">
        <v>18</v>
      </c>
    </row>
    <row r="1125" spans="1:5">
      <c r="A1125">
        <v>300</v>
      </c>
      <c r="B1125">
        <v>1830197</v>
      </c>
      <c r="C1125" s="5">
        <v>46056</v>
      </c>
      <c r="D1125" t="s">
        <v>458</v>
      </c>
      <c r="E1125">
        <v>0</v>
      </c>
    </row>
    <row r="1126" spans="1:5">
      <c r="A1126">
        <v>311</v>
      </c>
      <c r="B1126">
        <v>1830197</v>
      </c>
      <c r="C1126" s="5">
        <v>46056</v>
      </c>
      <c r="D1126" t="s">
        <v>458</v>
      </c>
      <c r="E1126">
        <v>0</v>
      </c>
    </row>
    <row r="1127" spans="1:5">
      <c r="A1127">
        <v>330</v>
      </c>
      <c r="B1127">
        <v>1830197</v>
      </c>
      <c r="C1127" s="5">
        <v>46056</v>
      </c>
      <c r="D1127" t="s">
        <v>458</v>
      </c>
      <c r="E1127">
        <v>5</v>
      </c>
    </row>
    <row r="1128" spans="1:5">
      <c r="A1128">
        <v>335</v>
      </c>
      <c r="B1128">
        <v>1830197</v>
      </c>
      <c r="C1128" s="5">
        <v>46056</v>
      </c>
      <c r="D1128" t="s">
        <v>458</v>
      </c>
      <c r="E1128">
        <v>16</v>
      </c>
    </row>
    <row r="1129" spans="1:5">
      <c r="A1129">
        <v>336</v>
      </c>
      <c r="B1129">
        <v>1830197</v>
      </c>
      <c r="C1129" s="5">
        <v>46056</v>
      </c>
      <c r="D1129" t="s">
        <v>458</v>
      </c>
      <c r="E1129">
        <v>0</v>
      </c>
    </row>
    <row r="1130" spans="1:5">
      <c r="A1130">
        <v>337</v>
      </c>
      <c r="B1130">
        <v>1830197</v>
      </c>
      <c r="C1130" s="5">
        <v>46056</v>
      </c>
      <c r="D1130" t="s">
        <v>458</v>
      </c>
      <c r="E1130">
        <v>0</v>
      </c>
    </row>
    <row r="1131" spans="1:5">
      <c r="A1131">
        <v>382</v>
      </c>
      <c r="B1131">
        <v>1830197</v>
      </c>
      <c r="C1131" s="5">
        <v>46056</v>
      </c>
      <c r="D1131" t="s">
        <v>458</v>
      </c>
      <c r="E1131">
        <v>1</v>
      </c>
    </row>
    <row r="1132" spans="1:5">
      <c r="A1132">
        <v>385</v>
      </c>
      <c r="B1132">
        <v>1830197</v>
      </c>
      <c r="C1132" s="5">
        <v>46056</v>
      </c>
      <c r="D1132" t="s">
        <v>458</v>
      </c>
      <c r="E1132">
        <v>81</v>
      </c>
    </row>
    <row r="1133" spans="1:5">
      <c r="A1133">
        <v>386</v>
      </c>
      <c r="B1133">
        <v>1830197</v>
      </c>
      <c r="C1133" s="5">
        <v>46056</v>
      </c>
      <c r="D1133" t="s">
        <v>458</v>
      </c>
      <c r="E1133">
        <v>0</v>
      </c>
    </row>
    <row r="1134" spans="1:5">
      <c r="A1134">
        <v>391</v>
      </c>
      <c r="B1134">
        <v>1830197</v>
      </c>
      <c r="C1134" s="5">
        <v>46056</v>
      </c>
      <c r="D1134" t="s">
        <v>458</v>
      </c>
      <c r="E1134">
        <v>0</v>
      </c>
    </row>
    <row r="1135" spans="1:5">
      <c r="A1135">
        <v>397</v>
      </c>
      <c r="B1135">
        <v>1830197</v>
      </c>
      <c r="C1135" s="5">
        <v>46056</v>
      </c>
      <c r="D1135" t="s">
        <v>458</v>
      </c>
      <c r="E1135">
        <v>0</v>
      </c>
    </row>
    <row r="1136" spans="1:5">
      <c r="A1136">
        <v>398</v>
      </c>
      <c r="B1136">
        <v>1830197</v>
      </c>
      <c r="C1136" s="5">
        <v>46056</v>
      </c>
      <c r="D1136" t="s">
        <v>458</v>
      </c>
      <c r="E1136">
        <v>0</v>
      </c>
    </row>
    <row r="1137" spans="1:5">
      <c r="A1137">
        <v>406</v>
      </c>
      <c r="B1137">
        <v>1830197</v>
      </c>
      <c r="C1137" s="5">
        <v>46056</v>
      </c>
      <c r="D1137" t="s">
        <v>458</v>
      </c>
      <c r="E1137">
        <v>0.44</v>
      </c>
    </row>
    <row r="1138" spans="1:5">
      <c r="A1138">
        <v>407</v>
      </c>
      <c r="B1138">
        <v>1830197</v>
      </c>
      <c r="C1138" s="5">
        <v>46056</v>
      </c>
      <c r="D1138" t="s">
        <v>458</v>
      </c>
      <c r="E1138">
        <v>1294</v>
      </c>
    </row>
    <row r="1139" spans="1:5">
      <c r="A1139">
        <v>408</v>
      </c>
      <c r="B1139">
        <v>1830197</v>
      </c>
      <c r="C1139" s="5">
        <v>46056</v>
      </c>
      <c r="D1139" t="s">
        <v>458</v>
      </c>
      <c r="E1139">
        <v>132</v>
      </c>
    </row>
    <row r="1140" spans="1:5">
      <c r="A1140">
        <v>409</v>
      </c>
      <c r="B1140">
        <v>1830197</v>
      </c>
      <c r="C1140" s="5">
        <v>46056</v>
      </c>
      <c r="D1140" t="s">
        <v>458</v>
      </c>
      <c r="E1140">
        <v>0</v>
      </c>
    </row>
    <row r="1141" spans="1:5">
      <c r="A1141">
        <v>410</v>
      </c>
      <c r="B1141">
        <v>1830197</v>
      </c>
      <c r="C1141" s="5">
        <v>46056</v>
      </c>
      <c r="D1141" t="s">
        <v>458</v>
      </c>
      <c r="E1141">
        <v>0</v>
      </c>
    </row>
    <row r="1142" spans="1:5">
      <c r="A1142">
        <v>419</v>
      </c>
      <c r="B1142">
        <v>1830197</v>
      </c>
      <c r="C1142" s="5">
        <v>46056</v>
      </c>
      <c r="D1142" t="s">
        <v>458</v>
      </c>
      <c r="E1142">
        <v>300</v>
      </c>
    </row>
    <row r="1143" spans="1:5">
      <c r="A1143">
        <v>472</v>
      </c>
      <c r="B1143">
        <v>1830197</v>
      </c>
      <c r="C1143" s="5">
        <v>46056</v>
      </c>
      <c r="D1143" t="s">
        <v>458</v>
      </c>
      <c r="E1143">
        <v>0</v>
      </c>
    </row>
    <row r="1144" spans="1:5">
      <c r="A1144">
        <v>483</v>
      </c>
      <c r="B1144">
        <v>1830197</v>
      </c>
      <c r="C1144" s="5">
        <v>46056</v>
      </c>
      <c r="D1144" t="s">
        <v>458</v>
      </c>
      <c r="E1144">
        <v>220</v>
      </c>
    </row>
    <row r="1145" spans="1:5">
      <c r="A1145">
        <v>591</v>
      </c>
      <c r="B1145">
        <v>1830197</v>
      </c>
      <c r="C1145" s="5">
        <v>46056</v>
      </c>
      <c r="D1145" t="s">
        <v>458</v>
      </c>
      <c r="E1145">
        <v>21</v>
      </c>
    </row>
    <row r="1146" spans="1:5">
      <c r="A1146">
        <v>592</v>
      </c>
      <c r="B1146">
        <v>1830197</v>
      </c>
      <c r="C1146" s="5">
        <v>46056</v>
      </c>
      <c r="D1146" t="s">
        <v>458</v>
      </c>
      <c r="E1146">
        <v>47</v>
      </c>
    </row>
    <row r="1147" spans="1:5">
      <c r="A1147">
        <v>609</v>
      </c>
      <c r="B1147">
        <v>1830197</v>
      </c>
      <c r="C1147" s="5">
        <v>46056</v>
      </c>
      <c r="D1147" t="s">
        <v>458</v>
      </c>
      <c r="E1147">
        <v>177</v>
      </c>
    </row>
    <row r="1148" spans="1:5">
      <c r="A1148">
        <v>708</v>
      </c>
      <c r="B1148">
        <v>1830197</v>
      </c>
      <c r="C1148" s="5">
        <v>46056</v>
      </c>
      <c r="D1148" t="s">
        <v>458</v>
      </c>
      <c r="E1148">
        <v>2</v>
      </c>
    </row>
    <row r="1149" spans="1:5">
      <c r="A1149">
        <v>731</v>
      </c>
      <c r="B1149">
        <v>1830197</v>
      </c>
      <c r="C1149" s="5">
        <v>46056</v>
      </c>
      <c r="D1149" t="s">
        <v>458</v>
      </c>
      <c r="E1149">
        <v>0</v>
      </c>
    </row>
    <row r="1150" spans="1:5">
      <c r="A1150">
        <v>736</v>
      </c>
      <c r="B1150">
        <v>1830197</v>
      </c>
      <c r="C1150" s="5">
        <v>46056</v>
      </c>
      <c r="D1150" t="s">
        <v>458</v>
      </c>
      <c r="E1150">
        <v>69</v>
      </c>
    </row>
    <row r="1151" spans="1:5">
      <c r="A1151">
        <v>803</v>
      </c>
      <c r="B1151">
        <v>1830197</v>
      </c>
      <c r="C1151" s="5">
        <v>46056</v>
      </c>
      <c r="D1151" t="s">
        <v>458</v>
      </c>
      <c r="E1151">
        <v>0</v>
      </c>
    </row>
    <row r="1152" spans="1:5">
      <c r="A1152">
        <v>804</v>
      </c>
      <c r="B1152">
        <v>1830197</v>
      </c>
      <c r="C1152" s="5">
        <v>46056</v>
      </c>
      <c r="D1152" t="s">
        <v>458</v>
      </c>
      <c r="E1152">
        <v>0</v>
      </c>
    </row>
    <row r="1153" spans="1:5">
      <c r="A1153">
        <v>808</v>
      </c>
      <c r="B1153">
        <v>1830197</v>
      </c>
      <c r="C1153" s="5">
        <v>46056</v>
      </c>
      <c r="D1153" t="s">
        <v>458</v>
      </c>
      <c r="E1153">
        <v>12</v>
      </c>
    </row>
    <row r="1154" spans="1:5">
      <c r="A1154">
        <v>821</v>
      </c>
      <c r="B1154">
        <v>1830197</v>
      </c>
      <c r="C1154" s="5">
        <v>46056</v>
      </c>
      <c r="D1154" t="s">
        <v>458</v>
      </c>
      <c r="E1154">
        <v>0</v>
      </c>
    </row>
    <row r="1155" spans="1:5">
      <c r="A1155">
        <v>880</v>
      </c>
      <c r="B1155">
        <v>1830197</v>
      </c>
      <c r="C1155" s="5">
        <v>46056</v>
      </c>
      <c r="D1155" t="s">
        <v>458</v>
      </c>
      <c r="E1155">
        <v>0</v>
      </c>
    </row>
    <row r="1156" spans="1:5">
      <c r="A1156">
        <v>894</v>
      </c>
      <c r="B1156">
        <v>1830197</v>
      </c>
      <c r="C1156" s="5">
        <v>46056</v>
      </c>
      <c r="D1156" t="s">
        <v>458</v>
      </c>
      <c r="E1156">
        <v>0</v>
      </c>
    </row>
    <row r="1157" spans="1:5">
      <c r="A1157">
        <v>994</v>
      </c>
      <c r="B1157">
        <v>1830197</v>
      </c>
      <c r="C1157" s="5">
        <v>46056</v>
      </c>
      <c r="D1157" t="s">
        <v>458</v>
      </c>
      <c r="E1157">
        <v>0</v>
      </c>
    </row>
    <row r="1158" spans="1:5">
      <c r="A1158">
        <v>995</v>
      </c>
      <c r="B1158">
        <v>1830197</v>
      </c>
      <c r="C1158" s="5">
        <v>46056</v>
      </c>
      <c r="D1158" t="s">
        <v>458</v>
      </c>
      <c r="E1158">
        <v>0</v>
      </c>
    </row>
    <row r="1159" spans="1:5">
      <c r="A1159">
        <v>996</v>
      </c>
      <c r="B1159">
        <v>1830197</v>
      </c>
      <c r="C1159" s="5">
        <v>46056</v>
      </c>
      <c r="D1159" t="s">
        <v>458</v>
      </c>
      <c r="E1159">
        <v>0</v>
      </c>
    </row>
    <row r="1160" spans="1:5">
      <c r="A1160">
        <v>997</v>
      </c>
      <c r="B1160">
        <v>1830197</v>
      </c>
      <c r="C1160" s="5">
        <v>46056</v>
      </c>
      <c r="D1160" t="s">
        <v>458</v>
      </c>
      <c r="E1160">
        <v>0</v>
      </c>
    </row>
    <row r="1161" spans="1:5">
      <c r="A1161">
        <v>1007</v>
      </c>
      <c r="B1161">
        <v>1830197</v>
      </c>
      <c r="C1161" s="5">
        <v>46056</v>
      </c>
      <c r="D1161" t="s">
        <v>458</v>
      </c>
      <c r="E1161">
        <v>1.81</v>
      </c>
    </row>
    <row r="1162" spans="1:5">
      <c r="A1162">
        <v>1116</v>
      </c>
      <c r="B1162">
        <v>1830197</v>
      </c>
      <c r="C1162" s="5">
        <v>46056</v>
      </c>
      <c r="D1162" t="s">
        <v>458</v>
      </c>
      <c r="E1162">
        <v>15.54</v>
      </c>
    </row>
    <row r="1163" spans="1:5">
      <c r="A1163">
        <v>1125</v>
      </c>
      <c r="B1163">
        <v>1830197</v>
      </c>
      <c r="C1163" s="5">
        <v>46056</v>
      </c>
      <c r="D1163" t="s">
        <v>458</v>
      </c>
      <c r="E1163">
        <v>64</v>
      </c>
    </row>
    <row r="1164" spans="1:5">
      <c r="A1164">
        <v>1127</v>
      </c>
      <c r="B1164">
        <v>1830197</v>
      </c>
      <c r="C1164" s="5">
        <v>46056</v>
      </c>
      <c r="D1164" t="s">
        <v>458</v>
      </c>
      <c r="E1164">
        <v>0</v>
      </c>
    </row>
    <row r="1165" spans="1:5">
      <c r="A1165">
        <v>1131</v>
      </c>
      <c r="B1165">
        <v>1830197</v>
      </c>
      <c r="C1165" s="5">
        <v>46056</v>
      </c>
      <c r="D1165" t="s">
        <v>458</v>
      </c>
      <c r="E1165">
        <v>0</v>
      </c>
    </row>
    <row r="1166" spans="1:5">
      <c r="A1166">
        <v>1139</v>
      </c>
      <c r="B1166">
        <v>1830197</v>
      </c>
      <c r="C1166" s="5">
        <v>46056</v>
      </c>
      <c r="D1166" t="s">
        <v>458</v>
      </c>
      <c r="E1166">
        <v>482</v>
      </c>
    </row>
    <row r="1167" spans="1:5">
      <c r="A1167">
        <v>1146</v>
      </c>
      <c r="B1167">
        <v>1830197</v>
      </c>
      <c r="C1167" s="5">
        <v>46056</v>
      </c>
      <c r="D1167" t="s">
        <v>458</v>
      </c>
      <c r="E1167">
        <v>69</v>
      </c>
    </row>
    <row r="1168" spans="1:5">
      <c r="A1168">
        <v>1179</v>
      </c>
      <c r="B1168">
        <v>1830197</v>
      </c>
      <c r="C1168" s="5">
        <v>46056</v>
      </c>
      <c r="D1168" t="s">
        <v>458</v>
      </c>
      <c r="E1168">
        <v>0</v>
      </c>
    </row>
    <row r="1169" spans="1:5">
      <c r="A1169">
        <v>1224</v>
      </c>
      <c r="B1169">
        <v>1830197</v>
      </c>
      <c r="C1169" s="5">
        <v>46056</v>
      </c>
      <c r="D1169" t="s">
        <v>458</v>
      </c>
      <c r="E1169">
        <v>0</v>
      </c>
    </row>
    <row r="1170" spans="1:5">
      <c r="A1170">
        <v>1242</v>
      </c>
      <c r="B1170">
        <v>1830197</v>
      </c>
      <c r="C1170" s="5">
        <v>46056</v>
      </c>
      <c r="D1170" t="s">
        <v>458</v>
      </c>
      <c r="E1170">
        <v>243</v>
      </c>
    </row>
    <row r="1171" spans="1:5">
      <c r="A1171">
        <v>1243</v>
      </c>
      <c r="B1171">
        <v>1830197</v>
      </c>
      <c r="C1171" s="5">
        <v>46056</v>
      </c>
      <c r="D1171" t="s">
        <v>458</v>
      </c>
      <c r="E1171">
        <v>0</v>
      </c>
    </row>
    <row r="1172" spans="1:5">
      <c r="A1172">
        <v>1244</v>
      </c>
      <c r="B1172">
        <v>1830197</v>
      </c>
      <c r="C1172" s="5">
        <v>46056</v>
      </c>
      <c r="D1172" t="s">
        <v>458</v>
      </c>
      <c r="E1172">
        <v>0</v>
      </c>
    </row>
    <row r="1173" spans="1:5">
      <c r="A1173">
        <v>1245</v>
      </c>
      <c r="B1173">
        <v>1830197</v>
      </c>
      <c r="C1173" s="5">
        <v>46056</v>
      </c>
      <c r="D1173" t="s">
        <v>458</v>
      </c>
      <c r="E1173">
        <v>0</v>
      </c>
    </row>
    <row r="1174" spans="1:5">
      <c r="A1174">
        <v>1394</v>
      </c>
      <c r="B1174">
        <v>1830197</v>
      </c>
      <c r="C1174" s="5">
        <v>46056</v>
      </c>
      <c r="D1174" t="s">
        <v>458</v>
      </c>
      <c r="E1174">
        <v>0</v>
      </c>
    </row>
    <row r="1175" spans="1:5">
      <c r="A1175">
        <v>1441</v>
      </c>
      <c r="B1175">
        <v>1830197</v>
      </c>
      <c r="C1175" s="5">
        <v>46056</v>
      </c>
      <c r="D1175" t="s">
        <v>458</v>
      </c>
      <c r="E1175">
        <v>97</v>
      </c>
    </row>
    <row r="1176" spans="1:5">
      <c r="A1176">
        <v>1494</v>
      </c>
      <c r="B1176">
        <v>1830197</v>
      </c>
      <c r="C1176" s="5">
        <v>46056</v>
      </c>
      <c r="D1176" t="s">
        <v>458</v>
      </c>
      <c r="E1176">
        <v>0</v>
      </c>
    </row>
    <row r="1177" spans="1:5">
      <c r="A1177">
        <v>1503</v>
      </c>
      <c r="B1177">
        <v>1830197</v>
      </c>
      <c r="C1177" s="5">
        <v>46056</v>
      </c>
      <c r="D1177" t="s">
        <v>458</v>
      </c>
      <c r="E1177">
        <v>-7.0000000000000007E-2</v>
      </c>
    </row>
    <row r="1178" spans="1:5">
      <c r="A1178">
        <v>1541</v>
      </c>
      <c r="B1178">
        <v>1830197</v>
      </c>
      <c r="C1178" s="5">
        <v>46056</v>
      </c>
      <c r="D1178" t="s">
        <v>458</v>
      </c>
      <c r="E1178">
        <v>2</v>
      </c>
    </row>
    <row r="1179" spans="1:5">
      <c r="A1179">
        <v>1637</v>
      </c>
      <c r="B1179">
        <v>1830197</v>
      </c>
      <c r="C1179" s="5">
        <v>46056</v>
      </c>
      <c r="D1179" t="s">
        <v>458</v>
      </c>
      <c r="E1179">
        <v>670</v>
      </c>
    </row>
    <row r="1180" spans="1:5">
      <c r="A1180">
        <v>1782</v>
      </c>
      <c r="B1180">
        <v>1830197</v>
      </c>
      <c r="C1180" s="5">
        <v>46056</v>
      </c>
      <c r="D1180" t="s">
        <v>458</v>
      </c>
      <c r="E1180">
        <v>0</v>
      </c>
    </row>
    <row r="1181" spans="1:5">
      <c r="A1181">
        <v>1798</v>
      </c>
      <c r="B1181">
        <v>1830197</v>
      </c>
      <c r="C1181" s="5">
        <v>46056</v>
      </c>
      <c r="D1181" t="s">
        <v>458</v>
      </c>
      <c r="E1181">
        <v>0</v>
      </c>
    </row>
    <row r="1182" spans="1:5">
      <c r="A1182">
        <v>1799</v>
      </c>
      <c r="B1182">
        <v>1830197</v>
      </c>
      <c r="C1182" s="5">
        <v>46056</v>
      </c>
      <c r="D1182" t="s">
        <v>458</v>
      </c>
      <c r="E1182">
        <v>0</v>
      </c>
    </row>
    <row r="1183" spans="1:5">
      <c r="A1183">
        <v>1811</v>
      </c>
      <c r="B1183">
        <v>1830197</v>
      </c>
      <c r="C1183" s="5">
        <v>46056</v>
      </c>
      <c r="D1183" t="s">
        <v>458</v>
      </c>
      <c r="E1183">
        <v>13</v>
      </c>
    </row>
    <row r="1184" spans="1:5">
      <c r="A1184">
        <v>1812</v>
      </c>
      <c r="B1184">
        <v>1830197</v>
      </c>
      <c r="C1184" s="5">
        <v>46056</v>
      </c>
      <c r="D1184" t="s">
        <v>458</v>
      </c>
      <c r="E1184">
        <v>0</v>
      </c>
    </row>
    <row r="1185" spans="1:5">
      <c r="A1185">
        <v>1850</v>
      </c>
      <c r="B1185">
        <v>1830197</v>
      </c>
      <c r="C1185" s="5">
        <v>46056</v>
      </c>
      <c r="D1185" t="s">
        <v>458</v>
      </c>
      <c r="E1185">
        <v>0</v>
      </c>
    </row>
    <row r="1186" spans="1:5">
      <c r="A1186">
        <v>1863</v>
      </c>
      <c r="B1186">
        <v>1830197</v>
      </c>
      <c r="C1186" s="5">
        <v>46056</v>
      </c>
      <c r="D1186" t="s">
        <v>458</v>
      </c>
      <c r="E1186">
        <v>0</v>
      </c>
    </row>
    <row r="1187" spans="1:5">
      <c r="A1187">
        <v>1870</v>
      </c>
      <c r="B1187">
        <v>1830197</v>
      </c>
      <c r="C1187" s="5">
        <v>46056</v>
      </c>
      <c r="D1187" t="s">
        <v>458</v>
      </c>
      <c r="E1187">
        <v>0</v>
      </c>
    </row>
    <row r="1188" spans="1:5">
      <c r="A1188">
        <v>1912</v>
      </c>
      <c r="B1188">
        <v>1830197</v>
      </c>
      <c r="C1188" s="5">
        <v>46056</v>
      </c>
      <c r="D1188" t="s">
        <v>458</v>
      </c>
      <c r="E1188">
        <v>0</v>
      </c>
    </row>
    <row r="1189" spans="1:5">
      <c r="A1189">
        <v>2016</v>
      </c>
      <c r="B1189">
        <v>1830197</v>
      </c>
      <c r="C1189" s="5">
        <v>46056</v>
      </c>
      <c r="D1189" t="s">
        <v>458</v>
      </c>
      <c r="E1189">
        <v>0</v>
      </c>
    </row>
    <row r="1190" spans="1:5">
      <c r="A1190">
        <v>2254</v>
      </c>
      <c r="B1190">
        <v>1830197</v>
      </c>
      <c r="C1190" s="5">
        <v>46056</v>
      </c>
      <c r="D1190" t="s">
        <v>458</v>
      </c>
      <c r="E1190">
        <v>3</v>
      </c>
    </row>
    <row r="1191" spans="1:5">
      <c r="A1191">
        <v>2255</v>
      </c>
      <c r="B1191">
        <v>1830197</v>
      </c>
      <c r="C1191" s="5">
        <v>46056</v>
      </c>
      <c r="D1191" t="s">
        <v>458</v>
      </c>
      <c r="E1191">
        <v>9</v>
      </c>
    </row>
    <row r="1192" spans="1:5">
      <c r="A1192">
        <v>2399</v>
      </c>
      <c r="B1192">
        <v>1830197</v>
      </c>
      <c r="C1192" s="5">
        <v>46056</v>
      </c>
      <c r="D1192" t="s">
        <v>458</v>
      </c>
      <c r="E1192">
        <v>5.03</v>
      </c>
    </row>
    <row r="1193" spans="1:5">
      <c r="A1193">
        <v>2441</v>
      </c>
      <c r="B1193">
        <v>1830197</v>
      </c>
      <c r="C1193" s="5">
        <v>46056</v>
      </c>
      <c r="D1193" t="s">
        <v>458</v>
      </c>
      <c r="E1193">
        <v>0</v>
      </c>
    </row>
    <row r="1194" spans="1:5">
      <c r="A1194">
        <v>2442</v>
      </c>
      <c r="B1194">
        <v>1830197</v>
      </c>
      <c r="C1194" s="5">
        <v>46056</v>
      </c>
      <c r="D1194" t="s">
        <v>458</v>
      </c>
      <c r="E1194">
        <v>0</v>
      </c>
    </row>
    <row r="1195" spans="1:5">
      <c r="A1195">
        <v>2481</v>
      </c>
      <c r="B1195">
        <v>1830197</v>
      </c>
      <c r="C1195" s="5">
        <v>46056</v>
      </c>
      <c r="D1195" t="s">
        <v>458</v>
      </c>
      <c r="E1195">
        <v>0.45</v>
      </c>
    </row>
    <row r="1196" spans="1:5">
      <c r="A1196">
        <v>2540</v>
      </c>
      <c r="B1196">
        <v>1830197</v>
      </c>
      <c r="C1196" s="5">
        <v>46056</v>
      </c>
      <c r="D1196" t="s">
        <v>458</v>
      </c>
      <c r="E1196">
        <v>14</v>
      </c>
    </row>
    <row r="1197" spans="1:5">
      <c r="A1197">
        <v>2549</v>
      </c>
      <c r="B1197">
        <v>1830197</v>
      </c>
      <c r="C1197" s="5">
        <v>46056</v>
      </c>
      <c r="D1197" t="s">
        <v>458</v>
      </c>
      <c r="E1197">
        <v>179</v>
      </c>
    </row>
    <row r="1198" spans="1:5">
      <c r="A1198">
        <v>2550</v>
      </c>
      <c r="B1198">
        <v>1830197</v>
      </c>
      <c r="C1198" s="5">
        <v>46056</v>
      </c>
      <c r="D1198" t="s">
        <v>458</v>
      </c>
      <c r="E1198">
        <v>30</v>
      </c>
    </row>
    <row r="1199" spans="1:5">
      <c r="A1199">
        <v>2589</v>
      </c>
      <c r="B1199">
        <v>1830197</v>
      </c>
      <c r="C1199" s="5">
        <v>46056</v>
      </c>
      <c r="D1199" t="s">
        <v>458</v>
      </c>
      <c r="E1199">
        <v>0</v>
      </c>
    </row>
    <row r="1200" spans="1:5">
      <c r="A1200">
        <v>2590</v>
      </c>
      <c r="B1200">
        <v>1830197</v>
      </c>
      <c r="C1200" s="5">
        <v>46056</v>
      </c>
      <c r="D1200" t="s">
        <v>458</v>
      </c>
      <c r="E1200">
        <v>0</v>
      </c>
    </row>
    <row r="1201" spans="1:5">
      <c r="A1201">
        <v>2591</v>
      </c>
      <c r="B1201">
        <v>1830197</v>
      </c>
      <c r="C1201" s="5">
        <v>46056</v>
      </c>
      <c r="D1201" t="s">
        <v>458</v>
      </c>
      <c r="E1201">
        <v>12</v>
      </c>
    </row>
    <row r="1202" spans="1:5">
      <c r="A1202">
        <v>2601</v>
      </c>
      <c r="B1202">
        <v>1830197</v>
      </c>
      <c r="C1202" s="5">
        <v>46056</v>
      </c>
      <c r="D1202" t="s">
        <v>458</v>
      </c>
      <c r="E1202">
        <v>0</v>
      </c>
    </row>
    <row r="1203" spans="1:5">
      <c r="A1203">
        <v>2679</v>
      </c>
      <c r="B1203">
        <v>1830197</v>
      </c>
      <c r="C1203" s="5">
        <v>46056</v>
      </c>
      <c r="D1203" t="s">
        <v>458</v>
      </c>
      <c r="E1203">
        <v>2.77</v>
      </c>
    </row>
    <row r="1204" spans="1:5">
      <c r="A1204">
        <v>2683</v>
      </c>
      <c r="B1204">
        <v>1830197</v>
      </c>
      <c r="C1204" s="5">
        <v>46056</v>
      </c>
      <c r="D1204" t="s">
        <v>458</v>
      </c>
      <c r="E1204">
        <v>0</v>
      </c>
    </row>
    <row r="1205" spans="1:5">
      <c r="A1205">
        <v>2684</v>
      </c>
      <c r="B1205">
        <v>1830197</v>
      </c>
      <c r="C1205" s="5">
        <v>46056</v>
      </c>
      <c r="D1205" t="s">
        <v>458</v>
      </c>
      <c r="E1205">
        <v>0</v>
      </c>
    </row>
    <row r="1206" spans="1:5">
      <c r="A1206">
        <v>2685</v>
      </c>
      <c r="B1206">
        <v>1830197</v>
      </c>
      <c r="C1206" s="5">
        <v>46056</v>
      </c>
      <c r="D1206" t="s">
        <v>458</v>
      </c>
      <c r="E1206">
        <v>0</v>
      </c>
    </row>
    <row r="1207" spans="1:5">
      <c r="A1207">
        <v>2784</v>
      </c>
      <c r="B1207">
        <v>1830197</v>
      </c>
      <c r="C1207" s="5">
        <v>46056</v>
      </c>
      <c r="D1207" t="s">
        <v>458</v>
      </c>
      <c r="E1207">
        <v>14.83</v>
      </c>
    </row>
    <row r="1208" spans="1:5">
      <c r="A1208">
        <v>2785</v>
      </c>
      <c r="B1208">
        <v>1830197</v>
      </c>
      <c r="C1208" s="5">
        <v>46056</v>
      </c>
      <c r="D1208" t="s">
        <v>458</v>
      </c>
      <c r="E1208">
        <v>1</v>
      </c>
    </row>
    <row r="1209" spans="1:5">
      <c r="A1209">
        <v>2786</v>
      </c>
      <c r="B1209">
        <v>1830197</v>
      </c>
      <c r="C1209" s="5">
        <v>46056</v>
      </c>
      <c r="D1209" t="s">
        <v>458</v>
      </c>
      <c r="E1209">
        <v>3</v>
      </c>
    </row>
    <row r="1210" spans="1:5">
      <c r="A1210">
        <v>2787</v>
      </c>
      <c r="B1210">
        <v>1830197</v>
      </c>
      <c r="C1210" s="5">
        <v>46056</v>
      </c>
      <c r="D1210" t="s">
        <v>458</v>
      </c>
      <c r="E1210">
        <v>4</v>
      </c>
    </row>
    <row r="1211" spans="1:5">
      <c r="A1211">
        <v>2814</v>
      </c>
      <c r="B1211">
        <v>1830197</v>
      </c>
      <c r="C1211" s="5">
        <v>46056</v>
      </c>
      <c r="D1211" t="s">
        <v>458</v>
      </c>
      <c r="E1211">
        <v>0</v>
      </c>
    </row>
    <row r="1212" spans="1:5">
      <c r="A1212">
        <v>2815</v>
      </c>
      <c r="B1212">
        <v>1830197</v>
      </c>
      <c r="C1212" s="5">
        <v>46056</v>
      </c>
      <c r="D1212" t="s">
        <v>458</v>
      </c>
      <c r="E1212">
        <v>0</v>
      </c>
    </row>
    <row r="1213" spans="1:5">
      <c r="A1213">
        <v>2816</v>
      </c>
      <c r="B1213">
        <v>1830197</v>
      </c>
      <c r="C1213" s="5">
        <v>46056</v>
      </c>
      <c r="D1213" t="s">
        <v>458</v>
      </c>
      <c r="E1213">
        <v>0</v>
      </c>
    </row>
    <row r="1214" spans="1:5">
      <c r="A1214">
        <v>2817</v>
      </c>
      <c r="B1214">
        <v>1830197</v>
      </c>
      <c r="C1214" s="5">
        <v>46056</v>
      </c>
      <c r="D1214" t="s">
        <v>458</v>
      </c>
      <c r="E1214">
        <v>0</v>
      </c>
    </row>
    <row r="1215" spans="1:5">
      <c r="A1215">
        <v>2856</v>
      </c>
      <c r="B1215">
        <v>1830197</v>
      </c>
      <c r="C1215" s="5">
        <v>46056</v>
      </c>
      <c r="D1215" t="s">
        <v>458</v>
      </c>
      <c r="E1215">
        <v>0</v>
      </c>
    </row>
    <row r="1216" spans="1:5">
      <c r="A1216">
        <v>2872</v>
      </c>
      <c r="B1216">
        <v>1830197</v>
      </c>
      <c r="C1216" s="5">
        <v>46056</v>
      </c>
      <c r="D1216" t="s">
        <v>458</v>
      </c>
      <c r="E1216">
        <v>0</v>
      </c>
    </row>
    <row r="1217" spans="1:5">
      <c r="A1217">
        <v>2956</v>
      </c>
      <c r="B1217">
        <v>1830197</v>
      </c>
      <c r="C1217" s="5">
        <v>46056</v>
      </c>
      <c r="D1217" t="s">
        <v>458</v>
      </c>
      <c r="E1217">
        <v>-0.1</v>
      </c>
    </row>
    <row r="1218" spans="1:5">
      <c r="A1218">
        <v>2963</v>
      </c>
      <c r="B1218">
        <v>1830197</v>
      </c>
      <c r="C1218" s="5">
        <v>46056</v>
      </c>
      <c r="D1218" t="s">
        <v>458</v>
      </c>
      <c r="E1218">
        <v>0</v>
      </c>
    </row>
    <row r="1219" spans="1:5">
      <c r="A1219">
        <v>3034</v>
      </c>
      <c r="B1219">
        <v>1830197</v>
      </c>
      <c r="C1219" s="5">
        <v>46056</v>
      </c>
      <c r="D1219" t="s">
        <v>458</v>
      </c>
      <c r="E1219">
        <v>19</v>
      </c>
    </row>
    <row r="1220" spans="1:5">
      <c r="A1220">
        <v>3087</v>
      </c>
      <c r="B1220">
        <v>1830197</v>
      </c>
      <c r="C1220" s="5">
        <v>46056</v>
      </c>
      <c r="D1220" t="s">
        <v>458</v>
      </c>
      <c r="E1220">
        <v>231</v>
      </c>
    </row>
    <row r="1221" spans="1:5">
      <c r="A1221">
        <v>3143</v>
      </c>
      <c r="B1221">
        <v>1830197</v>
      </c>
      <c r="C1221" s="5">
        <v>46056</v>
      </c>
      <c r="D1221" t="s">
        <v>458</v>
      </c>
      <c r="E1221">
        <v>0</v>
      </c>
    </row>
    <row r="1222" spans="1:5">
      <c r="A1222">
        <v>3206</v>
      </c>
      <c r="B1222">
        <v>1830197</v>
      </c>
      <c r="C1222" s="5">
        <v>46056</v>
      </c>
      <c r="D1222" t="s">
        <v>458</v>
      </c>
      <c r="E1222">
        <v>0</v>
      </c>
    </row>
    <row r="1223" spans="1:5">
      <c r="A1223">
        <v>3236</v>
      </c>
      <c r="B1223">
        <v>1830197</v>
      </c>
      <c r="C1223" s="5">
        <v>46056</v>
      </c>
      <c r="D1223" t="s">
        <v>458</v>
      </c>
      <c r="E1223">
        <v>424</v>
      </c>
    </row>
    <row r="1224" spans="1:5">
      <c r="A1224">
        <v>3278</v>
      </c>
      <c r="B1224">
        <v>1830197</v>
      </c>
      <c r="C1224" s="5">
        <v>46056</v>
      </c>
      <c r="D1224" t="s">
        <v>458</v>
      </c>
      <c r="E1224">
        <v>177</v>
      </c>
    </row>
    <row r="1225" spans="1:5">
      <c r="A1225">
        <v>3297</v>
      </c>
      <c r="B1225">
        <v>1830197</v>
      </c>
      <c r="C1225" s="5">
        <v>46056</v>
      </c>
      <c r="D1225" t="s">
        <v>458</v>
      </c>
      <c r="E1225">
        <v>0</v>
      </c>
    </row>
    <row r="1226" spans="1:5">
      <c r="A1226">
        <v>3309</v>
      </c>
      <c r="B1226">
        <v>1830197</v>
      </c>
      <c r="C1226" s="5">
        <v>46056</v>
      </c>
      <c r="D1226" t="s">
        <v>458</v>
      </c>
      <c r="E1226">
        <v>82</v>
      </c>
    </row>
    <row r="1227" spans="1:5">
      <c r="A1227">
        <v>3423</v>
      </c>
      <c r="B1227">
        <v>1830197</v>
      </c>
      <c r="C1227" s="5">
        <v>46056</v>
      </c>
      <c r="D1227" t="s">
        <v>458</v>
      </c>
      <c r="E1227">
        <v>0</v>
      </c>
    </row>
    <row r="1228" spans="1:5">
      <c r="A1228">
        <v>3439</v>
      </c>
      <c r="B1228">
        <v>1830197</v>
      </c>
      <c r="C1228" s="5">
        <v>46056</v>
      </c>
      <c r="D1228" t="s">
        <v>458</v>
      </c>
      <c r="E1228">
        <v>0</v>
      </c>
    </row>
    <row r="1229" spans="1:5">
      <c r="A1229">
        <v>3471</v>
      </c>
      <c r="B1229">
        <v>1830197</v>
      </c>
      <c r="C1229" s="5">
        <v>46056</v>
      </c>
      <c r="D1229" t="s">
        <v>458</v>
      </c>
      <c r="E1229">
        <v>1.49</v>
      </c>
    </row>
    <row r="1230" spans="1:5">
      <c r="A1230">
        <v>3488</v>
      </c>
      <c r="B1230">
        <v>1830197</v>
      </c>
      <c r="C1230" s="5">
        <v>46056</v>
      </c>
      <c r="D1230" t="s">
        <v>458</v>
      </c>
      <c r="E1230">
        <v>0</v>
      </c>
    </row>
    <row r="1231" spans="1:5">
      <c r="A1231">
        <v>3496</v>
      </c>
      <c r="B1231">
        <v>1830197</v>
      </c>
      <c r="C1231" s="5">
        <v>46056</v>
      </c>
      <c r="D1231" t="s">
        <v>458</v>
      </c>
      <c r="E1231">
        <v>0</v>
      </c>
    </row>
    <row r="1232" spans="1:5">
      <c r="A1232">
        <v>3557</v>
      </c>
      <c r="B1232">
        <v>1830197</v>
      </c>
      <c r="C1232" s="5">
        <v>46056</v>
      </c>
      <c r="D1232" t="s">
        <v>458</v>
      </c>
      <c r="E1232">
        <v>0</v>
      </c>
    </row>
    <row r="1233" spans="1:5">
      <c r="A1233">
        <v>3584</v>
      </c>
      <c r="B1233">
        <v>1830197</v>
      </c>
      <c r="C1233" s="5">
        <v>46056</v>
      </c>
      <c r="D1233" t="s">
        <v>458</v>
      </c>
      <c r="E1233">
        <v>5.68</v>
      </c>
    </row>
    <row r="1234" spans="1:5">
      <c r="A1234">
        <v>3593</v>
      </c>
      <c r="B1234">
        <v>1830197</v>
      </c>
      <c r="C1234" s="5">
        <v>46056</v>
      </c>
      <c r="D1234" t="s">
        <v>458</v>
      </c>
      <c r="E1234">
        <v>71</v>
      </c>
    </row>
    <row r="1235" spans="1:5">
      <c r="A1235">
        <v>3594</v>
      </c>
      <c r="B1235">
        <v>1830197</v>
      </c>
      <c r="C1235" s="5">
        <v>46056</v>
      </c>
      <c r="D1235" t="s">
        <v>458</v>
      </c>
      <c r="E1235">
        <v>179</v>
      </c>
    </row>
    <row r="1236" spans="1:5">
      <c r="A1236">
        <v>3595</v>
      </c>
      <c r="B1236">
        <v>1830197</v>
      </c>
      <c r="C1236" s="5">
        <v>46056</v>
      </c>
      <c r="D1236" t="s">
        <v>458</v>
      </c>
      <c r="E1236">
        <v>0</v>
      </c>
    </row>
    <row r="1237" spans="1:5">
      <c r="A1237">
        <v>3596</v>
      </c>
      <c r="B1237">
        <v>1830197</v>
      </c>
      <c r="C1237" s="5">
        <v>46056</v>
      </c>
      <c r="D1237" t="s">
        <v>458</v>
      </c>
      <c r="E1237">
        <v>0</v>
      </c>
    </row>
    <row r="1238" spans="1:5">
      <c r="A1238">
        <v>3597</v>
      </c>
      <c r="B1238">
        <v>1830197</v>
      </c>
      <c r="C1238" s="5">
        <v>46056</v>
      </c>
      <c r="D1238" t="s">
        <v>458</v>
      </c>
      <c r="E1238">
        <v>27</v>
      </c>
    </row>
    <row r="1239" spans="1:5">
      <c r="A1239">
        <v>3617</v>
      </c>
      <c r="B1239">
        <v>1830197</v>
      </c>
      <c r="C1239" s="5">
        <v>46056</v>
      </c>
      <c r="D1239" t="s">
        <v>458</v>
      </c>
      <c r="E1239">
        <v>4.1399999999999997</v>
      </c>
    </row>
    <row r="1240" spans="1:5">
      <c r="A1240">
        <v>3636</v>
      </c>
      <c r="B1240">
        <v>1830197</v>
      </c>
      <c r="C1240" s="5">
        <v>46056</v>
      </c>
      <c r="D1240" t="s">
        <v>458</v>
      </c>
      <c r="E1240">
        <v>0</v>
      </c>
    </row>
    <row r="1241" spans="1:5">
      <c r="A1241">
        <v>3646</v>
      </c>
      <c r="B1241">
        <v>1830197</v>
      </c>
      <c r="C1241" s="5">
        <v>46056</v>
      </c>
      <c r="D1241" t="s">
        <v>458</v>
      </c>
      <c r="E1241">
        <v>0</v>
      </c>
    </row>
    <row r="1242" spans="1:5">
      <c r="A1242">
        <v>3647</v>
      </c>
      <c r="B1242">
        <v>1830197</v>
      </c>
      <c r="C1242" s="5">
        <v>46056</v>
      </c>
      <c r="D1242" t="s">
        <v>458</v>
      </c>
      <c r="E1242">
        <v>0</v>
      </c>
    </row>
    <row r="1243" spans="1:5">
      <c r="A1243">
        <v>3648</v>
      </c>
      <c r="B1243">
        <v>1830197</v>
      </c>
      <c r="C1243" s="5">
        <v>46056</v>
      </c>
      <c r="D1243" t="s">
        <v>458</v>
      </c>
      <c r="E1243">
        <v>0</v>
      </c>
    </row>
    <row r="1244" spans="1:5">
      <c r="A1244">
        <v>3735</v>
      </c>
      <c r="B1244">
        <v>1830197</v>
      </c>
      <c r="C1244" s="5">
        <v>46056</v>
      </c>
      <c r="D1244" t="s">
        <v>458</v>
      </c>
      <c r="E1244">
        <v>0</v>
      </c>
    </row>
    <row r="1245" spans="1:5">
      <c r="A1245">
        <v>3761</v>
      </c>
      <c r="B1245">
        <v>1830197</v>
      </c>
      <c r="C1245" s="5">
        <v>46056</v>
      </c>
      <c r="D1245" t="s">
        <v>458</v>
      </c>
      <c r="E1245">
        <v>204</v>
      </c>
    </row>
    <row r="1246" spans="1:5">
      <c r="A1246">
        <v>3815</v>
      </c>
      <c r="B1246">
        <v>1830197</v>
      </c>
      <c r="C1246" s="5">
        <v>46056</v>
      </c>
      <c r="D1246" t="s">
        <v>458</v>
      </c>
      <c r="E1246">
        <v>0</v>
      </c>
    </row>
    <row r="1247" spans="1:5">
      <c r="A1247">
        <v>3866</v>
      </c>
      <c r="B1247">
        <v>1830197</v>
      </c>
      <c r="C1247" s="5">
        <v>46056</v>
      </c>
      <c r="D1247" t="s">
        <v>458</v>
      </c>
      <c r="E1247">
        <v>0</v>
      </c>
    </row>
    <row r="1248" spans="1:5">
      <c r="A1248">
        <v>3867</v>
      </c>
      <c r="B1248">
        <v>1830197</v>
      </c>
      <c r="C1248" s="5">
        <v>46056</v>
      </c>
      <c r="D1248" t="s">
        <v>458</v>
      </c>
      <c r="E1248">
        <v>0</v>
      </c>
    </row>
    <row r="1249" spans="1:5">
      <c r="A1249">
        <v>3868</v>
      </c>
      <c r="B1249">
        <v>1830197</v>
      </c>
      <c r="C1249" s="5">
        <v>46056</v>
      </c>
      <c r="D1249" t="s">
        <v>458</v>
      </c>
      <c r="E1249">
        <v>0</v>
      </c>
    </row>
    <row r="1250" spans="1:5">
      <c r="A1250">
        <v>4027</v>
      </c>
      <c r="B1250">
        <v>1830197</v>
      </c>
      <c r="C1250" s="5">
        <v>46056</v>
      </c>
      <c r="D1250" t="s">
        <v>458</v>
      </c>
      <c r="E1250">
        <v>0</v>
      </c>
    </row>
    <row r="1251" spans="1:5">
      <c r="A1251">
        <v>4111</v>
      </c>
      <c r="B1251">
        <v>1830197</v>
      </c>
      <c r="C1251" s="5">
        <v>46056</v>
      </c>
      <c r="D1251" t="s">
        <v>458</v>
      </c>
      <c r="E1251">
        <v>2</v>
      </c>
    </row>
    <row r="1252" spans="1:5">
      <c r="A1252">
        <v>4209</v>
      </c>
      <c r="B1252">
        <v>1830197</v>
      </c>
      <c r="C1252" s="5">
        <v>46056</v>
      </c>
      <c r="D1252" t="s">
        <v>458</v>
      </c>
      <c r="E1252">
        <v>1.04</v>
      </c>
    </row>
    <row r="1253" spans="1:5">
      <c r="A1253">
        <v>4334</v>
      </c>
      <c r="B1253">
        <v>1830197</v>
      </c>
      <c r="C1253" s="5">
        <v>46056</v>
      </c>
      <c r="D1253" t="s">
        <v>458</v>
      </c>
      <c r="E1253">
        <v>0</v>
      </c>
    </row>
    <row r="1254" spans="1:5">
      <c r="A1254">
        <v>4422</v>
      </c>
      <c r="B1254">
        <v>1830197</v>
      </c>
      <c r="C1254" s="5">
        <v>46056</v>
      </c>
      <c r="D1254" t="s">
        <v>458</v>
      </c>
      <c r="E1254">
        <v>0</v>
      </c>
    </row>
    <row r="1255" spans="1:5">
      <c r="A1255">
        <v>4551</v>
      </c>
      <c r="B1255">
        <v>1830197</v>
      </c>
      <c r="C1255" s="5">
        <v>46056</v>
      </c>
      <c r="D1255" t="s">
        <v>458</v>
      </c>
      <c r="E1255">
        <v>47</v>
      </c>
    </row>
    <row r="1256" spans="1:5">
      <c r="A1256">
        <v>4596</v>
      </c>
      <c r="B1256">
        <v>1830197</v>
      </c>
      <c r="C1256" s="5">
        <v>46056</v>
      </c>
      <c r="D1256" t="s">
        <v>458</v>
      </c>
      <c r="E1256">
        <v>0</v>
      </c>
    </row>
    <row r="1257" spans="1:5">
      <c r="A1257">
        <v>4607</v>
      </c>
      <c r="B1257">
        <v>1830197</v>
      </c>
      <c r="C1257" s="5">
        <v>46056</v>
      </c>
      <c r="D1257" t="s">
        <v>458</v>
      </c>
      <c r="E1257">
        <v>24</v>
      </c>
    </row>
    <row r="1258" spans="1:5">
      <c r="A1258">
        <v>4703</v>
      </c>
      <c r="B1258">
        <v>1830197</v>
      </c>
      <c r="C1258" s="5">
        <v>46056</v>
      </c>
      <c r="D1258" t="s">
        <v>458</v>
      </c>
      <c r="E1258">
        <v>0</v>
      </c>
    </row>
    <row r="1259" spans="1:5">
      <c r="A1259">
        <v>4704</v>
      </c>
      <c r="B1259">
        <v>1830197</v>
      </c>
      <c r="C1259" s="5">
        <v>46056</v>
      </c>
      <c r="D1259" t="s">
        <v>458</v>
      </c>
      <c r="E1259">
        <v>0</v>
      </c>
    </row>
    <row r="1260" spans="1:5">
      <c r="A1260">
        <v>4853</v>
      </c>
      <c r="B1260">
        <v>1830197</v>
      </c>
      <c r="C1260" s="5">
        <v>46056</v>
      </c>
      <c r="D1260" t="s">
        <v>458</v>
      </c>
      <c r="E1260">
        <v>114</v>
      </c>
    </row>
    <row r="1261" spans="1:5">
      <c r="A1261">
        <v>4887</v>
      </c>
      <c r="B1261">
        <v>1830197</v>
      </c>
      <c r="C1261" s="5">
        <v>46056</v>
      </c>
      <c r="D1261" t="s">
        <v>458</v>
      </c>
      <c r="E1261">
        <v>0</v>
      </c>
    </row>
    <row r="1262" spans="1:5">
      <c r="A1262">
        <v>4926</v>
      </c>
      <c r="B1262">
        <v>1830197</v>
      </c>
      <c r="C1262" s="5">
        <v>46056</v>
      </c>
      <c r="D1262" t="s">
        <v>458</v>
      </c>
      <c r="E1262">
        <v>0</v>
      </c>
    </row>
    <row r="1263" spans="1:5">
      <c r="A1263">
        <v>4954</v>
      </c>
      <c r="B1263">
        <v>1830197</v>
      </c>
      <c r="C1263" s="5">
        <v>46056</v>
      </c>
      <c r="D1263" t="s">
        <v>458</v>
      </c>
      <c r="E1263">
        <v>0</v>
      </c>
    </row>
    <row r="1264" spans="1:5">
      <c r="A1264">
        <v>4970</v>
      </c>
      <c r="B1264">
        <v>1830197</v>
      </c>
      <c r="C1264" s="5">
        <v>46056</v>
      </c>
      <c r="D1264" t="s">
        <v>458</v>
      </c>
      <c r="E1264">
        <v>0</v>
      </c>
    </row>
    <row r="1265" spans="1:5">
      <c r="A1265">
        <v>4980</v>
      </c>
      <c r="B1265">
        <v>1830197</v>
      </c>
      <c r="C1265" s="5">
        <v>46056</v>
      </c>
      <c r="D1265" t="s">
        <v>458</v>
      </c>
      <c r="E1265">
        <v>0</v>
      </c>
    </row>
    <row r="1266" spans="1:5">
      <c r="A1266">
        <v>4995</v>
      </c>
      <c r="B1266">
        <v>1830197</v>
      </c>
      <c r="C1266" s="5">
        <v>46056</v>
      </c>
      <c r="D1266" t="s">
        <v>458</v>
      </c>
      <c r="E1266">
        <v>0</v>
      </c>
    </row>
    <row r="1267" spans="1:5">
      <c r="A1267">
        <v>4996</v>
      </c>
      <c r="B1267">
        <v>1830197</v>
      </c>
      <c r="C1267" s="5">
        <v>46056</v>
      </c>
      <c r="D1267" t="s">
        <v>458</v>
      </c>
      <c r="E1267">
        <v>0</v>
      </c>
    </row>
    <row r="1268" spans="1:5">
      <c r="A1268">
        <v>4997</v>
      </c>
      <c r="B1268">
        <v>1830197</v>
      </c>
      <c r="C1268" s="5">
        <v>46056</v>
      </c>
      <c r="D1268" t="s">
        <v>458</v>
      </c>
      <c r="E1268">
        <v>14</v>
      </c>
    </row>
    <row r="1269" spans="1:5">
      <c r="A1269">
        <v>4998</v>
      </c>
      <c r="B1269">
        <v>1830197</v>
      </c>
      <c r="C1269" s="5">
        <v>46056</v>
      </c>
      <c r="D1269" t="s">
        <v>458</v>
      </c>
      <c r="E1269">
        <v>15</v>
      </c>
    </row>
    <row r="1270" spans="1:5">
      <c r="A1270">
        <v>4999</v>
      </c>
      <c r="B1270">
        <v>1830197</v>
      </c>
      <c r="C1270" s="5">
        <v>46056</v>
      </c>
      <c r="D1270" t="s">
        <v>458</v>
      </c>
      <c r="E1270">
        <v>365</v>
      </c>
    </row>
    <row r="1271" spans="1:5">
      <c r="A1271">
        <v>5012</v>
      </c>
      <c r="B1271">
        <v>1830197</v>
      </c>
      <c r="C1271" s="5">
        <v>46056</v>
      </c>
      <c r="D1271" t="s">
        <v>458</v>
      </c>
      <c r="E1271">
        <v>1.9</v>
      </c>
    </row>
    <row r="1272" spans="1:5">
      <c r="A1272">
        <v>5054</v>
      </c>
      <c r="B1272">
        <v>1830197</v>
      </c>
      <c r="C1272" s="5">
        <v>46056</v>
      </c>
      <c r="D1272" t="s">
        <v>458</v>
      </c>
      <c r="E1272">
        <v>10.49</v>
      </c>
    </row>
    <row r="1273" spans="1:5">
      <c r="A1273">
        <v>5163</v>
      </c>
      <c r="B1273">
        <v>1830197</v>
      </c>
      <c r="C1273" s="5">
        <v>46056</v>
      </c>
      <c r="D1273" t="s">
        <v>458</v>
      </c>
      <c r="E1273">
        <v>0</v>
      </c>
    </row>
    <row r="1274" spans="1:5">
      <c r="A1274">
        <v>5209</v>
      </c>
      <c r="B1274">
        <v>1830197</v>
      </c>
      <c r="C1274" s="5">
        <v>46056</v>
      </c>
      <c r="D1274" t="s">
        <v>458</v>
      </c>
      <c r="E1274">
        <v>0</v>
      </c>
    </row>
    <row r="1275" spans="1:5">
      <c r="A1275">
        <v>5349</v>
      </c>
      <c r="B1275">
        <v>1830197</v>
      </c>
      <c r="C1275" s="5">
        <v>46056</v>
      </c>
      <c r="D1275" t="s">
        <v>458</v>
      </c>
      <c r="E1275">
        <v>0</v>
      </c>
    </row>
    <row r="1276" spans="1:5">
      <c r="A1276">
        <v>5351</v>
      </c>
      <c r="B1276">
        <v>1830197</v>
      </c>
      <c r="C1276" s="5">
        <v>46056</v>
      </c>
      <c r="D1276" t="s">
        <v>458</v>
      </c>
      <c r="E1276">
        <v>0</v>
      </c>
    </row>
    <row r="1277" spans="1:5">
      <c r="A1277">
        <v>5358</v>
      </c>
      <c r="B1277">
        <v>1830197</v>
      </c>
      <c r="C1277" s="5">
        <v>46056</v>
      </c>
      <c r="D1277" t="s">
        <v>458</v>
      </c>
      <c r="E1277">
        <v>0</v>
      </c>
    </row>
    <row r="1278" spans="1:5">
      <c r="A1278">
        <v>5378</v>
      </c>
      <c r="B1278">
        <v>1830197</v>
      </c>
      <c r="C1278" s="5">
        <v>46056</v>
      </c>
      <c r="D1278" t="s">
        <v>458</v>
      </c>
      <c r="E1278">
        <v>0</v>
      </c>
    </row>
    <row r="1279" spans="1:5">
      <c r="A1279">
        <v>5391</v>
      </c>
      <c r="B1279">
        <v>1830197</v>
      </c>
      <c r="C1279" s="5">
        <v>46056</v>
      </c>
      <c r="D1279" t="s">
        <v>458</v>
      </c>
      <c r="E1279">
        <v>0</v>
      </c>
    </row>
    <row r="1280" spans="1:5">
      <c r="A1280">
        <v>5429</v>
      </c>
      <c r="B1280">
        <v>1830197</v>
      </c>
      <c r="C1280" s="5">
        <v>46056</v>
      </c>
      <c r="D1280" t="s">
        <v>458</v>
      </c>
      <c r="E1280">
        <v>7</v>
      </c>
    </row>
    <row r="1281" spans="1:5">
      <c r="A1281">
        <v>5430</v>
      </c>
      <c r="B1281">
        <v>1830197</v>
      </c>
      <c r="C1281" s="5">
        <v>46056</v>
      </c>
      <c r="D1281" t="s">
        <v>458</v>
      </c>
      <c r="E1281">
        <v>0</v>
      </c>
    </row>
    <row r="1282" spans="1:5">
      <c r="A1282">
        <v>5431</v>
      </c>
      <c r="B1282">
        <v>1830197</v>
      </c>
      <c r="C1282" s="5">
        <v>46056</v>
      </c>
      <c r="D1282" t="s">
        <v>458</v>
      </c>
      <c r="E1282">
        <v>0</v>
      </c>
    </row>
    <row r="1283" spans="1:5">
      <c r="A1283">
        <v>5432</v>
      </c>
      <c r="B1283">
        <v>1830197</v>
      </c>
      <c r="C1283" s="5">
        <v>46056</v>
      </c>
      <c r="D1283" t="s">
        <v>458</v>
      </c>
      <c r="E1283">
        <v>0</v>
      </c>
    </row>
    <row r="1284" spans="1:5">
      <c r="A1284">
        <v>5444</v>
      </c>
      <c r="B1284">
        <v>1830197</v>
      </c>
      <c r="C1284" s="5">
        <v>46056</v>
      </c>
      <c r="D1284" t="s">
        <v>458</v>
      </c>
      <c r="E1284">
        <v>0</v>
      </c>
    </row>
    <row r="1285" spans="1:5">
      <c r="A1285">
        <v>5478</v>
      </c>
      <c r="B1285">
        <v>1830197</v>
      </c>
      <c r="C1285" s="5">
        <v>46056</v>
      </c>
      <c r="D1285" t="s">
        <v>458</v>
      </c>
      <c r="E1285">
        <v>0</v>
      </c>
    </row>
    <row r="1286" spans="1:5">
      <c r="A1286">
        <v>5481</v>
      </c>
      <c r="B1286">
        <v>1830197</v>
      </c>
      <c r="C1286" s="5">
        <v>46056</v>
      </c>
      <c r="D1286" t="s">
        <v>458</v>
      </c>
      <c r="E1286">
        <v>0</v>
      </c>
    </row>
    <row r="1287" spans="1:5">
      <c r="A1287">
        <v>5551</v>
      </c>
      <c r="B1287">
        <v>1830197</v>
      </c>
      <c r="C1287" s="5">
        <v>46056</v>
      </c>
      <c r="D1287" t="s">
        <v>458</v>
      </c>
      <c r="E1287">
        <v>0</v>
      </c>
    </row>
    <row r="1288" spans="1:5">
      <c r="A1288">
        <v>5552</v>
      </c>
      <c r="B1288">
        <v>1830197</v>
      </c>
      <c r="C1288" s="5">
        <v>46056</v>
      </c>
      <c r="D1288" t="s">
        <v>458</v>
      </c>
      <c r="E1288">
        <v>25</v>
      </c>
    </row>
    <row r="1289" spans="1:5">
      <c r="A1289">
        <v>5565</v>
      </c>
      <c r="B1289">
        <v>1830197</v>
      </c>
      <c r="C1289" s="5">
        <v>46056</v>
      </c>
      <c r="D1289" t="s">
        <v>458</v>
      </c>
      <c r="E1289">
        <v>0</v>
      </c>
    </row>
    <row r="1290" spans="1:5">
      <c r="A1290">
        <v>5664</v>
      </c>
      <c r="B1290">
        <v>1830197</v>
      </c>
      <c r="C1290" s="5">
        <v>46056</v>
      </c>
      <c r="D1290" t="s">
        <v>458</v>
      </c>
      <c r="E1290">
        <v>2</v>
      </c>
    </row>
    <row r="1291" spans="1:5">
      <c r="A1291">
        <v>5876</v>
      </c>
      <c r="B1291">
        <v>1830197</v>
      </c>
      <c r="C1291" s="5">
        <v>46056</v>
      </c>
      <c r="D1291" t="s">
        <v>458</v>
      </c>
      <c r="E1291">
        <v>0</v>
      </c>
    </row>
    <row r="1292" spans="1:5">
      <c r="A1292">
        <v>5935</v>
      </c>
      <c r="B1292">
        <v>1830197</v>
      </c>
      <c r="C1292" s="5">
        <v>46056</v>
      </c>
      <c r="D1292" t="s">
        <v>458</v>
      </c>
      <c r="E1292">
        <v>0</v>
      </c>
    </row>
    <row r="1293" spans="1:5">
      <c r="A1293">
        <v>5939</v>
      </c>
      <c r="B1293">
        <v>1830197</v>
      </c>
      <c r="C1293" s="5">
        <v>46056</v>
      </c>
      <c r="D1293" t="s">
        <v>458</v>
      </c>
      <c r="E1293">
        <v>0</v>
      </c>
    </row>
    <row r="1294" spans="1:5">
      <c r="A1294">
        <v>5983</v>
      </c>
      <c r="B1294">
        <v>1830197</v>
      </c>
      <c r="C1294" s="5">
        <v>46056</v>
      </c>
      <c r="D1294" t="s">
        <v>458</v>
      </c>
      <c r="E1294">
        <v>3.08</v>
      </c>
    </row>
    <row r="1295" spans="1:5">
      <c r="A1295">
        <v>6053</v>
      </c>
      <c r="B1295">
        <v>1830197</v>
      </c>
      <c r="C1295" s="5">
        <v>46056</v>
      </c>
      <c r="D1295" t="s">
        <v>458</v>
      </c>
      <c r="E1295">
        <v>0</v>
      </c>
    </row>
    <row r="1296" spans="1:5">
      <c r="A1296">
        <v>6094</v>
      </c>
      <c r="B1296">
        <v>1830197</v>
      </c>
      <c r="C1296" s="5">
        <v>46056</v>
      </c>
      <c r="D1296" t="s">
        <v>458</v>
      </c>
      <c r="E1296">
        <v>6</v>
      </c>
    </row>
    <row r="1297" spans="1:5">
      <c r="A1297">
        <v>6373</v>
      </c>
      <c r="B1297">
        <v>1830197</v>
      </c>
      <c r="C1297" s="5">
        <v>46056</v>
      </c>
      <c r="D1297" t="s">
        <v>458</v>
      </c>
      <c r="E1297">
        <v>0</v>
      </c>
    </row>
    <row r="1298" spans="1:5">
      <c r="A1298">
        <v>6374</v>
      </c>
      <c r="B1298">
        <v>1830197</v>
      </c>
      <c r="C1298" s="5">
        <v>46056</v>
      </c>
      <c r="D1298" t="s">
        <v>458</v>
      </c>
      <c r="E1298">
        <v>0</v>
      </c>
    </row>
    <row r="1299" spans="1:5">
      <c r="A1299">
        <v>6375</v>
      </c>
      <c r="B1299">
        <v>1830197</v>
      </c>
      <c r="C1299" s="5">
        <v>46056</v>
      </c>
      <c r="D1299" t="s">
        <v>458</v>
      </c>
      <c r="E1299">
        <v>0</v>
      </c>
    </row>
    <row r="1300" spans="1:5">
      <c r="A1300">
        <v>6376</v>
      </c>
      <c r="B1300">
        <v>1830197</v>
      </c>
      <c r="C1300" s="5">
        <v>46056</v>
      </c>
      <c r="D1300" t="s">
        <v>458</v>
      </c>
      <c r="E1300">
        <v>0</v>
      </c>
    </row>
    <row r="1301" spans="1:5">
      <c r="A1301">
        <v>6472</v>
      </c>
      <c r="B1301">
        <v>1830197</v>
      </c>
      <c r="C1301" s="5">
        <v>46056</v>
      </c>
      <c r="D1301" t="s">
        <v>458</v>
      </c>
      <c r="E1301">
        <v>0</v>
      </c>
    </row>
    <row r="1302" spans="1:5">
      <c r="A1302">
        <v>6477</v>
      </c>
      <c r="B1302">
        <v>1830197</v>
      </c>
      <c r="C1302" s="5">
        <v>46056</v>
      </c>
      <c r="D1302" t="s">
        <v>458</v>
      </c>
      <c r="E1302">
        <v>0</v>
      </c>
    </row>
    <row r="1303" spans="1:5">
      <c r="A1303">
        <v>6724</v>
      </c>
      <c r="B1303">
        <v>1830197</v>
      </c>
      <c r="C1303" s="5">
        <v>46056</v>
      </c>
      <c r="D1303" t="s">
        <v>458</v>
      </c>
      <c r="E1303">
        <v>0</v>
      </c>
    </row>
    <row r="1304" spans="1:5">
      <c r="A1304">
        <v>6757</v>
      </c>
      <c r="B1304">
        <v>1830197</v>
      </c>
      <c r="C1304" s="5">
        <v>46056</v>
      </c>
      <c r="D1304" t="s">
        <v>458</v>
      </c>
      <c r="E1304">
        <v>0</v>
      </c>
    </row>
    <row r="1305" spans="1:5">
      <c r="A1305">
        <v>6761</v>
      </c>
      <c r="B1305">
        <v>1830197</v>
      </c>
      <c r="C1305" s="5">
        <v>46056</v>
      </c>
      <c r="D1305" t="s">
        <v>458</v>
      </c>
      <c r="E1305">
        <v>0</v>
      </c>
    </row>
    <row r="1306" spans="1:5">
      <c r="A1306">
        <v>6776</v>
      </c>
      <c r="B1306">
        <v>1830197</v>
      </c>
      <c r="C1306" s="5">
        <v>46056</v>
      </c>
      <c r="D1306" t="s">
        <v>458</v>
      </c>
      <c r="E1306">
        <v>0</v>
      </c>
    </row>
    <row r="1307" spans="1:5">
      <c r="A1307">
        <v>6810</v>
      </c>
      <c r="B1307">
        <v>1830197</v>
      </c>
      <c r="C1307" s="5">
        <v>46056</v>
      </c>
      <c r="D1307" t="s">
        <v>458</v>
      </c>
      <c r="E1307">
        <v>0</v>
      </c>
    </row>
    <row r="1308" spans="1:5">
      <c r="A1308">
        <v>6811</v>
      </c>
      <c r="B1308">
        <v>1830197</v>
      </c>
      <c r="C1308" s="5">
        <v>46056</v>
      </c>
      <c r="D1308" t="s">
        <v>458</v>
      </c>
      <c r="E1308">
        <v>274</v>
      </c>
    </row>
    <row r="1309" spans="1:5">
      <c r="A1309">
        <v>6880</v>
      </c>
      <c r="B1309">
        <v>1830197</v>
      </c>
      <c r="C1309" s="5">
        <v>46056</v>
      </c>
      <c r="D1309" t="s">
        <v>458</v>
      </c>
      <c r="E1309">
        <v>0</v>
      </c>
    </row>
    <row r="1310" spans="1:5">
      <c r="A1310">
        <v>6928</v>
      </c>
      <c r="B1310">
        <v>1830197</v>
      </c>
      <c r="C1310" s="5">
        <v>46056</v>
      </c>
      <c r="D1310" t="s">
        <v>458</v>
      </c>
      <c r="E1310">
        <v>0</v>
      </c>
    </row>
    <row r="1311" spans="1:5">
      <c r="A1311">
        <v>7034</v>
      </c>
      <c r="B1311">
        <v>1830197</v>
      </c>
      <c r="C1311" s="5">
        <v>46056</v>
      </c>
      <c r="D1311" t="s">
        <v>458</v>
      </c>
      <c r="E1311">
        <v>0</v>
      </c>
    </row>
    <row r="1312" spans="1:5">
      <c r="A1312">
        <v>7127</v>
      </c>
      <c r="B1312">
        <v>1830197</v>
      </c>
      <c r="C1312" s="5">
        <v>46056</v>
      </c>
      <c r="D1312" t="s">
        <v>458</v>
      </c>
      <c r="E1312">
        <v>3</v>
      </c>
    </row>
    <row r="1313" spans="1:5">
      <c r="A1313">
        <v>7205</v>
      </c>
      <c r="B1313">
        <v>1830197</v>
      </c>
      <c r="C1313" s="5">
        <v>46056</v>
      </c>
      <c r="D1313" t="s">
        <v>458</v>
      </c>
      <c r="E1313">
        <v>167</v>
      </c>
    </row>
    <row r="1314" spans="1:5">
      <c r="A1314">
        <v>7206</v>
      </c>
      <c r="B1314">
        <v>1830197</v>
      </c>
      <c r="C1314" s="5">
        <v>46056</v>
      </c>
      <c r="D1314" t="s">
        <v>458</v>
      </c>
      <c r="E1314">
        <v>82</v>
      </c>
    </row>
    <row r="1315" spans="1:5">
      <c r="A1315">
        <v>7223</v>
      </c>
      <c r="B1315">
        <v>1830197</v>
      </c>
      <c r="C1315" s="5">
        <v>46056</v>
      </c>
      <c r="D1315" t="s">
        <v>458</v>
      </c>
      <c r="E1315">
        <v>0</v>
      </c>
    </row>
    <row r="1316" spans="1:5">
      <c r="A1316">
        <v>7301</v>
      </c>
      <c r="B1316">
        <v>1830197</v>
      </c>
      <c r="C1316" s="5">
        <v>46056</v>
      </c>
      <c r="D1316" t="s">
        <v>458</v>
      </c>
      <c r="E1316">
        <v>100</v>
      </c>
    </row>
    <row r="1317" spans="1:5">
      <c r="A1317">
        <v>7311</v>
      </c>
      <c r="B1317">
        <v>1830197</v>
      </c>
      <c r="C1317" s="5">
        <v>46056</v>
      </c>
      <c r="D1317" t="s">
        <v>458</v>
      </c>
      <c r="E1317">
        <v>0</v>
      </c>
    </row>
    <row r="1318" spans="1:5">
      <c r="A1318">
        <v>7312</v>
      </c>
      <c r="B1318">
        <v>1830197</v>
      </c>
      <c r="C1318" s="5">
        <v>46056</v>
      </c>
      <c r="D1318" t="s">
        <v>458</v>
      </c>
      <c r="E1318">
        <v>0</v>
      </c>
    </row>
    <row r="1319" spans="1:5">
      <c r="A1319">
        <v>7313</v>
      </c>
      <c r="B1319">
        <v>1830197</v>
      </c>
      <c r="C1319" s="5">
        <v>46056</v>
      </c>
      <c r="D1319" t="s">
        <v>458</v>
      </c>
      <c r="E1319">
        <v>0</v>
      </c>
    </row>
    <row r="1320" spans="1:5">
      <c r="A1320">
        <v>7326</v>
      </c>
      <c r="B1320">
        <v>1830197</v>
      </c>
      <c r="C1320" s="5">
        <v>46056</v>
      </c>
      <c r="D1320" t="s">
        <v>458</v>
      </c>
      <c r="E1320">
        <v>0</v>
      </c>
    </row>
    <row r="1321" spans="1:5">
      <c r="A1321">
        <v>7333</v>
      </c>
      <c r="B1321">
        <v>1830197</v>
      </c>
      <c r="C1321" s="5">
        <v>46056</v>
      </c>
      <c r="D1321" t="s">
        <v>458</v>
      </c>
      <c r="E1321">
        <v>298</v>
      </c>
    </row>
    <row r="1322" spans="1:5">
      <c r="A1322">
        <v>7421</v>
      </c>
      <c r="B1322">
        <v>1830197</v>
      </c>
      <c r="C1322" s="5">
        <v>46056</v>
      </c>
      <c r="D1322" t="s">
        <v>458</v>
      </c>
      <c r="E1322">
        <v>0</v>
      </c>
    </row>
    <row r="1323" spans="1:5">
      <c r="A1323">
        <v>7422</v>
      </c>
      <c r="B1323">
        <v>1830197</v>
      </c>
      <c r="C1323" s="5">
        <v>46056</v>
      </c>
      <c r="D1323" t="s">
        <v>458</v>
      </c>
      <c r="E1323">
        <v>0.1</v>
      </c>
    </row>
    <row r="1324" spans="1:5">
      <c r="A1324">
        <v>7634</v>
      </c>
      <c r="B1324">
        <v>1830197</v>
      </c>
      <c r="C1324" s="5">
        <v>46056</v>
      </c>
      <c r="D1324" t="s">
        <v>458</v>
      </c>
      <c r="E1324">
        <v>8</v>
      </c>
    </row>
    <row r="1325" spans="1:5">
      <c r="A1325">
        <v>7919</v>
      </c>
      <c r="B1325">
        <v>1830197</v>
      </c>
      <c r="C1325" s="5">
        <v>46056</v>
      </c>
      <c r="D1325" t="s">
        <v>458</v>
      </c>
      <c r="E1325">
        <v>4.87</v>
      </c>
    </row>
    <row r="1326" spans="1:5">
      <c r="A1326">
        <v>7920</v>
      </c>
      <c r="B1326">
        <v>1830197</v>
      </c>
      <c r="C1326" s="5">
        <v>46056</v>
      </c>
      <c r="D1326" t="s">
        <v>458</v>
      </c>
      <c r="E1326">
        <v>192</v>
      </c>
    </row>
    <row r="1327" spans="1:5">
      <c r="A1327">
        <v>7969</v>
      </c>
      <c r="B1327">
        <v>1830197</v>
      </c>
      <c r="C1327" s="5">
        <v>46056</v>
      </c>
      <c r="D1327" t="s">
        <v>458</v>
      </c>
      <c r="E1327">
        <v>0</v>
      </c>
    </row>
    <row r="1328" spans="1:5">
      <c r="A1328">
        <v>8159</v>
      </c>
      <c r="B1328">
        <v>1830197</v>
      </c>
      <c r="C1328" s="5">
        <v>46056</v>
      </c>
      <c r="D1328" t="s">
        <v>458</v>
      </c>
      <c r="E1328">
        <v>0</v>
      </c>
    </row>
    <row r="1329" spans="1:5">
      <c r="A1329">
        <v>8201</v>
      </c>
      <c r="B1329">
        <v>1830197</v>
      </c>
      <c r="C1329" s="5">
        <v>46056</v>
      </c>
      <c r="D1329" t="s">
        <v>458</v>
      </c>
      <c r="E1329">
        <v>80</v>
      </c>
    </row>
    <row r="1330" spans="1:5">
      <c r="A1330">
        <v>8207</v>
      </c>
      <c r="B1330">
        <v>1830197</v>
      </c>
      <c r="C1330" s="5">
        <v>46056</v>
      </c>
      <c r="D1330" t="s">
        <v>458</v>
      </c>
      <c r="E1330">
        <v>0</v>
      </c>
    </row>
    <row r="1331" spans="1:5">
      <c r="A1331">
        <v>8322</v>
      </c>
      <c r="B1331">
        <v>1830197</v>
      </c>
      <c r="C1331" s="5">
        <v>46056</v>
      </c>
      <c r="D1331" t="s">
        <v>458</v>
      </c>
      <c r="E1331">
        <v>0</v>
      </c>
    </row>
    <row r="1332" spans="1:5">
      <c r="A1332">
        <v>8541</v>
      </c>
      <c r="B1332">
        <v>1830197</v>
      </c>
      <c r="C1332" s="5">
        <v>46056</v>
      </c>
      <c r="D1332" t="s">
        <v>458</v>
      </c>
      <c r="E1332">
        <v>1</v>
      </c>
    </row>
    <row r="1333" spans="1:5">
      <c r="A1333">
        <v>8800</v>
      </c>
      <c r="B1333">
        <v>1830197</v>
      </c>
      <c r="C1333" s="5">
        <v>46056</v>
      </c>
      <c r="D1333" t="s">
        <v>458</v>
      </c>
      <c r="E1333">
        <v>0</v>
      </c>
    </row>
    <row r="1334" spans="1:5">
      <c r="A1334">
        <v>8801</v>
      </c>
      <c r="B1334">
        <v>1830197</v>
      </c>
      <c r="C1334" s="5">
        <v>46056</v>
      </c>
      <c r="D1334" t="s">
        <v>458</v>
      </c>
      <c r="E1334">
        <v>0</v>
      </c>
    </row>
    <row r="1335" spans="1:5">
      <c r="A1335">
        <v>8886</v>
      </c>
      <c r="B1335">
        <v>1830197</v>
      </c>
      <c r="C1335" s="5">
        <v>46056</v>
      </c>
      <c r="D1335" t="s">
        <v>458</v>
      </c>
      <c r="E1335">
        <v>0</v>
      </c>
    </row>
    <row r="1336" spans="1:5">
      <c r="A1336">
        <v>8951</v>
      </c>
      <c r="B1336">
        <v>1830197</v>
      </c>
      <c r="C1336" s="5">
        <v>46056</v>
      </c>
      <c r="D1336" t="s">
        <v>458</v>
      </c>
      <c r="E1336">
        <v>0</v>
      </c>
    </row>
    <row r="1337" spans="1:5">
      <c r="A1337">
        <v>8970</v>
      </c>
      <c r="B1337">
        <v>1830197</v>
      </c>
      <c r="C1337" s="5">
        <v>46056</v>
      </c>
      <c r="D1337" t="s">
        <v>458</v>
      </c>
      <c r="E1337">
        <v>0</v>
      </c>
    </row>
    <row r="1338" spans="1:5">
      <c r="A1338">
        <v>9110</v>
      </c>
      <c r="B1338">
        <v>1830197</v>
      </c>
      <c r="C1338" s="5">
        <v>46056</v>
      </c>
      <c r="D1338" t="s">
        <v>458</v>
      </c>
      <c r="E1338">
        <v>81</v>
      </c>
    </row>
    <row r="1339" spans="1:5">
      <c r="A1339">
        <v>9456</v>
      </c>
      <c r="B1339">
        <v>1830197</v>
      </c>
      <c r="C1339" s="5">
        <v>46056</v>
      </c>
      <c r="D1339" t="s">
        <v>458</v>
      </c>
      <c r="E1339">
        <v>0</v>
      </c>
    </row>
    <row r="1340" spans="1:5">
      <c r="A1340">
        <v>9903</v>
      </c>
      <c r="B1340">
        <v>1830197</v>
      </c>
      <c r="C1340" s="5">
        <v>46056</v>
      </c>
      <c r="D1340" t="s">
        <v>458</v>
      </c>
      <c r="E1340">
        <v>0</v>
      </c>
    </row>
    <row r="1341" spans="1:5">
      <c r="A1341">
        <v>9920</v>
      </c>
      <c r="B1341">
        <v>1830197</v>
      </c>
      <c r="C1341" s="5">
        <v>46056</v>
      </c>
      <c r="D1341" t="s">
        <v>458</v>
      </c>
      <c r="E1341">
        <v>0</v>
      </c>
    </row>
    <row r="1342" spans="1:5">
      <c r="A1342">
        <v>9930</v>
      </c>
      <c r="B1342">
        <v>1830197</v>
      </c>
      <c r="C1342" s="5">
        <v>46056</v>
      </c>
      <c r="D1342" t="s">
        <v>458</v>
      </c>
      <c r="E1342">
        <v>2</v>
      </c>
    </row>
    <row r="1343" spans="1:5">
      <c r="A1343">
        <v>9931</v>
      </c>
      <c r="B1343">
        <v>1830197</v>
      </c>
      <c r="C1343" s="5">
        <v>46056</v>
      </c>
      <c r="D1343" t="s">
        <v>458</v>
      </c>
      <c r="E1343">
        <v>0</v>
      </c>
    </row>
    <row r="1344" spans="1:5">
      <c r="A1344">
        <v>9972</v>
      </c>
      <c r="B1344">
        <v>1830197</v>
      </c>
      <c r="C1344" s="5">
        <v>46056</v>
      </c>
      <c r="D1344" t="s">
        <v>458</v>
      </c>
      <c r="E1344">
        <v>0.1</v>
      </c>
    </row>
    <row r="1345" spans="1:5">
      <c r="A1345">
        <v>10010</v>
      </c>
      <c r="B1345">
        <v>1830197</v>
      </c>
      <c r="C1345" s="5">
        <v>46056</v>
      </c>
      <c r="D1345" t="s">
        <v>458</v>
      </c>
      <c r="E1345">
        <v>0</v>
      </c>
    </row>
    <row r="1346" spans="1:5">
      <c r="A1346">
        <v>10264</v>
      </c>
      <c r="B1346">
        <v>1830197</v>
      </c>
      <c r="C1346" s="5">
        <v>46056</v>
      </c>
      <c r="D1346" t="s">
        <v>458</v>
      </c>
      <c r="E1346">
        <v>0.26</v>
      </c>
    </row>
    <row r="1347" spans="1:5">
      <c r="A1347">
        <v>10294</v>
      </c>
      <c r="B1347">
        <v>1830197</v>
      </c>
      <c r="C1347" s="5">
        <v>46056</v>
      </c>
      <c r="D1347" t="s">
        <v>458</v>
      </c>
      <c r="E1347">
        <v>0</v>
      </c>
    </row>
    <row r="1348" spans="1:5">
      <c r="A1348">
        <v>10295</v>
      </c>
      <c r="B1348">
        <v>1830197</v>
      </c>
      <c r="C1348" s="5">
        <v>46056</v>
      </c>
      <c r="D1348" t="s">
        <v>458</v>
      </c>
      <c r="E1348">
        <v>0</v>
      </c>
    </row>
    <row r="1349" spans="1:5">
      <c r="A1349">
        <v>10296</v>
      </c>
      <c r="B1349">
        <v>1830197</v>
      </c>
      <c r="C1349" s="5">
        <v>46056</v>
      </c>
      <c r="D1349" t="s">
        <v>458</v>
      </c>
      <c r="E1349">
        <v>0</v>
      </c>
    </row>
    <row r="1350" spans="1:5">
      <c r="A1350">
        <v>10297</v>
      </c>
      <c r="B1350">
        <v>1830197</v>
      </c>
      <c r="C1350" s="5">
        <v>46056</v>
      </c>
      <c r="D1350" t="s">
        <v>458</v>
      </c>
      <c r="E1350">
        <v>0</v>
      </c>
    </row>
    <row r="1351" spans="1:5">
      <c r="A1351">
        <v>10298</v>
      </c>
      <c r="B1351">
        <v>1830197</v>
      </c>
      <c r="C1351" s="5">
        <v>46056</v>
      </c>
      <c r="D1351" t="s">
        <v>458</v>
      </c>
      <c r="E1351">
        <v>0</v>
      </c>
    </row>
    <row r="1352" spans="1:5">
      <c r="A1352">
        <v>10299</v>
      </c>
      <c r="B1352">
        <v>1830197</v>
      </c>
      <c r="C1352" s="5">
        <v>46056</v>
      </c>
      <c r="D1352" t="s">
        <v>458</v>
      </c>
      <c r="E1352">
        <v>0</v>
      </c>
    </row>
    <row r="1353" spans="1:5">
      <c r="A1353">
        <v>10458</v>
      </c>
      <c r="B1353">
        <v>1830197</v>
      </c>
      <c r="C1353" s="5">
        <v>46056</v>
      </c>
      <c r="D1353" t="s">
        <v>458</v>
      </c>
      <c r="E1353">
        <v>0</v>
      </c>
    </row>
    <row r="1354" spans="1:5">
      <c r="A1354">
        <v>10550</v>
      </c>
      <c r="B1354">
        <v>1830197</v>
      </c>
      <c r="C1354" s="5">
        <v>46056</v>
      </c>
      <c r="D1354" t="s">
        <v>458</v>
      </c>
      <c r="E1354">
        <v>70</v>
      </c>
    </row>
    <row r="1355" spans="1:5">
      <c r="A1355">
        <v>10594</v>
      </c>
      <c r="B1355">
        <v>1830197</v>
      </c>
      <c r="C1355" s="5">
        <v>46056</v>
      </c>
      <c r="D1355" t="s">
        <v>458</v>
      </c>
      <c r="E1355">
        <v>0.5</v>
      </c>
    </row>
    <row r="1356" spans="1:5">
      <c r="A1356">
        <v>10595</v>
      </c>
      <c r="B1356">
        <v>1830197</v>
      </c>
      <c r="C1356" s="5">
        <v>46056</v>
      </c>
      <c r="D1356" t="s">
        <v>458</v>
      </c>
      <c r="E1356">
        <v>0.5</v>
      </c>
    </row>
    <row r="1357" spans="1:5">
      <c r="A1357">
        <v>10596</v>
      </c>
      <c r="B1357">
        <v>1830197</v>
      </c>
      <c r="C1357" s="5">
        <v>46056</v>
      </c>
      <c r="D1357" t="s">
        <v>458</v>
      </c>
      <c r="E1357">
        <v>0</v>
      </c>
    </row>
    <row r="1358" spans="1:5">
      <c r="A1358">
        <v>10597</v>
      </c>
      <c r="B1358">
        <v>1830197</v>
      </c>
      <c r="C1358" s="5">
        <v>46056</v>
      </c>
      <c r="D1358" t="s">
        <v>458</v>
      </c>
      <c r="E1358">
        <v>0.5</v>
      </c>
    </row>
    <row r="1359" spans="1:5">
      <c r="A1359">
        <v>10598</v>
      </c>
      <c r="B1359">
        <v>1830197</v>
      </c>
      <c r="C1359" s="5">
        <v>46056</v>
      </c>
      <c r="D1359" t="s">
        <v>458</v>
      </c>
      <c r="E1359">
        <v>15.24</v>
      </c>
    </row>
    <row r="1360" spans="1:5">
      <c r="A1360">
        <v>10599</v>
      </c>
      <c r="B1360">
        <v>1830197</v>
      </c>
      <c r="C1360" s="5">
        <v>46056</v>
      </c>
      <c r="D1360" t="s">
        <v>458</v>
      </c>
      <c r="E1360">
        <v>0</v>
      </c>
    </row>
    <row r="1361" spans="1:5">
      <c r="A1361">
        <v>10629</v>
      </c>
      <c r="B1361">
        <v>1830197</v>
      </c>
      <c r="C1361" s="5">
        <v>46056</v>
      </c>
      <c r="D1361" t="s">
        <v>458</v>
      </c>
      <c r="E1361">
        <v>22</v>
      </c>
    </row>
    <row r="1362" spans="1:5">
      <c r="A1362">
        <v>10683</v>
      </c>
      <c r="B1362">
        <v>1830197</v>
      </c>
      <c r="C1362" s="5">
        <v>46056</v>
      </c>
      <c r="D1362" t="s">
        <v>458</v>
      </c>
      <c r="E1362">
        <v>0</v>
      </c>
    </row>
    <row r="1363" spans="1:5">
      <c r="A1363">
        <v>10685</v>
      </c>
      <c r="B1363">
        <v>1830197</v>
      </c>
      <c r="C1363" s="5">
        <v>46056</v>
      </c>
      <c r="D1363" t="s">
        <v>458</v>
      </c>
      <c r="E1363">
        <v>0</v>
      </c>
    </row>
    <row r="1364" spans="1:5">
      <c r="A1364">
        <v>10754</v>
      </c>
      <c r="B1364">
        <v>1830197</v>
      </c>
      <c r="C1364" s="5">
        <v>46056</v>
      </c>
      <c r="D1364" t="s">
        <v>458</v>
      </c>
      <c r="E1364">
        <v>0</v>
      </c>
    </row>
    <row r="1365" spans="1:5">
      <c r="A1365">
        <v>10958</v>
      </c>
      <c r="B1365">
        <v>1830197</v>
      </c>
      <c r="C1365" s="5">
        <v>46056</v>
      </c>
      <c r="D1365" t="s">
        <v>458</v>
      </c>
      <c r="E1365">
        <v>16</v>
      </c>
    </row>
    <row r="1366" spans="1:5">
      <c r="A1366">
        <v>11056</v>
      </c>
      <c r="B1366">
        <v>1830197</v>
      </c>
      <c r="C1366" s="5">
        <v>46056</v>
      </c>
      <c r="D1366" t="s">
        <v>458</v>
      </c>
      <c r="E1366">
        <v>0</v>
      </c>
    </row>
    <row r="1367" spans="1:5">
      <c r="A1367">
        <v>11162</v>
      </c>
      <c r="B1367">
        <v>1830197</v>
      </c>
      <c r="C1367" s="5">
        <v>46056</v>
      </c>
      <c r="D1367" t="s">
        <v>458</v>
      </c>
      <c r="E1367">
        <v>0</v>
      </c>
    </row>
    <row r="1368" spans="1:5">
      <c r="A1368">
        <v>11172</v>
      </c>
      <c r="B1368">
        <v>1830197</v>
      </c>
      <c r="C1368" s="5">
        <v>46056</v>
      </c>
      <c r="D1368" t="s">
        <v>458</v>
      </c>
      <c r="E1368">
        <v>0</v>
      </c>
    </row>
    <row r="1369" spans="1:5">
      <c r="A1369">
        <v>11312</v>
      </c>
      <c r="B1369">
        <v>1830197</v>
      </c>
      <c r="C1369" s="5">
        <v>46056</v>
      </c>
      <c r="D1369" t="s">
        <v>458</v>
      </c>
      <c r="E1369">
        <v>43</v>
      </c>
    </row>
    <row r="1370" spans="1:5">
      <c r="A1370">
        <v>11313</v>
      </c>
      <c r="B1370">
        <v>1830197</v>
      </c>
      <c r="C1370" s="5">
        <v>46056</v>
      </c>
      <c r="D1370" t="s">
        <v>458</v>
      </c>
      <c r="E1370">
        <v>0</v>
      </c>
    </row>
    <row r="1371" spans="1:5">
      <c r="A1371">
        <v>11322</v>
      </c>
      <c r="B1371">
        <v>1830197</v>
      </c>
      <c r="C1371" s="5">
        <v>46056</v>
      </c>
      <c r="D1371" t="s">
        <v>458</v>
      </c>
      <c r="E1371">
        <v>0</v>
      </c>
    </row>
    <row r="1372" spans="1:5">
      <c r="A1372">
        <v>11323</v>
      </c>
      <c r="B1372">
        <v>1830197</v>
      </c>
      <c r="C1372" s="5">
        <v>46056</v>
      </c>
      <c r="D1372" t="s">
        <v>458</v>
      </c>
      <c r="E1372">
        <v>0</v>
      </c>
    </row>
    <row r="1373" spans="1:5">
      <c r="A1373">
        <v>11588</v>
      </c>
      <c r="B1373">
        <v>1830197</v>
      </c>
      <c r="C1373" s="5">
        <v>46056</v>
      </c>
      <c r="D1373" t="s">
        <v>458</v>
      </c>
      <c r="E1373">
        <v>0</v>
      </c>
    </row>
    <row r="1374" spans="1:5">
      <c r="A1374">
        <v>11597</v>
      </c>
      <c r="B1374">
        <v>1830197</v>
      </c>
      <c r="C1374" s="5">
        <v>46056</v>
      </c>
      <c r="D1374" t="s">
        <v>458</v>
      </c>
      <c r="E1374">
        <v>0</v>
      </c>
    </row>
    <row r="1375" spans="1:5">
      <c r="A1375">
        <v>11662</v>
      </c>
      <c r="B1375">
        <v>1830197</v>
      </c>
      <c r="C1375" s="5">
        <v>46056</v>
      </c>
      <c r="D1375" t="s">
        <v>458</v>
      </c>
      <c r="E1375">
        <v>0</v>
      </c>
    </row>
    <row r="1376" spans="1:5">
      <c r="A1376">
        <v>11663</v>
      </c>
      <c r="B1376">
        <v>1830197</v>
      </c>
      <c r="C1376" s="5">
        <v>46056</v>
      </c>
      <c r="D1376" t="s">
        <v>458</v>
      </c>
      <c r="E1376">
        <v>0</v>
      </c>
    </row>
    <row r="1377" spans="1:5">
      <c r="A1377">
        <v>11676</v>
      </c>
      <c r="B1377">
        <v>1830197</v>
      </c>
      <c r="C1377" s="5">
        <v>46056</v>
      </c>
      <c r="D1377" t="s">
        <v>458</v>
      </c>
      <c r="E1377">
        <v>0</v>
      </c>
    </row>
    <row r="1378" spans="1:5">
      <c r="A1378">
        <v>11720</v>
      </c>
      <c r="B1378">
        <v>1830197</v>
      </c>
      <c r="C1378" s="5">
        <v>46056</v>
      </c>
      <c r="D1378" t="s">
        <v>458</v>
      </c>
      <c r="E1378">
        <v>0</v>
      </c>
    </row>
    <row r="1379" spans="1:5">
      <c r="A1379">
        <v>11883</v>
      </c>
      <c r="B1379">
        <v>1830197</v>
      </c>
      <c r="C1379" s="5">
        <v>46056</v>
      </c>
      <c r="D1379" t="s">
        <v>458</v>
      </c>
      <c r="E1379">
        <v>1</v>
      </c>
    </row>
    <row r="1380" spans="1:5">
      <c r="A1380">
        <v>12037</v>
      </c>
      <c r="B1380">
        <v>1830197</v>
      </c>
      <c r="C1380" s="5">
        <v>46056</v>
      </c>
      <c r="D1380" t="s">
        <v>458</v>
      </c>
      <c r="E1380">
        <v>0</v>
      </c>
    </row>
    <row r="1381" spans="1:5">
      <c r="A1381">
        <v>12063</v>
      </c>
      <c r="B1381">
        <v>1830197</v>
      </c>
      <c r="C1381" s="5">
        <v>46056</v>
      </c>
      <c r="D1381" t="s">
        <v>458</v>
      </c>
      <c r="E1381">
        <v>0</v>
      </c>
    </row>
    <row r="1382" spans="1:5">
      <c r="A1382">
        <v>12234</v>
      </c>
      <c r="B1382">
        <v>1830197</v>
      </c>
      <c r="C1382" s="5">
        <v>46056</v>
      </c>
      <c r="D1382" t="s">
        <v>458</v>
      </c>
      <c r="E1382">
        <v>10</v>
      </c>
    </row>
    <row r="1383" spans="1:5">
      <c r="A1383">
        <v>12244</v>
      </c>
      <c r="B1383">
        <v>1830197</v>
      </c>
      <c r="C1383" s="5">
        <v>46056</v>
      </c>
      <c r="D1383" t="s">
        <v>458</v>
      </c>
      <c r="E1383">
        <v>0</v>
      </c>
    </row>
    <row r="1384" spans="1:5">
      <c r="A1384">
        <v>12245</v>
      </c>
      <c r="B1384">
        <v>1830197</v>
      </c>
      <c r="C1384" s="5">
        <v>46056</v>
      </c>
      <c r="D1384" t="s">
        <v>458</v>
      </c>
      <c r="E1384">
        <v>0</v>
      </c>
    </row>
    <row r="1385" spans="1:5">
      <c r="A1385">
        <v>12322</v>
      </c>
      <c r="B1385">
        <v>1830197</v>
      </c>
      <c r="C1385" s="5">
        <v>46056</v>
      </c>
      <c r="D1385" t="s">
        <v>458</v>
      </c>
      <c r="E1385">
        <v>4</v>
      </c>
    </row>
    <row r="1386" spans="1:5">
      <c r="A1386">
        <v>12713</v>
      </c>
      <c r="B1386">
        <v>1830197</v>
      </c>
      <c r="C1386" s="5">
        <v>46056</v>
      </c>
      <c r="D1386" t="s">
        <v>458</v>
      </c>
      <c r="E1386">
        <v>43</v>
      </c>
    </row>
    <row r="1387" spans="1:5">
      <c r="A1387">
        <v>13201</v>
      </c>
      <c r="B1387">
        <v>1830197</v>
      </c>
      <c r="C1387" s="5">
        <v>46056</v>
      </c>
      <c r="D1387" t="s">
        <v>458</v>
      </c>
      <c r="E1387">
        <v>13</v>
      </c>
    </row>
    <row r="1388" spans="1:5">
      <c r="A1388">
        <v>13229</v>
      </c>
      <c r="B1388">
        <v>1830197</v>
      </c>
      <c r="C1388" s="5">
        <v>46056</v>
      </c>
      <c r="D1388" t="s">
        <v>458</v>
      </c>
      <c r="E1388">
        <v>0</v>
      </c>
    </row>
    <row r="1389" spans="1:5">
      <c r="A1389">
        <v>13322</v>
      </c>
      <c r="B1389">
        <v>1830197</v>
      </c>
      <c r="C1389" s="5">
        <v>46056</v>
      </c>
      <c r="D1389" t="s">
        <v>458</v>
      </c>
      <c r="E1389">
        <v>0</v>
      </c>
    </row>
    <row r="1390" spans="1:5">
      <c r="A1390">
        <v>13450</v>
      </c>
      <c r="B1390">
        <v>1830197</v>
      </c>
      <c r="C1390" s="5">
        <v>46056</v>
      </c>
      <c r="D1390" t="s">
        <v>458</v>
      </c>
      <c r="E1390">
        <v>0</v>
      </c>
    </row>
    <row r="1391" spans="1:5">
      <c r="A1391">
        <v>13451</v>
      </c>
      <c r="B1391">
        <v>1830197</v>
      </c>
      <c r="C1391" s="5">
        <v>46056</v>
      </c>
      <c r="D1391" t="s">
        <v>458</v>
      </c>
      <c r="E1391">
        <v>0</v>
      </c>
    </row>
    <row r="1392" spans="1:5">
      <c r="A1392">
        <v>13537</v>
      </c>
      <c r="B1392">
        <v>1830197</v>
      </c>
      <c r="C1392" s="5">
        <v>46056</v>
      </c>
      <c r="D1392" t="s">
        <v>458</v>
      </c>
      <c r="E1392">
        <v>0</v>
      </c>
    </row>
    <row r="1393" spans="1:5">
      <c r="A1393">
        <v>13539</v>
      </c>
      <c r="B1393">
        <v>1830197</v>
      </c>
      <c r="C1393" s="5">
        <v>46056</v>
      </c>
      <c r="D1393" t="s">
        <v>458</v>
      </c>
      <c r="E1393">
        <v>0</v>
      </c>
    </row>
    <row r="1394" spans="1:5">
      <c r="A1394">
        <v>13540</v>
      </c>
      <c r="B1394">
        <v>1830197</v>
      </c>
      <c r="C1394" s="5">
        <v>46056</v>
      </c>
      <c r="D1394" t="s">
        <v>458</v>
      </c>
      <c r="E1394">
        <v>0</v>
      </c>
    </row>
    <row r="1395" spans="1:5">
      <c r="A1395">
        <v>13541</v>
      </c>
      <c r="B1395">
        <v>1830197</v>
      </c>
      <c r="C1395" s="5">
        <v>46056</v>
      </c>
      <c r="D1395" t="s">
        <v>458</v>
      </c>
      <c r="E1395">
        <v>0</v>
      </c>
    </row>
    <row r="1396" spans="1:5">
      <c r="A1396">
        <v>13542</v>
      </c>
      <c r="B1396">
        <v>1830197</v>
      </c>
      <c r="C1396" s="5">
        <v>46056</v>
      </c>
      <c r="D1396" t="s">
        <v>458</v>
      </c>
      <c r="E1396">
        <v>0</v>
      </c>
    </row>
    <row r="1397" spans="1:5">
      <c r="A1397">
        <v>13837</v>
      </c>
      <c r="B1397">
        <v>1830197</v>
      </c>
      <c r="C1397" s="5">
        <v>46056</v>
      </c>
      <c r="D1397" t="s">
        <v>458</v>
      </c>
      <c r="E1397">
        <v>0</v>
      </c>
    </row>
    <row r="1398" spans="1:5">
      <c r="A1398">
        <v>13874</v>
      </c>
      <c r="B1398">
        <v>1830197</v>
      </c>
      <c r="C1398" s="5">
        <v>46056</v>
      </c>
      <c r="D1398" t="s">
        <v>458</v>
      </c>
      <c r="E1398">
        <v>0</v>
      </c>
    </row>
    <row r="1399" spans="1:5">
      <c r="A1399">
        <v>14069</v>
      </c>
      <c r="B1399">
        <v>1830197</v>
      </c>
      <c r="C1399" s="5">
        <v>46056</v>
      </c>
      <c r="D1399" t="s">
        <v>458</v>
      </c>
      <c r="E1399">
        <v>0</v>
      </c>
    </row>
    <row r="1400" spans="1:5">
      <c r="A1400">
        <v>14165</v>
      </c>
      <c r="B1400">
        <v>1830197</v>
      </c>
      <c r="C1400" s="5">
        <v>46056</v>
      </c>
      <c r="D1400" t="s">
        <v>458</v>
      </c>
      <c r="E1400">
        <v>121</v>
      </c>
    </row>
    <row r="1401" spans="1:5">
      <c r="A1401">
        <v>14186</v>
      </c>
      <c r="B1401">
        <v>1830197</v>
      </c>
      <c r="C1401" s="5">
        <v>46056</v>
      </c>
      <c r="D1401" t="s">
        <v>458</v>
      </c>
      <c r="E1401">
        <v>0</v>
      </c>
    </row>
    <row r="1402" spans="1:5">
      <c r="A1402">
        <v>14198</v>
      </c>
      <c r="B1402">
        <v>1830197</v>
      </c>
      <c r="C1402" s="5">
        <v>46056</v>
      </c>
      <c r="D1402" t="s">
        <v>458</v>
      </c>
      <c r="E1402">
        <v>3</v>
      </c>
    </row>
    <row r="1403" spans="1:5">
      <c r="A1403">
        <v>14265</v>
      </c>
      <c r="B1403">
        <v>1830197</v>
      </c>
      <c r="C1403" s="5">
        <v>46056</v>
      </c>
      <c r="D1403" t="s">
        <v>458</v>
      </c>
      <c r="E1403">
        <v>0</v>
      </c>
    </row>
    <row r="1404" spans="1:5">
      <c r="A1404">
        <v>14410</v>
      </c>
      <c r="B1404">
        <v>1830197</v>
      </c>
      <c r="C1404" s="5">
        <v>46056</v>
      </c>
      <c r="D1404" t="s">
        <v>458</v>
      </c>
      <c r="E1404">
        <v>0</v>
      </c>
    </row>
    <row r="1405" spans="1:5">
      <c r="A1405">
        <v>14430</v>
      </c>
      <c r="B1405">
        <v>1830197</v>
      </c>
      <c r="C1405" s="5">
        <v>46056</v>
      </c>
      <c r="D1405" t="s">
        <v>458</v>
      </c>
      <c r="E1405">
        <v>0.1</v>
      </c>
    </row>
    <row r="1406" spans="1:5">
      <c r="A1406">
        <v>14540</v>
      </c>
      <c r="B1406">
        <v>1830197</v>
      </c>
      <c r="C1406" s="5">
        <v>46056</v>
      </c>
      <c r="D1406" t="s">
        <v>458</v>
      </c>
      <c r="E1406">
        <v>0</v>
      </c>
    </row>
    <row r="1407" spans="1:5">
      <c r="A1407">
        <v>14587</v>
      </c>
      <c r="B1407">
        <v>1830197</v>
      </c>
      <c r="C1407" s="5">
        <v>46056</v>
      </c>
      <c r="D1407" t="s">
        <v>458</v>
      </c>
      <c r="E1407">
        <v>0</v>
      </c>
    </row>
    <row r="1408" spans="1:5">
      <c r="A1408">
        <v>14707</v>
      </c>
      <c r="B1408">
        <v>1830197</v>
      </c>
      <c r="C1408" s="5">
        <v>46056</v>
      </c>
      <c r="D1408" t="s">
        <v>458</v>
      </c>
      <c r="E1408">
        <v>0</v>
      </c>
    </row>
    <row r="1409" spans="1:5">
      <c r="A1409">
        <v>14752</v>
      </c>
      <c r="B1409">
        <v>1830197</v>
      </c>
      <c r="C1409" s="5">
        <v>46056</v>
      </c>
      <c r="D1409" t="s">
        <v>458</v>
      </c>
      <c r="E1409">
        <v>0</v>
      </c>
    </row>
    <row r="1410" spans="1:5">
      <c r="A1410">
        <v>14838</v>
      </c>
      <c r="B1410">
        <v>1830197</v>
      </c>
      <c r="C1410" s="5">
        <v>46056</v>
      </c>
      <c r="D1410" t="s">
        <v>458</v>
      </c>
      <c r="E1410">
        <v>0</v>
      </c>
    </row>
    <row r="1411" spans="1:5">
      <c r="A1411">
        <v>15065</v>
      </c>
      <c r="B1411">
        <v>1830197</v>
      </c>
      <c r="C1411" s="5">
        <v>46056</v>
      </c>
      <c r="D1411" t="s">
        <v>458</v>
      </c>
      <c r="E1411">
        <v>0</v>
      </c>
    </row>
    <row r="1412" spans="1:5">
      <c r="A1412">
        <v>15114</v>
      </c>
      <c r="B1412">
        <v>1830197</v>
      </c>
      <c r="C1412" s="5">
        <v>46056</v>
      </c>
      <c r="D1412" t="s">
        <v>458</v>
      </c>
      <c r="E1412">
        <v>0</v>
      </c>
    </row>
    <row r="1413" spans="1:5">
      <c r="A1413">
        <v>15196</v>
      </c>
      <c r="B1413">
        <v>1830197</v>
      </c>
      <c r="C1413" s="5">
        <v>46056</v>
      </c>
      <c r="D1413" t="s">
        <v>458</v>
      </c>
      <c r="E1413">
        <v>0</v>
      </c>
    </row>
    <row r="1414" spans="1:5">
      <c r="A1414">
        <v>15306</v>
      </c>
      <c r="B1414">
        <v>1830197</v>
      </c>
      <c r="C1414" s="5">
        <v>46056</v>
      </c>
      <c r="D1414" t="s">
        <v>458</v>
      </c>
      <c r="E1414">
        <v>0</v>
      </c>
    </row>
    <row r="1415" spans="1:5">
      <c r="A1415">
        <v>15339</v>
      </c>
      <c r="B1415">
        <v>1830197</v>
      </c>
      <c r="C1415" s="5">
        <v>46056</v>
      </c>
      <c r="D1415" t="s">
        <v>458</v>
      </c>
      <c r="E1415">
        <v>0</v>
      </c>
    </row>
    <row r="1416" spans="1:5">
      <c r="A1416">
        <v>15394</v>
      </c>
      <c r="B1416">
        <v>1830197</v>
      </c>
      <c r="C1416" s="5">
        <v>46056</v>
      </c>
      <c r="D1416" t="s">
        <v>458</v>
      </c>
      <c r="E1416">
        <v>0</v>
      </c>
    </row>
    <row r="1417" spans="1:5">
      <c r="A1417">
        <v>15395</v>
      </c>
      <c r="B1417">
        <v>1830197</v>
      </c>
      <c r="C1417" s="5">
        <v>46056</v>
      </c>
      <c r="D1417" t="s">
        <v>458</v>
      </c>
      <c r="E1417">
        <v>0</v>
      </c>
    </row>
    <row r="1418" spans="1:5">
      <c r="A1418">
        <v>15652</v>
      </c>
      <c r="B1418">
        <v>1830197</v>
      </c>
      <c r="C1418" s="5">
        <v>46056</v>
      </c>
      <c r="D1418" t="s">
        <v>458</v>
      </c>
      <c r="E1418">
        <v>0</v>
      </c>
    </row>
    <row r="1419" spans="1:5">
      <c r="A1419">
        <v>15653</v>
      </c>
      <c r="B1419">
        <v>1830197</v>
      </c>
      <c r="C1419" s="5">
        <v>46056</v>
      </c>
      <c r="D1419" t="s">
        <v>458</v>
      </c>
      <c r="E1419">
        <v>0</v>
      </c>
    </row>
    <row r="1420" spans="1:5">
      <c r="A1420">
        <v>15678</v>
      </c>
      <c r="B1420">
        <v>1830197</v>
      </c>
      <c r="C1420" s="5">
        <v>46056</v>
      </c>
      <c r="D1420" t="s">
        <v>458</v>
      </c>
      <c r="E1420">
        <v>26</v>
      </c>
    </row>
    <row r="1421" spans="1:5">
      <c r="A1421">
        <v>15825</v>
      </c>
      <c r="B1421">
        <v>1830197</v>
      </c>
      <c r="C1421" s="5">
        <v>46056</v>
      </c>
      <c r="D1421" t="s">
        <v>458</v>
      </c>
      <c r="E1421">
        <v>6</v>
      </c>
    </row>
    <row r="1422" spans="1:5">
      <c r="A1422">
        <v>15982</v>
      </c>
      <c r="B1422">
        <v>1830197</v>
      </c>
      <c r="C1422" s="5">
        <v>46056</v>
      </c>
      <c r="D1422" t="s">
        <v>458</v>
      </c>
      <c r="E1422">
        <v>2</v>
      </c>
    </row>
    <row r="1423" spans="1:5">
      <c r="A1423">
        <v>16033</v>
      </c>
      <c r="B1423">
        <v>1830197</v>
      </c>
      <c r="C1423" s="5">
        <v>46056</v>
      </c>
      <c r="D1423" t="s">
        <v>458</v>
      </c>
      <c r="E1423">
        <v>0</v>
      </c>
    </row>
    <row r="1424" spans="1:5">
      <c r="A1424">
        <v>16045</v>
      </c>
      <c r="B1424">
        <v>1830197</v>
      </c>
      <c r="C1424" s="5">
        <v>46056</v>
      </c>
      <c r="D1424" t="s">
        <v>458</v>
      </c>
      <c r="E1424">
        <v>0</v>
      </c>
    </row>
    <row r="1425" spans="1:5">
      <c r="A1425">
        <v>16381</v>
      </c>
      <c r="B1425">
        <v>1830197</v>
      </c>
      <c r="C1425" s="5">
        <v>46056</v>
      </c>
      <c r="D1425" t="s">
        <v>458</v>
      </c>
      <c r="E1425">
        <v>0</v>
      </c>
    </row>
    <row r="1426" spans="1:5">
      <c r="A1426">
        <v>16387</v>
      </c>
      <c r="B1426">
        <v>1830197</v>
      </c>
      <c r="C1426" s="5">
        <v>46056</v>
      </c>
      <c r="D1426" t="s">
        <v>458</v>
      </c>
      <c r="E1426">
        <v>6</v>
      </c>
    </row>
    <row r="1427" spans="1:5">
      <c r="A1427">
        <v>16564</v>
      </c>
      <c r="B1427">
        <v>1830197</v>
      </c>
      <c r="C1427" s="5">
        <v>46056</v>
      </c>
      <c r="D1427" t="s">
        <v>458</v>
      </c>
      <c r="E1427">
        <v>0</v>
      </c>
    </row>
    <row r="1428" spans="1:5">
      <c r="A1428">
        <v>16565</v>
      </c>
      <c r="B1428">
        <v>1830197</v>
      </c>
      <c r="C1428" s="5">
        <v>46056</v>
      </c>
      <c r="D1428" t="s">
        <v>458</v>
      </c>
      <c r="E1428">
        <v>0</v>
      </c>
    </row>
    <row r="1429" spans="1:5">
      <c r="A1429">
        <v>16569</v>
      </c>
      <c r="B1429">
        <v>1830197</v>
      </c>
      <c r="C1429" s="5">
        <v>46056</v>
      </c>
      <c r="D1429" t="s">
        <v>458</v>
      </c>
      <c r="E1429">
        <v>0</v>
      </c>
    </row>
    <row r="1430" spans="1:5">
      <c r="A1430">
        <v>17091</v>
      </c>
      <c r="B1430">
        <v>1830197</v>
      </c>
      <c r="C1430" s="5">
        <v>46056</v>
      </c>
      <c r="D1430" t="s">
        <v>458</v>
      </c>
      <c r="E1430">
        <v>0</v>
      </c>
    </row>
    <row r="1431" spans="1:5">
      <c r="A1431">
        <v>17113</v>
      </c>
      <c r="B1431">
        <v>1830197</v>
      </c>
      <c r="C1431" s="5">
        <v>46056</v>
      </c>
      <c r="D1431" t="s">
        <v>458</v>
      </c>
      <c r="E1431">
        <v>0</v>
      </c>
    </row>
    <row r="1432" spans="1:5">
      <c r="A1432">
        <v>17362</v>
      </c>
      <c r="B1432">
        <v>1830197</v>
      </c>
      <c r="C1432" s="5">
        <v>46056</v>
      </c>
      <c r="D1432" t="s">
        <v>458</v>
      </c>
      <c r="E1432">
        <v>0</v>
      </c>
    </row>
    <row r="1433" spans="1:5">
      <c r="A1433">
        <v>17363</v>
      </c>
      <c r="B1433">
        <v>1830197</v>
      </c>
      <c r="C1433" s="5">
        <v>46056</v>
      </c>
      <c r="D1433" t="s">
        <v>458</v>
      </c>
      <c r="E1433">
        <v>1</v>
      </c>
    </row>
    <row r="1434" spans="1:5">
      <c r="A1434">
        <v>17383</v>
      </c>
      <c r="B1434">
        <v>1830197</v>
      </c>
      <c r="C1434" s="5">
        <v>46056</v>
      </c>
      <c r="D1434" t="s">
        <v>458</v>
      </c>
      <c r="E1434">
        <v>0</v>
      </c>
    </row>
    <row r="1435" spans="1:5">
      <c r="A1435">
        <v>17384</v>
      </c>
      <c r="B1435">
        <v>1830197</v>
      </c>
      <c r="C1435" s="5">
        <v>46056</v>
      </c>
      <c r="D1435" t="s">
        <v>458</v>
      </c>
      <c r="E1435">
        <v>0</v>
      </c>
    </row>
    <row r="1436" spans="1:5">
      <c r="A1436">
        <v>17385</v>
      </c>
      <c r="B1436">
        <v>1830197</v>
      </c>
      <c r="C1436" s="5">
        <v>46056</v>
      </c>
      <c r="D1436" t="s">
        <v>458</v>
      </c>
      <c r="E1436">
        <v>0</v>
      </c>
    </row>
    <row r="1437" spans="1:5">
      <c r="A1437">
        <v>17482</v>
      </c>
      <c r="B1437">
        <v>1830197</v>
      </c>
      <c r="C1437" s="5">
        <v>46056</v>
      </c>
      <c r="D1437" t="s">
        <v>458</v>
      </c>
      <c r="E1437">
        <v>0</v>
      </c>
    </row>
    <row r="1438" spans="1:5">
      <c r="A1438">
        <v>17515</v>
      </c>
      <c r="B1438">
        <v>1830197</v>
      </c>
      <c r="C1438" s="5">
        <v>46056</v>
      </c>
      <c r="D1438" t="s">
        <v>458</v>
      </c>
      <c r="E1438">
        <v>4</v>
      </c>
    </row>
    <row r="1439" spans="1:5">
      <c r="A1439">
        <v>17581</v>
      </c>
      <c r="B1439">
        <v>1830197</v>
      </c>
      <c r="C1439" s="5">
        <v>46056</v>
      </c>
      <c r="D1439" t="s">
        <v>458</v>
      </c>
      <c r="E1439">
        <v>91</v>
      </c>
    </row>
    <row r="1440" spans="1:5">
      <c r="A1440">
        <v>17588</v>
      </c>
      <c r="B1440">
        <v>1830197</v>
      </c>
      <c r="C1440" s="5">
        <v>46056</v>
      </c>
      <c r="D1440" t="s">
        <v>458</v>
      </c>
      <c r="E1440">
        <v>0</v>
      </c>
    </row>
    <row r="1441" spans="1:5">
      <c r="A1441">
        <v>17639</v>
      </c>
      <c r="B1441">
        <v>1830197</v>
      </c>
      <c r="C1441" s="5">
        <v>46056</v>
      </c>
      <c r="D1441" t="s">
        <v>458</v>
      </c>
      <c r="E1441">
        <v>0</v>
      </c>
    </row>
    <row r="1442" spans="1:5">
      <c r="A1442">
        <v>17771</v>
      </c>
      <c r="B1442">
        <v>1830197</v>
      </c>
      <c r="C1442" s="5">
        <v>46056</v>
      </c>
      <c r="D1442" t="s">
        <v>458</v>
      </c>
      <c r="E1442">
        <v>-0.1</v>
      </c>
    </row>
    <row r="1443" spans="1:5">
      <c r="A1443">
        <v>17774</v>
      </c>
      <c r="B1443">
        <v>1830197</v>
      </c>
      <c r="C1443" s="5">
        <v>46056</v>
      </c>
      <c r="D1443" t="s">
        <v>458</v>
      </c>
      <c r="E1443">
        <v>0</v>
      </c>
    </row>
    <row r="1444" spans="1:5">
      <c r="A1444">
        <v>17775</v>
      </c>
      <c r="B1444">
        <v>1830197</v>
      </c>
      <c r="C1444" s="5">
        <v>46056</v>
      </c>
      <c r="D1444" t="s">
        <v>458</v>
      </c>
      <c r="E1444">
        <v>0</v>
      </c>
    </row>
    <row r="1445" spans="1:5">
      <c r="A1445">
        <v>17849</v>
      </c>
      <c r="B1445">
        <v>1830197</v>
      </c>
      <c r="C1445" s="5">
        <v>46056</v>
      </c>
      <c r="D1445" t="s">
        <v>458</v>
      </c>
      <c r="E1445">
        <v>0</v>
      </c>
    </row>
    <row r="1446" spans="1:5">
      <c r="A1446">
        <v>17947</v>
      </c>
      <c r="B1446">
        <v>1830197</v>
      </c>
      <c r="C1446" s="5">
        <v>46056</v>
      </c>
      <c r="D1446" t="s">
        <v>458</v>
      </c>
      <c r="E1446">
        <v>0</v>
      </c>
    </row>
    <row r="1447" spans="1:5">
      <c r="A1447">
        <v>18087</v>
      </c>
      <c r="B1447">
        <v>1830197</v>
      </c>
      <c r="C1447" s="5">
        <v>46056</v>
      </c>
      <c r="D1447" t="s">
        <v>458</v>
      </c>
      <c r="E1447">
        <v>0</v>
      </c>
    </row>
    <row r="1448" spans="1:5">
      <c r="A1448">
        <v>18088</v>
      </c>
      <c r="B1448">
        <v>1830197</v>
      </c>
      <c r="C1448" s="5">
        <v>46056</v>
      </c>
      <c r="D1448" t="s">
        <v>458</v>
      </c>
      <c r="E1448">
        <v>0</v>
      </c>
    </row>
    <row r="1449" spans="1:5">
      <c r="A1449">
        <v>18161</v>
      </c>
      <c r="B1449">
        <v>1830197</v>
      </c>
      <c r="C1449" s="5">
        <v>46056</v>
      </c>
      <c r="D1449" t="s">
        <v>458</v>
      </c>
      <c r="E1449">
        <v>0</v>
      </c>
    </row>
    <row r="1450" spans="1:5">
      <c r="A1450">
        <v>18229</v>
      </c>
      <c r="B1450">
        <v>1830197</v>
      </c>
      <c r="C1450" s="5">
        <v>46056</v>
      </c>
      <c r="D1450" t="s">
        <v>458</v>
      </c>
      <c r="E1450">
        <v>0</v>
      </c>
    </row>
    <row r="1451" spans="1:5">
      <c r="A1451">
        <v>18309</v>
      </c>
      <c r="B1451">
        <v>1830197</v>
      </c>
      <c r="C1451" s="5">
        <v>46056</v>
      </c>
      <c r="D1451" t="s">
        <v>458</v>
      </c>
      <c r="E1451">
        <v>0</v>
      </c>
    </row>
    <row r="1452" spans="1:5">
      <c r="A1452">
        <v>18310</v>
      </c>
      <c r="B1452">
        <v>1830197</v>
      </c>
      <c r="C1452" s="5">
        <v>46056</v>
      </c>
      <c r="D1452" t="s">
        <v>458</v>
      </c>
      <c r="E1452">
        <v>0</v>
      </c>
    </row>
    <row r="1453" spans="1:5">
      <c r="A1453">
        <v>18342</v>
      </c>
      <c r="B1453">
        <v>1830197</v>
      </c>
      <c r="C1453" s="5">
        <v>46056</v>
      </c>
      <c r="D1453" t="s">
        <v>458</v>
      </c>
      <c r="E1453">
        <v>44</v>
      </c>
    </row>
    <row r="1454" spans="1:5">
      <c r="A1454">
        <v>18471</v>
      </c>
      <c r="B1454">
        <v>1830197</v>
      </c>
      <c r="C1454" s="5">
        <v>46056</v>
      </c>
      <c r="D1454" t="s">
        <v>458</v>
      </c>
      <c r="E1454">
        <v>0</v>
      </c>
    </row>
    <row r="1455" spans="1:5">
      <c r="A1455">
        <v>18472</v>
      </c>
      <c r="B1455">
        <v>1830197</v>
      </c>
      <c r="C1455" s="5">
        <v>46056</v>
      </c>
      <c r="D1455" t="s">
        <v>458</v>
      </c>
      <c r="E1455">
        <v>0</v>
      </c>
    </row>
    <row r="1456" spans="1:5">
      <c r="A1456">
        <v>18626</v>
      </c>
      <c r="B1456">
        <v>1830197</v>
      </c>
      <c r="C1456" s="5">
        <v>46056</v>
      </c>
      <c r="D1456" t="s">
        <v>458</v>
      </c>
      <c r="E1456">
        <v>0</v>
      </c>
    </row>
    <row r="1457" spans="1:5">
      <c r="A1457">
        <v>18640</v>
      </c>
      <c r="B1457">
        <v>1830197</v>
      </c>
      <c r="C1457" s="5">
        <v>46056</v>
      </c>
      <c r="D1457" t="s">
        <v>458</v>
      </c>
      <c r="E1457">
        <v>0</v>
      </c>
    </row>
    <row r="1458" spans="1:5">
      <c r="A1458">
        <v>18649</v>
      </c>
      <c r="B1458">
        <v>1830197</v>
      </c>
      <c r="C1458" s="5">
        <v>46056</v>
      </c>
      <c r="D1458" t="s">
        <v>458</v>
      </c>
      <c r="E1458">
        <v>30</v>
      </c>
    </row>
    <row r="1459" spans="1:5">
      <c r="A1459">
        <v>19050</v>
      </c>
      <c r="B1459">
        <v>1830197</v>
      </c>
      <c r="C1459" s="5">
        <v>46056</v>
      </c>
      <c r="D1459" t="s">
        <v>458</v>
      </c>
      <c r="E1459">
        <v>1</v>
      </c>
    </row>
    <row r="1460" spans="1:5">
      <c r="A1460">
        <v>19051</v>
      </c>
      <c r="B1460">
        <v>1830197</v>
      </c>
      <c r="C1460" s="5">
        <v>46056</v>
      </c>
      <c r="D1460" t="s">
        <v>458</v>
      </c>
      <c r="E1460">
        <v>0</v>
      </c>
    </row>
    <row r="1461" spans="1:5">
      <c r="A1461">
        <v>19060</v>
      </c>
      <c r="B1461">
        <v>1830197</v>
      </c>
      <c r="C1461" s="5">
        <v>46056</v>
      </c>
      <c r="D1461" t="s">
        <v>458</v>
      </c>
      <c r="E1461">
        <v>0</v>
      </c>
    </row>
    <row r="1462" spans="1:5">
      <c r="A1462">
        <v>19235</v>
      </c>
      <c r="B1462">
        <v>1830197</v>
      </c>
      <c r="C1462" s="5">
        <v>46056</v>
      </c>
      <c r="D1462" t="s">
        <v>458</v>
      </c>
      <c r="E1462">
        <v>0</v>
      </c>
    </row>
    <row r="1463" spans="1:5">
      <c r="A1463">
        <v>19236</v>
      </c>
      <c r="B1463">
        <v>1830197</v>
      </c>
      <c r="C1463" s="5">
        <v>46056</v>
      </c>
      <c r="D1463" t="s">
        <v>458</v>
      </c>
      <c r="E1463">
        <v>0</v>
      </c>
    </row>
    <row r="1464" spans="1:5">
      <c r="A1464">
        <v>19346</v>
      </c>
      <c r="B1464">
        <v>1830197</v>
      </c>
      <c r="C1464" s="5">
        <v>46056</v>
      </c>
      <c r="D1464" t="s">
        <v>458</v>
      </c>
      <c r="E1464">
        <v>0</v>
      </c>
    </row>
    <row r="1465" spans="1:5">
      <c r="A1465">
        <v>19500</v>
      </c>
      <c r="B1465">
        <v>1830197</v>
      </c>
      <c r="C1465" s="5">
        <v>46056</v>
      </c>
      <c r="D1465" t="s">
        <v>458</v>
      </c>
      <c r="E1465">
        <v>0</v>
      </c>
    </row>
    <row r="1466" spans="1:5">
      <c r="A1466">
        <v>19541</v>
      </c>
      <c r="B1466">
        <v>1830197</v>
      </c>
      <c r="C1466" s="5">
        <v>46056</v>
      </c>
      <c r="D1466" t="s">
        <v>458</v>
      </c>
      <c r="E1466">
        <v>0</v>
      </c>
    </row>
    <row r="1467" spans="1:5">
      <c r="A1467">
        <v>19670</v>
      </c>
      <c r="B1467">
        <v>1830197</v>
      </c>
      <c r="C1467" s="5">
        <v>46056</v>
      </c>
      <c r="D1467" t="s">
        <v>458</v>
      </c>
      <c r="E1467">
        <v>0</v>
      </c>
    </row>
    <row r="1468" spans="1:5">
      <c r="A1468">
        <v>19701</v>
      </c>
      <c r="B1468">
        <v>1830197</v>
      </c>
      <c r="C1468" s="5">
        <v>46056</v>
      </c>
      <c r="D1468" t="s">
        <v>458</v>
      </c>
      <c r="E1468">
        <v>0</v>
      </c>
    </row>
    <row r="1469" spans="1:5">
      <c r="A1469">
        <v>20091</v>
      </c>
      <c r="B1469">
        <v>1830197</v>
      </c>
      <c r="C1469" s="5">
        <v>46056</v>
      </c>
      <c r="D1469" t="s">
        <v>458</v>
      </c>
      <c r="E1469">
        <v>0.5</v>
      </c>
    </row>
    <row r="1470" spans="1:5">
      <c r="A1470">
        <v>20096</v>
      </c>
      <c r="B1470">
        <v>1830197</v>
      </c>
      <c r="C1470" s="5">
        <v>46056</v>
      </c>
      <c r="D1470" t="s">
        <v>458</v>
      </c>
      <c r="E1470">
        <v>0.02</v>
      </c>
    </row>
    <row r="1471" spans="1:5">
      <c r="A1471">
        <v>20124</v>
      </c>
      <c r="B1471">
        <v>1830197</v>
      </c>
      <c r="C1471" s="5">
        <v>46056</v>
      </c>
      <c r="D1471" t="s">
        <v>458</v>
      </c>
      <c r="E1471">
        <v>7</v>
      </c>
    </row>
    <row r="1472" spans="1:5">
      <c r="A1472">
        <v>20245</v>
      </c>
      <c r="B1472">
        <v>1830197</v>
      </c>
      <c r="C1472" s="5">
        <v>46056</v>
      </c>
      <c r="D1472" t="s">
        <v>458</v>
      </c>
      <c r="E1472">
        <v>0</v>
      </c>
    </row>
    <row r="1473" spans="1:5">
      <c r="A1473">
        <v>22061</v>
      </c>
      <c r="B1473">
        <v>1830197</v>
      </c>
      <c r="C1473" s="5">
        <v>46056</v>
      </c>
      <c r="D1473" t="s">
        <v>458</v>
      </c>
      <c r="E1473">
        <v>0</v>
      </c>
    </row>
    <row r="1474" spans="1:5">
      <c r="A1474">
        <v>22070</v>
      </c>
      <c r="B1474">
        <v>1830197</v>
      </c>
      <c r="C1474" s="5">
        <v>46056</v>
      </c>
      <c r="D1474" t="s">
        <v>458</v>
      </c>
      <c r="E1474">
        <v>0</v>
      </c>
    </row>
    <row r="1475" spans="1:5">
      <c r="A1475">
        <v>22388</v>
      </c>
      <c r="B1475">
        <v>1830197</v>
      </c>
      <c r="C1475" s="5">
        <v>46056</v>
      </c>
      <c r="D1475" t="s">
        <v>458</v>
      </c>
      <c r="E1475">
        <v>20</v>
      </c>
    </row>
    <row r="1476" spans="1:5">
      <c r="A1476">
        <v>23991</v>
      </c>
      <c r="B1476">
        <v>1830197</v>
      </c>
      <c r="C1476" s="5">
        <v>46056</v>
      </c>
      <c r="D1476" t="s">
        <v>458</v>
      </c>
      <c r="E1476">
        <v>-0.97</v>
      </c>
    </row>
    <row r="1477" spans="1:5">
      <c r="A1477">
        <v>24276</v>
      </c>
      <c r="B1477">
        <v>1830197</v>
      </c>
      <c r="C1477" s="5">
        <v>46056</v>
      </c>
      <c r="D1477" t="s">
        <v>458</v>
      </c>
      <c r="E1477">
        <v>0</v>
      </c>
    </row>
    <row r="1478" spans="1:5">
      <c r="A1478">
        <v>24737</v>
      </c>
      <c r="B1478">
        <v>1830197</v>
      </c>
      <c r="C1478" s="5">
        <v>46056</v>
      </c>
      <c r="D1478" t="s">
        <v>458</v>
      </c>
      <c r="E1478">
        <v>0</v>
      </c>
    </row>
    <row r="1479" spans="1:5">
      <c r="A1479">
        <v>24738</v>
      </c>
      <c r="B1479">
        <v>1830197</v>
      </c>
      <c r="C1479" s="5">
        <v>46056</v>
      </c>
      <c r="D1479" t="s">
        <v>458</v>
      </c>
      <c r="E1479">
        <v>0</v>
      </c>
    </row>
    <row r="1480" spans="1:5">
      <c r="A1480">
        <v>30139</v>
      </c>
      <c r="B1480">
        <v>1830197</v>
      </c>
      <c r="C1480" s="5">
        <v>46056</v>
      </c>
      <c r="D1480" t="s">
        <v>458</v>
      </c>
      <c r="E1480">
        <v>3</v>
      </c>
    </row>
    <row r="1481" spans="1:5">
      <c r="A1481">
        <v>30140</v>
      </c>
      <c r="B1481">
        <v>1830197</v>
      </c>
      <c r="C1481" s="5">
        <v>46056</v>
      </c>
      <c r="D1481" t="s">
        <v>458</v>
      </c>
      <c r="E1481">
        <v>1</v>
      </c>
    </row>
    <row r="1482" spans="1:5">
      <c r="A1482">
        <v>30154</v>
      </c>
      <c r="B1482">
        <v>1830197</v>
      </c>
      <c r="C1482" s="5">
        <v>46056</v>
      </c>
      <c r="D1482" t="s">
        <v>458</v>
      </c>
      <c r="E1482">
        <v>0.3</v>
      </c>
    </row>
    <row r="1483" spans="1:5">
      <c r="A1483">
        <v>34120</v>
      </c>
      <c r="B1483">
        <v>1830197</v>
      </c>
      <c r="C1483" s="5">
        <v>46056</v>
      </c>
      <c r="D1483" t="s">
        <v>458</v>
      </c>
      <c r="E1483">
        <v>0</v>
      </c>
    </row>
    <row r="1484" spans="1:5">
      <c r="A1484">
        <v>36055</v>
      </c>
      <c r="B1484">
        <v>1830197</v>
      </c>
      <c r="C1484" s="5">
        <v>46056</v>
      </c>
      <c r="D1484" t="s">
        <v>458</v>
      </c>
      <c r="E1484">
        <v>0</v>
      </c>
    </row>
    <row r="1485" spans="1:5">
      <c r="A1485">
        <v>36061</v>
      </c>
      <c r="B1485">
        <v>1830197</v>
      </c>
      <c r="C1485" s="5">
        <v>46056</v>
      </c>
      <c r="D1485" t="s">
        <v>458</v>
      </c>
      <c r="E1485">
        <v>0</v>
      </c>
    </row>
    <row r="1486" spans="1:5">
      <c r="A1486">
        <v>37089</v>
      </c>
      <c r="B1486">
        <v>1830197</v>
      </c>
      <c r="C1486" s="5">
        <v>46056</v>
      </c>
      <c r="D1486" t="s">
        <v>458</v>
      </c>
      <c r="E1486">
        <v>0</v>
      </c>
    </row>
    <row r="1487" spans="1:5">
      <c r="A1487">
        <v>39852</v>
      </c>
      <c r="B1487">
        <v>1830197</v>
      </c>
      <c r="C1487" s="5">
        <v>46056</v>
      </c>
      <c r="D1487" t="s">
        <v>458</v>
      </c>
      <c r="E1487">
        <v>0</v>
      </c>
    </row>
    <row r="1488" spans="1:5">
      <c r="A1488">
        <v>40076</v>
      </c>
      <c r="B1488">
        <v>1830197</v>
      </c>
      <c r="C1488" s="5">
        <v>46056</v>
      </c>
      <c r="D1488" t="s">
        <v>458</v>
      </c>
      <c r="E1488">
        <v>258</v>
      </c>
    </row>
    <row r="1489" spans="1:5">
      <c r="A1489">
        <v>40077</v>
      </c>
      <c r="B1489">
        <v>1830197</v>
      </c>
      <c r="C1489" s="5">
        <v>46056</v>
      </c>
      <c r="D1489" t="s">
        <v>458</v>
      </c>
      <c r="E1489">
        <v>15</v>
      </c>
    </row>
    <row r="1490" spans="1:5">
      <c r="A1490">
        <v>40078</v>
      </c>
      <c r="B1490">
        <v>1830197</v>
      </c>
      <c r="C1490" s="5">
        <v>46056</v>
      </c>
      <c r="D1490" t="s">
        <v>458</v>
      </c>
      <c r="E1490">
        <v>2</v>
      </c>
    </row>
    <row r="1491" spans="1:5">
      <c r="A1491">
        <v>40079</v>
      </c>
      <c r="B1491">
        <v>1830197</v>
      </c>
      <c r="C1491" s="5">
        <v>46056</v>
      </c>
      <c r="D1491" t="s">
        <v>458</v>
      </c>
      <c r="E1491">
        <v>0</v>
      </c>
    </row>
    <row r="1492" spans="1:5">
      <c r="A1492">
        <v>45695</v>
      </c>
      <c r="B1492">
        <v>1830197</v>
      </c>
      <c r="C1492" s="5">
        <v>46056</v>
      </c>
      <c r="D1492" t="s">
        <v>458</v>
      </c>
      <c r="E1492">
        <v>20</v>
      </c>
    </row>
    <row r="1493" spans="1:5">
      <c r="A1493">
        <v>80174</v>
      </c>
      <c r="B1493">
        <v>1830197</v>
      </c>
      <c r="C1493" s="5">
        <v>46056</v>
      </c>
      <c r="D1493" t="s">
        <v>458</v>
      </c>
      <c r="E1493">
        <v>0</v>
      </c>
    </row>
    <row r="1494" spans="1:5">
      <c r="A1494">
        <v>84522</v>
      </c>
      <c r="B1494">
        <v>1830197</v>
      </c>
      <c r="C1494" s="5">
        <v>46056</v>
      </c>
      <c r="D1494" t="s">
        <v>458</v>
      </c>
      <c r="E1494">
        <v>3</v>
      </c>
    </row>
    <row r="1495" spans="1:5">
      <c r="A1495">
        <v>84523</v>
      </c>
      <c r="B1495">
        <v>1830197</v>
      </c>
      <c r="C1495" s="5">
        <v>46056</v>
      </c>
      <c r="D1495" t="s">
        <v>458</v>
      </c>
      <c r="E1495">
        <v>2</v>
      </c>
    </row>
    <row r="1496" spans="1:5">
      <c r="A1496">
        <v>87096</v>
      </c>
      <c r="B1496">
        <v>1830197</v>
      </c>
      <c r="C1496" s="5">
        <v>46056</v>
      </c>
      <c r="D1496" t="s">
        <v>458</v>
      </c>
      <c r="E1496">
        <v>0</v>
      </c>
    </row>
    <row r="1497" spans="1:5">
      <c r="A1497">
        <v>87098</v>
      </c>
      <c r="B1497">
        <v>1830197</v>
      </c>
      <c r="C1497" s="5">
        <v>46056</v>
      </c>
      <c r="D1497" t="s">
        <v>458</v>
      </c>
      <c r="E1497">
        <v>3</v>
      </c>
    </row>
    <row r="1498" spans="1:5">
      <c r="A1498">
        <v>91426</v>
      </c>
      <c r="B1498">
        <v>1830197</v>
      </c>
      <c r="C1498" s="5">
        <v>46056</v>
      </c>
      <c r="D1498" t="s">
        <v>458</v>
      </c>
      <c r="E1498">
        <v>0</v>
      </c>
    </row>
    <row r="1499" spans="1:5">
      <c r="A1499">
        <v>91427</v>
      </c>
      <c r="B1499">
        <v>1830197</v>
      </c>
      <c r="C1499" s="5">
        <v>46056</v>
      </c>
      <c r="D1499" t="s">
        <v>458</v>
      </c>
      <c r="E1499">
        <v>0</v>
      </c>
    </row>
    <row r="1500" spans="1:5">
      <c r="A1500">
        <v>91428</v>
      </c>
      <c r="B1500">
        <v>1830197</v>
      </c>
      <c r="C1500" s="5">
        <v>46056</v>
      </c>
      <c r="D1500" t="s">
        <v>458</v>
      </c>
      <c r="E1500">
        <v>0</v>
      </c>
    </row>
    <row r="1501" spans="1:5">
      <c r="A1501">
        <v>91429</v>
      </c>
      <c r="B1501">
        <v>1830197</v>
      </c>
      <c r="C1501" s="5">
        <v>46056</v>
      </c>
      <c r="D1501" t="s">
        <v>458</v>
      </c>
      <c r="E1501">
        <v>0</v>
      </c>
    </row>
    <row r="1502" spans="1:5">
      <c r="A1502">
        <v>91430</v>
      </c>
      <c r="B1502">
        <v>1830197</v>
      </c>
      <c r="C1502" s="5">
        <v>46056</v>
      </c>
      <c r="D1502" t="s">
        <v>458</v>
      </c>
      <c r="E1502">
        <v>0</v>
      </c>
    </row>
    <row r="1503" spans="1:5">
      <c r="A1503">
        <v>91431</v>
      </c>
      <c r="B1503">
        <v>1830197</v>
      </c>
      <c r="C1503" s="5">
        <v>46056</v>
      </c>
      <c r="D1503" t="s">
        <v>458</v>
      </c>
      <c r="E1503">
        <v>0</v>
      </c>
    </row>
    <row r="1504" spans="1:5">
      <c r="A1504">
        <v>91432</v>
      </c>
      <c r="B1504">
        <v>1830197</v>
      </c>
      <c r="C1504" s="5">
        <v>46056</v>
      </c>
      <c r="D1504" t="s">
        <v>458</v>
      </c>
      <c r="E1504">
        <v>0</v>
      </c>
    </row>
    <row r="1505" spans="1:5">
      <c r="A1505">
        <v>91433</v>
      </c>
      <c r="B1505">
        <v>1830197</v>
      </c>
      <c r="C1505" s="5">
        <v>46056</v>
      </c>
      <c r="D1505" t="s">
        <v>458</v>
      </c>
      <c r="E1505">
        <v>0</v>
      </c>
    </row>
    <row r="1506" spans="1:5">
      <c r="A1506">
        <v>92009</v>
      </c>
      <c r="B1506">
        <v>1830197</v>
      </c>
      <c r="C1506" s="5">
        <v>46056</v>
      </c>
      <c r="D1506" t="s">
        <v>458</v>
      </c>
      <c r="E1506">
        <v>0</v>
      </c>
    </row>
    <row r="1507" spans="1:5">
      <c r="A1507">
        <v>92084</v>
      </c>
      <c r="B1507">
        <v>1830197</v>
      </c>
      <c r="C1507" s="5">
        <v>46056</v>
      </c>
      <c r="D1507" t="s">
        <v>458</v>
      </c>
      <c r="E1507">
        <v>0</v>
      </c>
    </row>
    <row r="1508" spans="1:5">
      <c r="A1508">
        <v>93111</v>
      </c>
      <c r="B1508">
        <v>1830197</v>
      </c>
      <c r="C1508" s="5">
        <v>46056</v>
      </c>
      <c r="D1508" t="s">
        <v>458</v>
      </c>
      <c r="E1508">
        <v>0</v>
      </c>
    </row>
    <row r="1509" spans="1:5">
      <c r="A1509">
        <v>94827</v>
      </c>
      <c r="B1509">
        <v>1830197</v>
      </c>
      <c r="C1509" s="5">
        <v>46056</v>
      </c>
      <c r="D1509" t="s">
        <v>458</v>
      </c>
      <c r="E1509">
        <v>0</v>
      </c>
    </row>
    <row r="1510" spans="1:5">
      <c r="A1510">
        <v>94830</v>
      </c>
      <c r="B1510">
        <v>1830197</v>
      </c>
      <c r="C1510" s="5">
        <v>46056</v>
      </c>
      <c r="D1510" t="s">
        <v>458</v>
      </c>
      <c r="E1510">
        <v>0</v>
      </c>
    </row>
    <row r="1511" spans="1:5">
      <c r="A1511">
        <v>94833</v>
      </c>
      <c r="B1511">
        <v>1830197</v>
      </c>
      <c r="C1511" s="5">
        <v>46056</v>
      </c>
      <c r="D1511" t="s">
        <v>458</v>
      </c>
      <c r="E1511">
        <v>0</v>
      </c>
    </row>
    <row r="1512" spans="1:5">
      <c r="A1512">
        <v>94836</v>
      </c>
      <c r="B1512">
        <v>1830197</v>
      </c>
      <c r="C1512" s="5">
        <v>46056</v>
      </c>
      <c r="D1512" t="s">
        <v>458</v>
      </c>
      <c r="E1512">
        <v>0</v>
      </c>
    </row>
    <row r="1513" spans="1:5">
      <c r="A1513">
        <v>94839</v>
      </c>
      <c r="B1513">
        <v>1830197</v>
      </c>
      <c r="C1513" s="5">
        <v>46056</v>
      </c>
      <c r="D1513" t="s">
        <v>458</v>
      </c>
      <c r="E1513">
        <v>0</v>
      </c>
    </row>
    <row r="1514" spans="1:5">
      <c r="A1514">
        <v>94842</v>
      </c>
      <c r="B1514">
        <v>1830197</v>
      </c>
      <c r="C1514" s="5">
        <v>46056</v>
      </c>
      <c r="D1514" t="s">
        <v>458</v>
      </c>
      <c r="E1514">
        <v>0</v>
      </c>
    </row>
    <row r="1515" spans="1:5">
      <c r="A1515">
        <v>94845</v>
      </c>
      <c r="B1515">
        <v>1830197</v>
      </c>
      <c r="C1515" s="5">
        <v>46056</v>
      </c>
      <c r="D1515" t="s">
        <v>458</v>
      </c>
      <c r="E1515">
        <v>0</v>
      </c>
    </row>
    <row r="1516" spans="1:5">
      <c r="A1516">
        <v>94848</v>
      </c>
      <c r="B1516">
        <v>1830197</v>
      </c>
      <c r="C1516" s="5">
        <v>46056</v>
      </c>
      <c r="D1516" t="s">
        <v>458</v>
      </c>
      <c r="E1516">
        <v>0</v>
      </c>
    </row>
    <row r="1517" spans="1:5">
      <c r="A1517">
        <v>94872</v>
      </c>
      <c r="B1517">
        <v>1830197</v>
      </c>
      <c r="C1517" s="5">
        <v>46056</v>
      </c>
      <c r="D1517" t="s">
        <v>458</v>
      </c>
      <c r="E1517">
        <v>0</v>
      </c>
    </row>
    <row r="1518" spans="1:5">
      <c r="A1518">
        <v>99078</v>
      </c>
      <c r="B1518">
        <v>1830197</v>
      </c>
      <c r="C1518" s="5">
        <v>46056</v>
      </c>
      <c r="D1518" t="s">
        <v>458</v>
      </c>
      <c r="E1518">
        <v>0</v>
      </c>
    </row>
    <row r="1519" spans="1:5">
      <c r="A1519">
        <v>99165</v>
      </c>
      <c r="B1519">
        <v>1830197</v>
      </c>
      <c r="C1519" s="5">
        <v>46056</v>
      </c>
      <c r="D1519" t="s">
        <v>458</v>
      </c>
      <c r="E1519">
        <v>0</v>
      </c>
    </row>
    <row r="1520" spans="1:5">
      <c r="A1520">
        <v>99166</v>
      </c>
      <c r="B1520">
        <v>1830197</v>
      </c>
      <c r="C1520" s="5">
        <v>46056</v>
      </c>
      <c r="D1520" t="s">
        <v>458</v>
      </c>
      <c r="E1520">
        <v>0</v>
      </c>
    </row>
    <row r="1521" spans="1:5">
      <c r="A1521">
        <v>99168</v>
      </c>
      <c r="B1521">
        <v>1830197</v>
      </c>
      <c r="C1521" s="5">
        <v>46056</v>
      </c>
      <c r="D1521" t="s">
        <v>458</v>
      </c>
      <c r="E1521">
        <v>0</v>
      </c>
    </row>
    <row r="1522" spans="1:5">
      <c r="A1522">
        <v>99169</v>
      </c>
      <c r="B1522">
        <v>1830197</v>
      </c>
      <c r="C1522" s="5">
        <v>46056</v>
      </c>
      <c r="D1522" t="s">
        <v>458</v>
      </c>
      <c r="E1522">
        <v>0</v>
      </c>
    </row>
    <row r="1523" spans="1:5">
      <c r="A1523">
        <v>99170</v>
      </c>
      <c r="B1523">
        <v>1830197</v>
      </c>
      <c r="C1523" s="5">
        <v>46056</v>
      </c>
      <c r="D1523" t="s">
        <v>458</v>
      </c>
      <c r="E1523">
        <v>0</v>
      </c>
    </row>
    <row r="1524" spans="1:5">
      <c r="A1524">
        <v>99216</v>
      </c>
      <c r="B1524">
        <v>1830197</v>
      </c>
      <c r="C1524" s="5">
        <v>46056</v>
      </c>
      <c r="D1524" t="s">
        <v>458</v>
      </c>
      <c r="E1524">
        <v>0</v>
      </c>
    </row>
    <row r="1525" spans="1:5">
      <c r="A1525">
        <v>99249</v>
      </c>
      <c r="B1525">
        <v>1830197</v>
      </c>
      <c r="C1525" s="5">
        <v>46056</v>
      </c>
      <c r="D1525" t="s">
        <v>458</v>
      </c>
      <c r="E1525">
        <v>0</v>
      </c>
    </row>
    <row r="1526" spans="1:5">
      <c r="A1526">
        <v>99305</v>
      </c>
      <c r="B1526">
        <v>1830197</v>
      </c>
      <c r="C1526" s="5">
        <v>46056</v>
      </c>
      <c r="D1526" t="s">
        <v>458</v>
      </c>
      <c r="E1526">
        <v>0</v>
      </c>
    </row>
    <row r="1527" spans="1:5">
      <c r="A1527">
        <v>99378</v>
      </c>
      <c r="B1527">
        <v>1830197</v>
      </c>
      <c r="C1527" s="5">
        <v>46056</v>
      </c>
      <c r="D1527" t="s">
        <v>458</v>
      </c>
      <c r="E1527">
        <v>0.1</v>
      </c>
    </row>
    <row r="1528" spans="1:5">
      <c r="A1528">
        <v>99422</v>
      </c>
      <c r="B1528">
        <v>1830197</v>
      </c>
      <c r="C1528" s="5">
        <v>46056</v>
      </c>
      <c r="D1528" t="s">
        <v>458</v>
      </c>
      <c r="E1528">
        <v>0</v>
      </c>
    </row>
    <row r="1529" spans="1:5">
      <c r="A1529">
        <v>99903</v>
      </c>
      <c r="B1529">
        <v>1830197</v>
      </c>
      <c r="C1529" s="5">
        <v>46056</v>
      </c>
      <c r="D1529" t="s">
        <v>458</v>
      </c>
      <c r="E1529">
        <v>0</v>
      </c>
    </row>
    <row r="1530" spans="1:5">
      <c r="A1530">
        <v>99906</v>
      </c>
      <c r="B1530">
        <v>1830197</v>
      </c>
      <c r="C1530" s="5">
        <v>46056</v>
      </c>
      <c r="D1530" t="s">
        <v>458</v>
      </c>
      <c r="E1530">
        <v>5</v>
      </c>
    </row>
    <row r="1531" spans="1:5">
      <c r="A1531">
        <v>99907</v>
      </c>
      <c r="B1531">
        <v>1830197</v>
      </c>
      <c r="C1531" s="5">
        <v>46056</v>
      </c>
      <c r="D1531" t="s">
        <v>458</v>
      </c>
      <c r="E1531">
        <v>8</v>
      </c>
    </row>
    <row r="1532" spans="1:5">
      <c r="A1532">
        <v>99908</v>
      </c>
      <c r="B1532">
        <v>1830197</v>
      </c>
      <c r="C1532" s="5">
        <v>46056</v>
      </c>
      <c r="D1532" t="s">
        <v>458</v>
      </c>
      <c r="E1532">
        <v>0</v>
      </c>
    </row>
    <row r="1533" spans="1:5">
      <c r="A1533">
        <v>99912</v>
      </c>
      <c r="B1533">
        <v>1830197</v>
      </c>
      <c r="C1533" s="5">
        <v>46056</v>
      </c>
      <c r="D1533" t="s">
        <v>458</v>
      </c>
      <c r="E1533">
        <v>0</v>
      </c>
    </row>
    <row r="1534" spans="1:5">
      <c r="A1534">
        <v>99913</v>
      </c>
      <c r="B1534">
        <v>1830197</v>
      </c>
      <c r="C1534" s="5">
        <v>46056</v>
      </c>
      <c r="D1534" t="s">
        <v>458</v>
      </c>
      <c r="E1534">
        <v>0</v>
      </c>
    </row>
    <row r="1535" spans="1:5">
      <c r="A1535">
        <v>99914</v>
      </c>
      <c r="B1535">
        <v>1830197</v>
      </c>
      <c r="C1535" s="5">
        <v>46056</v>
      </c>
      <c r="D1535" t="s">
        <v>458</v>
      </c>
      <c r="E1535">
        <v>4</v>
      </c>
    </row>
    <row r="1536" spans="1:5">
      <c r="A1536">
        <v>99915</v>
      </c>
      <c r="B1536">
        <v>1830197</v>
      </c>
      <c r="C1536" s="5">
        <v>46056</v>
      </c>
      <c r="D1536" t="s">
        <v>458</v>
      </c>
      <c r="E1536">
        <v>0</v>
      </c>
    </row>
    <row r="1537" spans="1:5">
      <c r="A1537">
        <v>99916</v>
      </c>
      <c r="B1537">
        <v>1830197</v>
      </c>
      <c r="C1537" s="5">
        <v>46056</v>
      </c>
      <c r="D1537" t="s">
        <v>458</v>
      </c>
      <c r="E1537">
        <v>2</v>
      </c>
    </row>
    <row r="1538" spans="1:5">
      <c r="A1538">
        <v>99917</v>
      </c>
      <c r="B1538">
        <v>1830197</v>
      </c>
      <c r="C1538" s="5">
        <v>46056</v>
      </c>
      <c r="D1538" t="s">
        <v>458</v>
      </c>
      <c r="E1538">
        <v>0</v>
      </c>
    </row>
    <row r="1539" spans="1:5">
      <c r="A1539">
        <v>99920</v>
      </c>
      <c r="B1539">
        <v>1830197</v>
      </c>
      <c r="C1539" s="5">
        <v>46056</v>
      </c>
      <c r="D1539" t="s">
        <v>458</v>
      </c>
      <c r="E1539">
        <v>0</v>
      </c>
    </row>
    <row r="1540" spans="1:5">
      <c r="A1540">
        <v>99929</v>
      </c>
      <c r="B1540">
        <v>1830197</v>
      </c>
      <c r="C1540" s="5">
        <v>46056</v>
      </c>
      <c r="D1540" t="s">
        <v>458</v>
      </c>
      <c r="E1540">
        <v>0</v>
      </c>
    </row>
    <row r="1541" spans="1:5">
      <c r="A1541">
        <v>99931</v>
      </c>
      <c r="B1541">
        <v>1830197</v>
      </c>
      <c r="C1541" s="5">
        <v>46056</v>
      </c>
      <c r="D1541" t="s">
        <v>458</v>
      </c>
      <c r="E1541">
        <v>0</v>
      </c>
    </row>
    <row r="1542" spans="1:5">
      <c r="A1542">
        <v>99932</v>
      </c>
      <c r="B1542">
        <v>1830197</v>
      </c>
      <c r="C1542" s="5">
        <v>46056</v>
      </c>
      <c r="D1542" t="s">
        <v>458</v>
      </c>
      <c r="E1542">
        <v>0</v>
      </c>
    </row>
    <row r="1543" spans="1:5">
      <c r="A1543">
        <v>99946</v>
      </c>
      <c r="B1543">
        <v>1830197</v>
      </c>
      <c r="C1543" s="5">
        <v>46056</v>
      </c>
      <c r="D1543" t="s">
        <v>458</v>
      </c>
      <c r="E1543">
        <v>0</v>
      </c>
    </row>
    <row r="1544" spans="1:5">
      <c r="A1544">
        <v>99967</v>
      </c>
      <c r="B1544">
        <v>1830197</v>
      </c>
      <c r="C1544" s="5">
        <v>46056</v>
      </c>
      <c r="D1544" t="s">
        <v>458</v>
      </c>
      <c r="E1544">
        <v>0</v>
      </c>
    </row>
    <row r="1545" spans="1:5">
      <c r="A1545">
        <v>99968</v>
      </c>
      <c r="B1545">
        <v>1830197</v>
      </c>
      <c r="C1545" s="5">
        <v>46056</v>
      </c>
      <c r="D1545" t="s">
        <v>458</v>
      </c>
      <c r="E1545">
        <v>0</v>
      </c>
    </row>
    <row r="1546" spans="1:5">
      <c r="A1546">
        <v>99969</v>
      </c>
      <c r="B1546">
        <v>1830197</v>
      </c>
      <c r="C1546" s="5">
        <v>46056</v>
      </c>
      <c r="D1546" t="s">
        <v>458</v>
      </c>
      <c r="E1546">
        <v>0</v>
      </c>
    </row>
    <row r="1547" spans="1:5">
      <c r="A1547">
        <v>99970</v>
      </c>
      <c r="B1547">
        <v>1830197</v>
      </c>
      <c r="C1547" s="5">
        <v>46056</v>
      </c>
      <c r="D1547" t="s">
        <v>458</v>
      </c>
      <c r="E1547">
        <v>1</v>
      </c>
    </row>
    <row r="1548" spans="1:5">
      <c r="A1548">
        <v>99971</v>
      </c>
      <c r="B1548">
        <v>1830197</v>
      </c>
      <c r="C1548" s="5">
        <v>46056</v>
      </c>
      <c r="D1548" t="s">
        <v>458</v>
      </c>
      <c r="E1548">
        <v>4</v>
      </c>
    </row>
    <row r="1549" spans="1:5">
      <c r="A1549">
        <v>99972</v>
      </c>
      <c r="B1549">
        <v>1830197</v>
      </c>
      <c r="C1549" s="5">
        <v>46056</v>
      </c>
      <c r="D1549" t="s">
        <v>458</v>
      </c>
      <c r="E1549">
        <v>0</v>
      </c>
    </row>
    <row r="1550" spans="1:5">
      <c r="A1550">
        <v>99973</v>
      </c>
      <c r="B1550">
        <v>1830197</v>
      </c>
      <c r="C1550" s="5">
        <v>46056</v>
      </c>
      <c r="D1550" t="s">
        <v>458</v>
      </c>
      <c r="E1550">
        <v>0</v>
      </c>
    </row>
    <row r="1551" spans="1:5">
      <c r="A1551">
        <v>99974</v>
      </c>
      <c r="B1551">
        <v>1830197</v>
      </c>
      <c r="C1551" s="5">
        <v>46056</v>
      </c>
      <c r="D1551" t="s">
        <v>458</v>
      </c>
      <c r="E1551">
        <v>0.1</v>
      </c>
    </row>
    <row r="1552" spans="1:5">
      <c r="A1552">
        <v>99977</v>
      </c>
      <c r="B1552">
        <v>1830197</v>
      </c>
      <c r="C1552" s="5">
        <v>46056</v>
      </c>
      <c r="D1552" t="s">
        <v>458</v>
      </c>
      <c r="E1552">
        <v>0</v>
      </c>
    </row>
    <row r="1553" spans="1:5">
      <c r="A1553">
        <v>99978</v>
      </c>
      <c r="B1553">
        <v>1830197</v>
      </c>
      <c r="C1553" s="5">
        <v>46056</v>
      </c>
      <c r="D1553" t="s">
        <v>458</v>
      </c>
      <c r="E1553">
        <v>0</v>
      </c>
    </row>
    <row r="1554" spans="1:5">
      <c r="A1554">
        <v>99979</v>
      </c>
      <c r="B1554">
        <v>1830197</v>
      </c>
      <c r="C1554" s="5">
        <v>46056</v>
      </c>
      <c r="D1554" t="s">
        <v>458</v>
      </c>
      <c r="E1554">
        <v>0</v>
      </c>
    </row>
    <row r="1555" spans="1:5">
      <c r="A1555">
        <v>99980</v>
      </c>
      <c r="B1555">
        <v>1830197</v>
      </c>
      <c r="C1555" s="5">
        <v>46056</v>
      </c>
      <c r="D1555" t="s">
        <v>458</v>
      </c>
      <c r="E1555">
        <v>0</v>
      </c>
    </row>
    <row r="1556" spans="1:5">
      <c r="A1556">
        <v>99981</v>
      </c>
      <c r="B1556">
        <v>1830197</v>
      </c>
      <c r="C1556" s="5">
        <v>46056</v>
      </c>
      <c r="D1556" t="s">
        <v>458</v>
      </c>
      <c r="E1556">
        <v>0</v>
      </c>
    </row>
    <row r="1557" spans="1:5">
      <c r="A1557">
        <v>99982</v>
      </c>
      <c r="B1557">
        <v>1830197</v>
      </c>
      <c r="C1557" s="5">
        <v>46056</v>
      </c>
      <c r="D1557" t="s">
        <v>458</v>
      </c>
      <c r="E1557">
        <v>0</v>
      </c>
    </row>
    <row r="1558" spans="1:5">
      <c r="A1558">
        <v>99983</v>
      </c>
      <c r="B1558">
        <v>1830197</v>
      </c>
      <c r="C1558" s="5">
        <v>46056</v>
      </c>
      <c r="D1558" t="s">
        <v>458</v>
      </c>
      <c r="E1558">
        <v>0</v>
      </c>
    </row>
    <row r="1559" spans="1:5">
      <c r="A1559">
        <v>99984</v>
      </c>
      <c r="B1559">
        <v>1830197</v>
      </c>
      <c r="C1559" s="5">
        <v>46056</v>
      </c>
      <c r="D1559" t="s">
        <v>458</v>
      </c>
      <c r="E1559">
        <v>0</v>
      </c>
    </row>
    <row r="1560" spans="1:5">
      <c r="A1560">
        <v>99985</v>
      </c>
      <c r="B1560">
        <v>1830197</v>
      </c>
      <c r="C1560" s="5">
        <v>46056</v>
      </c>
      <c r="D1560" t="s">
        <v>458</v>
      </c>
      <c r="E1560">
        <v>0</v>
      </c>
    </row>
    <row r="1561" spans="1:5">
      <c r="A1561">
        <v>99988</v>
      </c>
      <c r="B1561">
        <v>1830197</v>
      </c>
      <c r="C1561" s="5">
        <v>46056</v>
      </c>
      <c r="D1561" t="s">
        <v>458</v>
      </c>
      <c r="E1561">
        <v>0</v>
      </c>
    </row>
    <row r="1562" spans="1:5">
      <c r="A1562">
        <v>99989</v>
      </c>
      <c r="B1562">
        <v>1830197</v>
      </c>
      <c r="C1562" s="5">
        <v>46056</v>
      </c>
      <c r="D1562" t="s">
        <v>458</v>
      </c>
      <c r="E1562">
        <v>0</v>
      </c>
    </row>
    <row r="1563" spans="1:5">
      <c r="A1563">
        <v>99990</v>
      </c>
      <c r="B1563">
        <v>1830197</v>
      </c>
      <c r="C1563" s="5">
        <v>46056</v>
      </c>
      <c r="D1563" t="s">
        <v>458</v>
      </c>
      <c r="E1563">
        <v>0</v>
      </c>
    </row>
    <row r="1564" spans="1:5">
      <c r="A1564">
        <v>99991</v>
      </c>
      <c r="B1564">
        <v>1830197</v>
      </c>
      <c r="C1564" s="5">
        <v>46056</v>
      </c>
      <c r="D1564" t="s">
        <v>458</v>
      </c>
      <c r="E1564">
        <v>0</v>
      </c>
    </row>
    <row r="1565" spans="1:5">
      <c r="A1565">
        <v>99992</v>
      </c>
      <c r="B1565">
        <v>1830197</v>
      </c>
      <c r="C1565" s="5">
        <v>46056</v>
      </c>
      <c r="D1565" t="s">
        <v>458</v>
      </c>
      <c r="E1565">
        <v>0</v>
      </c>
    </row>
    <row r="1566" spans="1:5">
      <c r="A1566">
        <v>99993</v>
      </c>
      <c r="B1566">
        <v>1830197</v>
      </c>
      <c r="C1566" s="5">
        <v>46056</v>
      </c>
      <c r="D1566" t="s">
        <v>458</v>
      </c>
      <c r="E1566">
        <v>0</v>
      </c>
    </row>
    <row r="1567" spans="1:5">
      <c r="A1567">
        <v>99994</v>
      </c>
      <c r="B1567">
        <v>1830197</v>
      </c>
      <c r="C1567" s="5">
        <v>46056</v>
      </c>
      <c r="D1567" t="s">
        <v>458</v>
      </c>
      <c r="E1567">
        <v>0</v>
      </c>
    </row>
    <row r="1568" spans="1:5">
      <c r="A1568">
        <v>99995</v>
      </c>
      <c r="B1568">
        <v>1830197</v>
      </c>
      <c r="C1568" s="5">
        <v>46056</v>
      </c>
      <c r="D1568" t="s">
        <v>458</v>
      </c>
      <c r="E1568">
        <v>0</v>
      </c>
    </row>
    <row r="1569" spans="1:5">
      <c r="A1569">
        <v>99996</v>
      </c>
      <c r="B1569">
        <v>1830197</v>
      </c>
      <c r="C1569" s="5">
        <v>46056</v>
      </c>
      <c r="D1569" t="s">
        <v>458</v>
      </c>
      <c r="E1569">
        <v>0</v>
      </c>
    </row>
    <row r="1570" spans="1:5">
      <c r="A1570">
        <v>99999</v>
      </c>
      <c r="B1570">
        <v>1830197</v>
      </c>
      <c r="C1570" s="5">
        <v>46056</v>
      </c>
      <c r="D1570" t="s">
        <v>458</v>
      </c>
      <c r="E1570">
        <v>0</v>
      </c>
    </row>
    <row r="1571" spans="1:5">
      <c r="A1571">
        <v>1</v>
      </c>
      <c r="B1571">
        <v>1830197</v>
      </c>
      <c r="C1571" s="5">
        <v>46057</v>
      </c>
      <c r="D1571" t="s">
        <v>458</v>
      </c>
      <c r="E1571">
        <v>489</v>
      </c>
    </row>
    <row r="1572" spans="1:5">
      <c r="A1572">
        <v>2</v>
      </c>
      <c r="B1572">
        <v>1830197</v>
      </c>
      <c r="C1572" s="5">
        <v>46057</v>
      </c>
      <c r="D1572" t="s">
        <v>458</v>
      </c>
      <c r="E1572">
        <v>81</v>
      </c>
    </row>
    <row r="1573" spans="1:5">
      <c r="A1573">
        <v>3</v>
      </c>
      <c r="B1573">
        <v>1830197</v>
      </c>
      <c r="C1573" s="5">
        <v>46057</v>
      </c>
      <c r="D1573" t="s">
        <v>458</v>
      </c>
      <c r="E1573">
        <v>136</v>
      </c>
    </row>
    <row r="1574" spans="1:5">
      <c r="A1574">
        <v>4</v>
      </c>
      <c r="B1574">
        <v>1830197</v>
      </c>
      <c r="C1574" s="5">
        <v>46057</v>
      </c>
      <c r="D1574" t="s">
        <v>458</v>
      </c>
      <c r="E1574">
        <v>575.35</v>
      </c>
    </row>
    <row r="1575" spans="1:5">
      <c r="A1575">
        <v>5</v>
      </c>
      <c r="B1575">
        <v>1830197</v>
      </c>
      <c r="C1575" s="5">
        <v>46057</v>
      </c>
      <c r="D1575" t="s">
        <v>458</v>
      </c>
      <c r="E1575">
        <v>199</v>
      </c>
    </row>
    <row r="1576" spans="1:5">
      <c r="A1576">
        <v>6</v>
      </c>
      <c r="B1576">
        <v>1830197</v>
      </c>
      <c r="C1576" s="5">
        <v>46057</v>
      </c>
      <c r="D1576" t="s">
        <v>458</v>
      </c>
      <c r="E1576">
        <v>25</v>
      </c>
    </row>
    <row r="1577" spans="1:5">
      <c r="A1577">
        <v>7</v>
      </c>
      <c r="B1577">
        <v>1830197</v>
      </c>
      <c r="C1577" s="5">
        <v>46057</v>
      </c>
      <c r="D1577" t="s">
        <v>458</v>
      </c>
      <c r="E1577">
        <v>183</v>
      </c>
    </row>
    <row r="1578" spans="1:5">
      <c r="A1578">
        <v>8</v>
      </c>
      <c r="B1578">
        <v>1830197</v>
      </c>
      <c r="C1578" s="5">
        <v>46057</v>
      </c>
      <c r="D1578" t="s">
        <v>458</v>
      </c>
      <c r="E1578">
        <v>0</v>
      </c>
    </row>
    <row r="1579" spans="1:5">
      <c r="A1579">
        <v>9</v>
      </c>
      <c r="B1579">
        <v>1830197</v>
      </c>
      <c r="C1579" s="5">
        <v>46057</v>
      </c>
      <c r="D1579" t="s">
        <v>458</v>
      </c>
      <c r="E1579">
        <v>0</v>
      </c>
    </row>
    <row r="1580" spans="1:5">
      <c r="A1580">
        <v>10</v>
      </c>
      <c r="B1580">
        <v>1830197</v>
      </c>
      <c r="C1580" s="5">
        <v>46057</v>
      </c>
      <c r="D1580" t="s">
        <v>458</v>
      </c>
      <c r="E1580">
        <v>5.23</v>
      </c>
    </row>
    <row r="1581" spans="1:5">
      <c r="A1581">
        <v>12</v>
      </c>
      <c r="B1581">
        <v>1830197</v>
      </c>
      <c r="C1581" s="5">
        <v>46057</v>
      </c>
      <c r="D1581" t="s">
        <v>458</v>
      </c>
      <c r="E1581">
        <v>17.13</v>
      </c>
    </row>
    <row r="1582" spans="1:5">
      <c r="A1582">
        <v>13</v>
      </c>
      <c r="B1582">
        <v>1830197</v>
      </c>
      <c r="C1582" s="5">
        <v>46057</v>
      </c>
      <c r="D1582" t="s">
        <v>458</v>
      </c>
      <c r="E1582">
        <v>669</v>
      </c>
    </row>
    <row r="1583" spans="1:5">
      <c r="A1583">
        <v>19</v>
      </c>
      <c r="B1583">
        <v>1830197</v>
      </c>
      <c r="C1583" s="5">
        <v>46057</v>
      </c>
      <c r="D1583" t="s">
        <v>458</v>
      </c>
      <c r="E1583">
        <v>21.26</v>
      </c>
    </row>
    <row r="1584" spans="1:5">
      <c r="A1584">
        <v>20</v>
      </c>
      <c r="B1584">
        <v>1830197</v>
      </c>
      <c r="C1584" s="5">
        <v>46057</v>
      </c>
      <c r="D1584" t="s">
        <v>458</v>
      </c>
      <c r="E1584">
        <v>226</v>
      </c>
    </row>
    <row r="1585" spans="1:5">
      <c r="A1585">
        <v>21</v>
      </c>
      <c r="B1585">
        <v>1830197</v>
      </c>
      <c r="C1585" s="5">
        <v>46057</v>
      </c>
      <c r="D1585" t="s">
        <v>458</v>
      </c>
      <c r="E1585">
        <v>6.51</v>
      </c>
    </row>
    <row r="1586" spans="1:5">
      <c r="A1586">
        <v>23</v>
      </c>
      <c r="B1586">
        <v>1830197</v>
      </c>
      <c r="C1586" s="5">
        <v>46057</v>
      </c>
      <c r="D1586" t="s">
        <v>458</v>
      </c>
      <c r="E1586">
        <v>81</v>
      </c>
    </row>
    <row r="1587" spans="1:5">
      <c r="A1587">
        <v>26</v>
      </c>
      <c r="B1587">
        <v>1830197</v>
      </c>
      <c r="C1587" s="5">
        <v>46057</v>
      </c>
      <c r="D1587" t="s">
        <v>458</v>
      </c>
      <c r="E1587">
        <v>0.01</v>
      </c>
    </row>
    <row r="1588" spans="1:5">
      <c r="A1588">
        <v>31</v>
      </c>
      <c r="B1588">
        <v>1830197</v>
      </c>
      <c r="C1588" s="5">
        <v>46057</v>
      </c>
      <c r="D1588" t="s">
        <v>458</v>
      </c>
      <c r="E1588">
        <v>0</v>
      </c>
    </row>
    <row r="1589" spans="1:5">
      <c r="A1589">
        <v>33</v>
      </c>
      <c r="B1589">
        <v>1830197</v>
      </c>
      <c r="C1589" s="5">
        <v>46057</v>
      </c>
      <c r="D1589" t="s">
        <v>458</v>
      </c>
      <c r="E1589">
        <v>0</v>
      </c>
    </row>
    <row r="1590" spans="1:5">
      <c r="A1590">
        <v>42</v>
      </c>
      <c r="B1590">
        <v>1830197</v>
      </c>
      <c r="C1590" s="5">
        <v>46057</v>
      </c>
      <c r="D1590" t="s">
        <v>458</v>
      </c>
      <c r="E1590">
        <v>0</v>
      </c>
    </row>
    <row r="1591" spans="1:5">
      <c r="A1591">
        <v>45</v>
      </c>
      <c r="B1591">
        <v>1830197</v>
      </c>
      <c r="C1591" s="5">
        <v>46057</v>
      </c>
      <c r="D1591" t="s">
        <v>458</v>
      </c>
      <c r="E1591">
        <v>1319</v>
      </c>
    </row>
    <row r="1592" spans="1:5">
      <c r="A1592">
        <v>48</v>
      </c>
      <c r="B1592">
        <v>1830197</v>
      </c>
      <c r="C1592" s="5">
        <v>46057</v>
      </c>
      <c r="D1592" t="s">
        <v>458</v>
      </c>
      <c r="E1592">
        <v>0</v>
      </c>
    </row>
    <row r="1593" spans="1:5">
      <c r="A1593">
        <v>50</v>
      </c>
      <c r="B1593">
        <v>1830197</v>
      </c>
      <c r="C1593" s="5">
        <v>46057</v>
      </c>
      <c r="D1593" t="s">
        <v>458</v>
      </c>
      <c r="E1593">
        <v>220</v>
      </c>
    </row>
    <row r="1594" spans="1:5">
      <c r="A1594">
        <v>55</v>
      </c>
      <c r="B1594">
        <v>1830197</v>
      </c>
      <c r="C1594" s="5">
        <v>46057</v>
      </c>
      <c r="D1594" t="s">
        <v>458</v>
      </c>
      <c r="E1594">
        <v>1.79</v>
      </c>
    </row>
    <row r="1595" spans="1:5">
      <c r="A1595">
        <v>56</v>
      </c>
      <c r="B1595">
        <v>1830197</v>
      </c>
      <c r="C1595" s="5">
        <v>46057</v>
      </c>
      <c r="D1595" t="s">
        <v>458</v>
      </c>
      <c r="E1595">
        <v>0.73</v>
      </c>
    </row>
    <row r="1596" spans="1:5">
      <c r="A1596">
        <v>62</v>
      </c>
      <c r="B1596">
        <v>1830197</v>
      </c>
      <c r="C1596" s="5">
        <v>46057</v>
      </c>
      <c r="D1596" t="s">
        <v>458</v>
      </c>
      <c r="E1596">
        <v>0</v>
      </c>
    </row>
    <row r="1597" spans="1:5">
      <c r="A1597">
        <v>63</v>
      </c>
      <c r="B1597">
        <v>1830197</v>
      </c>
      <c r="C1597" s="5">
        <v>46057</v>
      </c>
      <c r="D1597" t="s">
        <v>458</v>
      </c>
      <c r="E1597">
        <v>0.41</v>
      </c>
    </row>
    <row r="1598" spans="1:5">
      <c r="A1598">
        <v>65</v>
      </c>
      <c r="B1598">
        <v>1830197</v>
      </c>
      <c r="C1598" s="5">
        <v>46057</v>
      </c>
      <c r="D1598" t="s">
        <v>458</v>
      </c>
      <c r="E1598">
        <v>9</v>
      </c>
    </row>
    <row r="1599" spans="1:5">
      <c r="A1599">
        <v>67</v>
      </c>
      <c r="B1599">
        <v>1830197</v>
      </c>
      <c r="C1599" s="5">
        <v>46057</v>
      </c>
      <c r="D1599" t="s">
        <v>458</v>
      </c>
      <c r="E1599">
        <v>0</v>
      </c>
    </row>
    <row r="1600" spans="1:5">
      <c r="A1600">
        <v>69</v>
      </c>
      <c r="B1600">
        <v>1830197</v>
      </c>
      <c r="C1600" s="5">
        <v>46057</v>
      </c>
      <c r="D1600" t="s">
        <v>458</v>
      </c>
      <c r="E1600">
        <v>7</v>
      </c>
    </row>
    <row r="1601" spans="1:5">
      <c r="A1601">
        <v>70</v>
      </c>
      <c r="B1601">
        <v>1830197</v>
      </c>
      <c r="C1601" s="5">
        <v>46057</v>
      </c>
      <c r="D1601" t="s">
        <v>458</v>
      </c>
      <c r="E1601">
        <v>8</v>
      </c>
    </row>
    <row r="1602" spans="1:5">
      <c r="A1602">
        <v>76</v>
      </c>
      <c r="B1602">
        <v>1830197</v>
      </c>
      <c r="C1602" s="5">
        <v>46057</v>
      </c>
      <c r="D1602" t="s">
        <v>458</v>
      </c>
      <c r="E1602">
        <v>22</v>
      </c>
    </row>
    <row r="1603" spans="1:5">
      <c r="A1603">
        <v>86</v>
      </c>
      <c r="B1603">
        <v>1830197</v>
      </c>
      <c r="C1603" s="5">
        <v>46057</v>
      </c>
      <c r="D1603" t="s">
        <v>458</v>
      </c>
      <c r="E1603">
        <v>93</v>
      </c>
    </row>
    <row r="1604" spans="1:5">
      <c r="A1604">
        <v>90</v>
      </c>
      <c r="B1604">
        <v>1830197</v>
      </c>
      <c r="C1604" s="5">
        <v>46057</v>
      </c>
      <c r="D1604" t="s">
        <v>458</v>
      </c>
      <c r="E1604">
        <v>8</v>
      </c>
    </row>
    <row r="1605" spans="1:5">
      <c r="A1605">
        <v>93</v>
      </c>
      <c r="B1605">
        <v>1830197</v>
      </c>
      <c r="C1605" s="5">
        <v>46057</v>
      </c>
      <c r="D1605" t="s">
        <v>458</v>
      </c>
      <c r="E1605">
        <v>0</v>
      </c>
    </row>
    <row r="1606" spans="1:5">
      <c r="A1606">
        <v>94</v>
      </c>
      <c r="B1606">
        <v>1830197</v>
      </c>
      <c r="C1606" s="5">
        <v>46057</v>
      </c>
      <c r="D1606" t="s">
        <v>458</v>
      </c>
      <c r="E1606">
        <v>10</v>
      </c>
    </row>
    <row r="1607" spans="1:5">
      <c r="A1607">
        <v>97</v>
      </c>
      <c r="B1607">
        <v>1830197</v>
      </c>
      <c r="C1607" s="5">
        <v>46057</v>
      </c>
      <c r="D1607" t="s">
        <v>458</v>
      </c>
      <c r="E1607">
        <v>0</v>
      </c>
    </row>
    <row r="1608" spans="1:5">
      <c r="A1608">
        <v>98</v>
      </c>
      <c r="B1608">
        <v>1830197</v>
      </c>
      <c r="C1608" s="5">
        <v>46057</v>
      </c>
      <c r="D1608" t="s">
        <v>458</v>
      </c>
      <c r="E1608">
        <v>0</v>
      </c>
    </row>
    <row r="1609" spans="1:5">
      <c r="A1609">
        <v>101</v>
      </c>
      <c r="B1609">
        <v>1830197</v>
      </c>
      <c r="C1609" s="5">
        <v>46057</v>
      </c>
      <c r="D1609" t="s">
        <v>458</v>
      </c>
      <c r="E1609">
        <v>70</v>
      </c>
    </row>
    <row r="1610" spans="1:5">
      <c r="A1610">
        <v>102</v>
      </c>
      <c r="B1610">
        <v>1830197</v>
      </c>
      <c r="C1610" s="5">
        <v>46057</v>
      </c>
      <c r="D1610" t="s">
        <v>458</v>
      </c>
      <c r="E1610">
        <v>0</v>
      </c>
    </row>
    <row r="1611" spans="1:5">
      <c r="A1611">
        <v>103</v>
      </c>
      <c r="B1611">
        <v>1830197</v>
      </c>
      <c r="C1611" s="5">
        <v>46057</v>
      </c>
      <c r="D1611" t="s">
        <v>458</v>
      </c>
      <c r="E1611">
        <v>10</v>
      </c>
    </row>
    <row r="1612" spans="1:5">
      <c r="A1612">
        <v>109</v>
      </c>
      <c r="B1612">
        <v>1830197</v>
      </c>
      <c r="C1612" s="5">
        <v>46057</v>
      </c>
      <c r="D1612" t="s">
        <v>458</v>
      </c>
      <c r="E1612">
        <v>86</v>
      </c>
    </row>
    <row r="1613" spans="1:5">
      <c r="A1613">
        <v>110</v>
      </c>
      <c r="B1613">
        <v>1830197</v>
      </c>
      <c r="C1613" s="5">
        <v>46057</v>
      </c>
      <c r="D1613" t="s">
        <v>458</v>
      </c>
      <c r="E1613">
        <v>25</v>
      </c>
    </row>
    <row r="1614" spans="1:5">
      <c r="A1614">
        <v>111</v>
      </c>
      <c r="B1614">
        <v>1830197</v>
      </c>
      <c r="C1614" s="5">
        <v>46057</v>
      </c>
      <c r="D1614" t="s">
        <v>458</v>
      </c>
      <c r="E1614">
        <v>80</v>
      </c>
    </row>
    <row r="1615" spans="1:5">
      <c r="A1615">
        <v>116</v>
      </c>
      <c r="B1615">
        <v>1830197</v>
      </c>
      <c r="C1615" s="5">
        <v>46057</v>
      </c>
      <c r="D1615" t="s">
        <v>458</v>
      </c>
      <c r="E1615">
        <v>120</v>
      </c>
    </row>
    <row r="1616" spans="1:5">
      <c r="A1616">
        <v>117</v>
      </c>
      <c r="B1616">
        <v>1830197</v>
      </c>
      <c r="C1616" s="5">
        <v>46057</v>
      </c>
      <c r="D1616" t="s">
        <v>458</v>
      </c>
      <c r="E1616">
        <v>802</v>
      </c>
    </row>
    <row r="1617" spans="1:5">
      <c r="A1617">
        <v>118</v>
      </c>
      <c r="B1617">
        <v>1830197</v>
      </c>
      <c r="C1617" s="5">
        <v>46057</v>
      </c>
      <c r="D1617" t="s">
        <v>458</v>
      </c>
      <c r="E1617">
        <v>0</v>
      </c>
    </row>
    <row r="1618" spans="1:5">
      <c r="A1618">
        <v>127</v>
      </c>
      <c r="B1618">
        <v>1830197</v>
      </c>
      <c r="C1618" s="5">
        <v>46057</v>
      </c>
      <c r="D1618" t="s">
        <v>458</v>
      </c>
      <c r="E1618">
        <v>195</v>
      </c>
    </row>
    <row r="1619" spans="1:5">
      <c r="A1619">
        <v>128</v>
      </c>
      <c r="B1619">
        <v>1830197</v>
      </c>
      <c r="C1619" s="5">
        <v>46057</v>
      </c>
      <c r="D1619" t="s">
        <v>458</v>
      </c>
      <c r="E1619">
        <v>0</v>
      </c>
    </row>
    <row r="1620" spans="1:5">
      <c r="A1620">
        <v>131</v>
      </c>
      <c r="B1620">
        <v>1830197</v>
      </c>
      <c r="C1620" s="5">
        <v>46057</v>
      </c>
      <c r="D1620" t="s">
        <v>458</v>
      </c>
      <c r="E1620">
        <v>0</v>
      </c>
    </row>
    <row r="1621" spans="1:5">
      <c r="A1621">
        <v>141</v>
      </c>
      <c r="B1621">
        <v>1830197</v>
      </c>
      <c r="C1621" s="5">
        <v>46057</v>
      </c>
      <c r="D1621" t="s">
        <v>458</v>
      </c>
      <c r="E1621">
        <v>0</v>
      </c>
    </row>
    <row r="1622" spans="1:5">
      <c r="A1622">
        <v>142</v>
      </c>
      <c r="B1622">
        <v>1830197</v>
      </c>
      <c r="C1622" s="5">
        <v>46057</v>
      </c>
      <c r="D1622" t="s">
        <v>458</v>
      </c>
      <c r="E1622">
        <v>0</v>
      </c>
    </row>
    <row r="1623" spans="1:5">
      <c r="A1623">
        <v>143</v>
      </c>
      <c r="B1623">
        <v>1830197</v>
      </c>
      <c r="C1623" s="5">
        <v>46057</v>
      </c>
      <c r="D1623" t="s">
        <v>458</v>
      </c>
      <c r="E1623">
        <v>0</v>
      </c>
    </row>
    <row r="1624" spans="1:5">
      <c r="A1624">
        <v>155</v>
      </c>
      <c r="B1624">
        <v>1830197</v>
      </c>
      <c r="C1624" s="5">
        <v>46057</v>
      </c>
      <c r="D1624" t="s">
        <v>458</v>
      </c>
      <c r="E1624">
        <v>120</v>
      </c>
    </row>
    <row r="1625" spans="1:5">
      <c r="A1625">
        <v>163</v>
      </c>
      <c r="B1625">
        <v>1830197</v>
      </c>
      <c r="C1625" s="5">
        <v>46057</v>
      </c>
      <c r="D1625" t="s">
        <v>458</v>
      </c>
      <c r="E1625">
        <v>323</v>
      </c>
    </row>
    <row r="1626" spans="1:5">
      <c r="A1626">
        <v>166</v>
      </c>
      <c r="B1626">
        <v>1830197</v>
      </c>
      <c r="C1626" s="5">
        <v>46057</v>
      </c>
      <c r="D1626" t="s">
        <v>458</v>
      </c>
      <c r="E1626">
        <v>22</v>
      </c>
    </row>
    <row r="1627" spans="1:5">
      <c r="A1627">
        <v>168</v>
      </c>
      <c r="B1627">
        <v>1830197</v>
      </c>
      <c r="C1627" s="5">
        <v>46057</v>
      </c>
      <c r="D1627" t="s">
        <v>458</v>
      </c>
      <c r="E1627">
        <v>10.15</v>
      </c>
    </row>
    <row r="1628" spans="1:5">
      <c r="A1628">
        <v>170</v>
      </c>
      <c r="B1628">
        <v>1830197</v>
      </c>
      <c r="C1628" s="5">
        <v>46057</v>
      </c>
      <c r="D1628" t="s">
        <v>458</v>
      </c>
      <c r="E1628">
        <v>0</v>
      </c>
    </row>
    <row r="1629" spans="1:5">
      <c r="A1629">
        <v>187</v>
      </c>
      <c r="B1629">
        <v>1830197</v>
      </c>
      <c r="C1629" s="5">
        <v>46057</v>
      </c>
      <c r="D1629" t="s">
        <v>458</v>
      </c>
      <c r="E1629">
        <v>6</v>
      </c>
    </row>
    <row r="1630" spans="1:5">
      <c r="A1630">
        <v>193</v>
      </c>
      <c r="B1630">
        <v>1830197</v>
      </c>
      <c r="C1630" s="5">
        <v>46057</v>
      </c>
      <c r="D1630" t="s">
        <v>458</v>
      </c>
      <c r="E1630">
        <v>7288</v>
      </c>
    </row>
    <row r="1631" spans="1:5">
      <c r="A1631">
        <v>205</v>
      </c>
      <c r="B1631">
        <v>1830197</v>
      </c>
      <c r="C1631" s="5">
        <v>46057</v>
      </c>
      <c r="D1631" t="s">
        <v>458</v>
      </c>
      <c r="E1631">
        <v>0</v>
      </c>
    </row>
    <row r="1632" spans="1:5">
      <c r="A1632">
        <v>206</v>
      </c>
      <c r="B1632">
        <v>1830197</v>
      </c>
      <c r="C1632" s="5">
        <v>46057</v>
      </c>
      <c r="D1632" t="s">
        <v>458</v>
      </c>
      <c r="E1632">
        <v>11</v>
      </c>
    </row>
    <row r="1633" spans="1:5">
      <c r="A1633">
        <v>209</v>
      </c>
      <c r="B1633">
        <v>1830197</v>
      </c>
      <c r="C1633" s="5">
        <v>46057</v>
      </c>
      <c r="D1633" t="s">
        <v>458</v>
      </c>
      <c r="E1633">
        <v>0</v>
      </c>
    </row>
    <row r="1634" spans="1:5">
      <c r="A1634">
        <v>210</v>
      </c>
      <c r="B1634">
        <v>1830197</v>
      </c>
      <c r="C1634" s="5">
        <v>46057</v>
      </c>
      <c r="D1634" t="s">
        <v>458</v>
      </c>
      <c r="E1634">
        <v>2</v>
      </c>
    </row>
    <row r="1635" spans="1:5">
      <c r="A1635">
        <v>223</v>
      </c>
      <c r="B1635">
        <v>1830197</v>
      </c>
      <c r="C1635" s="5">
        <v>46057</v>
      </c>
      <c r="D1635" t="s">
        <v>458</v>
      </c>
      <c r="E1635">
        <v>1242</v>
      </c>
    </row>
    <row r="1636" spans="1:5">
      <c r="A1636">
        <v>247</v>
      </c>
      <c r="B1636">
        <v>1830197</v>
      </c>
      <c r="C1636" s="5">
        <v>46057</v>
      </c>
      <c r="D1636" t="s">
        <v>458</v>
      </c>
      <c r="E1636">
        <v>0</v>
      </c>
    </row>
    <row r="1637" spans="1:5">
      <c r="A1637">
        <v>253</v>
      </c>
      <c r="B1637">
        <v>1830197</v>
      </c>
      <c r="C1637" s="5">
        <v>46057</v>
      </c>
      <c r="D1637" t="s">
        <v>458</v>
      </c>
      <c r="E1637">
        <v>13.92</v>
      </c>
    </row>
    <row r="1638" spans="1:5">
      <c r="A1638">
        <v>254</v>
      </c>
      <c r="B1638">
        <v>1830197</v>
      </c>
      <c r="C1638" s="5">
        <v>46057</v>
      </c>
      <c r="D1638" t="s">
        <v>458</v>
      </c>
      <c r="E1638">
        <v>11</v>
      </c>
    </row>
    <row r="1639" spans="1:5">
      <c r="A1639">
        <v>261</v>
      </c>
      <c r="B1639">
        <v>1830197</v>
      </c>
      <c r="C1639" s="5">
        <v>46057</v>
      </c>
      <c r="D1639" t="s">
        <v>458</v>
      </c>
      <c r="E1639">
        <v>19</v>
      </c>
    </row>
    <row r="1640" spans="1:5">
      <c r="A1640">
        <v>262</v>
      </c>
      <c r="B1640">
        <v>1830197</v>
      </c>
      <c r="C1640" s="5">
        <v>46057</v>
      </c>
      <c r="D1640" t="s">
        <v>458</v>
      </c>
      <c r="E1640">
        <v>0</v>
      </c>
    </row>
    <row r="1641" spans="1:5">
      <c r="A1641">
        <v>268</v>
      </c>
      <c r="B1641">
        <v>1830197</v>
      </c>
      <c r="C1641" s="5">
        <v>46057</v>
      </c>
      <c r="D1641" t="s">
        <v>458</v>
      </c>
      <c r="E1641">
        <v>40</v>
      </c>
    </row>
    <row r="1642" spans="1:5">
      <c r="A1642">
        <v>269</v>
      </c>
      <c r="B1642">
        <v>1830197</v>
      </c>
      <c r="C1642" s="5">
        <v>46057</v>
      </c>
      <c r="D1642" t="s">
        <v>458</v>
      </c>
      <c r="E1642">
        <v>83</v>
      </c>
    </row>
    <row r="1643" spans="1:5">
      <c r="A1643">
        <v>284</v>
      </c>
      <c r="B1643">
        <v>1830197</v>
      </c>
      <c r="C1643" s="5">
        <v>46057</v>
      </c>
      <c r="D1643" t="s">
        <v>458</v>
      </c>
      <c r="E1643">
        <v>8</v>
      </c>
    </row>
    <row r="1644" spans="1:5">
      <c r="A1644">
        <v>285</v>
      </c>
      <c r="B1644">
        <v>1830197</v>
      </c>
      <c r="C1644" s="5">
        <v>46057</v>
      </c>
      <c r="D1644" t="s">
        <v>458</v>
      </c>
      <c r="E1644">
        <v>38</v>
      </c>
    </row>
    <row r="1645" spans="1:5">
      <c r="A1645">
        <v>288</v>
      </c>
      <c r="B1645">
        <v>1830197</v>
      </c>
      <c r="C1645" s="5">
        <v>46057</v>
      </c>
      <c r="D1645" t="s">
        <v>458</v>
      </c>
      <c r="E1645">
        <v>68</v>
      </c>
    </row>
    <row r="1646" spans="1:5">
      <c r="A1646">
        <v>289</v>
      </c>
      <c r="B1646">
        <v>1830197</v>
      </c>
      <c r="C1646" s="5">
        <v>46057</v>
      </c>
      <c r="D1646" t="s">
        <v>458</v>
      </c>
      <c r="E1646">
        <v>0</v>
      </c>
    </row>
    <row r="1647" spans="1:5">
      <c r="A1647">
        <v>295</v>
      </c>
      <c r="B1647">
        <v>1830197</v>
      </c>
      <c r="C1647" s="5">
        <v>46057</v>
      </c>
      <c r="D1647" t="s">
        <v>458</v>
      </c>
      <c r="E1647">
        <v>13</v>
      </c>
    </row>
    <row r="1648" spans="1:5">
      <c r="A1648">
        <v>300</v>
      </c>
      <c r="B1648">
        <v>1830197</v>
      </c>
      <c r="C1648" s="5">
        <v>46057</v>
      </c>
      <c r="D1648" t="s">
        <v>458</v>
      </c>
      <c r="E1648">
        <v>0</v>
      </c>
    </row>
    <row r="1649" spans="1:5">
      <c r="A1649">
        <v>311</v>
      </c>
      <c r="B1649">
        <v>1830197</v>
      </c>
      <c r="C1649" s="5">
        <v>46057</v>
      </c>
      <c r="D1649" t="s">
        <v>458</v>
      </c>
      <c r="E1649">
        <v>0</v>
      </c>
    </row>
    <row r="1650" spans="1:5">
      <c r="A1650">
        <v>330</v>
      </c>
      <c r="B1650">
        <v>1830197</v>
      </c>
      <c r="C1650" s="5">
        <v>46057</v>
      </c>
      <c r="D1650" t="s">
        <v>458</v>
      </c>
      <c r="E1650">
        <v>11</v>
      </c>
    </row>
    <row r="1651" spans="1:5">
      <c r="A1651">
        <v>335</v>
      </c>
      <c r="B1651">
        <v>1830197</v>
      </c>
      <c r="C1651" s="5">
        <v>46057</v>
      </c>
      <c r="D1651" t="s">
        <v>458</v>
      </c>
      <c r="E1651">
        <v>19</v>
      </c>
    </row>
    <row r="1652" spans="1:5">
      <c r="A1652">
        <v>336</v>
      </c>
      <c r="B1652">
        <v>1830197</v>
      </c>
      <c r="C1652" s="5">
        <v>46057</v>
      </c>
      <c r="D1652" t="s">
        <v>458</v>
      </c>
      <c r="E1652">
        <v>0</v>
      </c>
    </row>
    <row r="1653" spans="1:5">
      <c r="A1653">
        <v>337</v>
      </c>
      <c r="B1653">
        <v>1830197</v>
      </c>
      <c r="C1653" s="5">
        <v>46057</v>
      </c>
      <c r="D1653" t="s">
        <v>458</v>
      </c>
      <c r="E1653">
        <v>0</v>
      </c>
    </row>
    <row r="1654" spans="1:5">
      <c r="A1654">
        <v>382</v>
      </c>
      <c r="B1654">
        <v>1830197</v>
      </c>
      <c r="C1654" s="5">
        <v>46057</v>
      </c>
      <c r="D1654" t="s">
        <v>458</v>
      </c>
      <c r="E1654">
        <v>1.39</v>
      </c>
    </row>
    <row r="1655" spans="1:5">
      <c r="A1655">
        <v>385</v>
      </c>
      <c r="B1655">
        <v>1830197</v>
      </c>
      <c r="C1655" s="5">
        <v>46057</v>
      </c>
      <c r="D1655" t="s">
        <v>458</v>
      </c>
      <c r="E1655">
        <v>82</v>
      </c>
    </row>
    <row r="1656" spans="1:5">
      <c r="A1656">
        <v>386</v>
      </c>
      <c r="B1656">
        <v>1830197</v>
      </c>
      <c r="C1656" s="5">
        <v>46057</v>
      </c>
      <c r="D1656" t="s">
        <v>458</v>
      </c>
      <c r="E1656">
        <v>0</v>
      </c>
    </row>
    <row r="1657" spans="1:5">
      <c r="A1657">
        <v>391</v>
      </c>
      <c r="B1657">
        <v>1830197</v>
      </c>
      <c r="C1657" s="5">
        <v>46057</v>
      </c>
      <c r="D1657" t="s">
        <v>458</v>
      </c>
      <c r="E1657">
        <v>0</v>
      </c>
    </row>
    <row r="1658" spans="1:5">
      <c r="A1658">
        <v>397</v>
      </c>
      <c r="B1658">
        <v>1830197</v>
      </c>
      <c r="C1658" s="5">
        <v>46057</v>
      </c>
      <c r="D1658" t="s">
        <v>458</v>
      </c>
      <c r="E1658">
        <v>0</v>
      </c>
    </row>
    <row r="1659" spans="1:5">
      <c r="A1659">
        <v>398</v>
      </c>
      <c r="B1659">
        <v>1830197</v>
      </c>
      <c r="C1659" s="5">
        <v>46057</v>
      </c>
      <c r="D1659" t="s">
        <v>458</v>
      </c>
      <c r="E1659">
        <v>0</v>
      </c>
    </row>
    <row r="1660" spans="1:5">
      <c r="A1660">
        <v>406</v>
      </c>
      <c r="B1660">
        <v>1830197</v>
      </c>
      <c r="C1660" s="5">
        <v>46057</v>
      </c>
      <c r="D1660" t="s">
        <v>458</v>
      </c>
      <c r="E1660">
        <v>0</v>
      </c>
    </row>
    <row r="1661" spans="1:5">
      <c r="A1661">
        <v>407</v>
      </c>
      <c r="B1661">
        <v>1830197</v>
      </c>
      <c r="C1661" s="5">
        <v>46057</v>
      </c>
      <c r="D1661" t="s">
        <v>458</v>
      </c>
      <c r="E1661">
        <v>1520</v>
      </c>
    </row>
    <row r="1662" spans="1:5">
      <c r="A1662">
        <v>408</v>
      </c>
      <c r="B1662">
        <v>1830197</v>
      </c>
      <c r="C1662" s="5">
        <v>46057</v>
      </c>
      <c r="D1662" t="s">
        <v>458</v>
      </c>
      <c r="E1662">
        <v>165</v>
      </c>
    </row>
    <row r="1663" spans="1:5">
      <c r="A1663">
        <v>409</v>
      </c>
      <c r="B1663">
        <v>1830197</v>
      </c>
      <c r="C1663" s="5">
        <v>46057</v>
      </c>
      <c r="D1663" t="s">
        <v>458</v>
      </c>
      <c r="E1663">
        <v>0</v>
      </c>
    </row>
    <row r="1664" spans="1:5">
      <c r="A1664">
        <v>410</v>
      </c>
      <c r="B1664">
        <v>1830197</v>
      </c>
      <c r="C1664" s="5">
        <v>46057</v>
      </c>
      <c r="D1664" t="s">
        <v>458</v>
      </c>
      <c r="E1664">
        <v>0</v>
      </c>
    </row>
    <row r="1665" spans="1:5">
      <c r="A1665">
        <v>419</v>
      </c>
      <c r="B1665">
        <v>1830197</v>
      </c>
      <c r="C1665" s="5">
        <v>46057</v>
      </c>
      <c r="D1665" t="s">
        <v>458</v>
      </c>
      <c r="E1665">
        <v>0</v>
      </c>
    </row>
    <row r="1666" spans="1:5">
      <c r="A1666">
        <v>472</v>
      </c>
      <c r="B1666">
        <v>1830197</v>
      </c>
      <c r="C1666" s="5">
        <v>46057</v>
      </c>
      <c r="D1666" t="s">
        <v>458</v>
      </c>
      <c r="E1666">
        <v>0</v>
      </c>
    </row>
    <row r="1667" spans="1:5">
      <c r="A1667">
        <v>483</v>
      </c>
      <c r="B1667">
        <v>1830197</v>
      </c>
      <c r="C1667" s="5">
        <v>46057</v>
      </c>
      <c r="D1667" t="s">
        <v>458</v>
      </c>
      <c r="E1667">
        <v>243</v>
      </c>
    </row>
    <row r="1668" spans="1:5">
      <c r="A1668">
        <v>591</v>
      </c>
      <c r="B1668">
        <v>1830197</v>
      </c>
      <c r="C1668" s="5">
        <v>46057</v>
      </c>
      <c r="D1668" t="s">
        <v>458</v>
      </c>
      <c r="E1668">
        <v>31</v>
      </c>
    </row>
    <row r="1669" spans="1:5">
      <c r="A1669">
        <v>592</v>
      </c>
      <c r="B1669">
        <v>1830197</v>
      </c>
      <c r="C1669" s="5">
        <v>46057</v>
      </c>
      <c r="D1669" t="s">
        <v>458</v>
      </c>
      <c r="E1669">
        <v>13</v>
      </c>
    </row>
    <row r="1670" spans="1:5">
      <c r="A1670">
        <v>609</v>
      </c>
      <c r="B1670">
        <v>1830197</v>
      </c>
      <c r="C1670" s="5">
        <v>46057</v>
      </c>
      <c r="D1670" t="s">
        <v>458</v>
      </c>
      <c r="E1670">
        <v>248</v>
      </c>
    </row>
    <row r="1671" spans="1:5">
      <c r="A1671">
        <v>708</v>
      </c>
      <c r="B1671">
        <v>1830197</v>
      </c>
      <c r="C1671" s="5">
        <v>46057</v>
      </c>
      <c r="D1671" t="s">
        <v>458</v>
      </c>
      <c r="E1671">
        <v>5</v>
      </c>
    </row>
    <row r="1672" spans="1:5">
      <c r="A1672">
        <v>731</v>
      </c>
      <c r="B1672">
        <v>1830197</v>
      </c>
      <c r="C1672" s="5">
        <v>46057</v>
      </c>
      <c r="D1672" t="s">
        <v>458</v>
      </c>
      <c r="E1672">
        <v>0</v>
      </c>
    </row>
    <row r="1673" spans="1:5">
      <c r="A1673">
        <v>736</v>
      </c>
      <c r="B1673">
        <v>1830197</v>
      </c>
      <c r="C1673" s="5">
        <v>46057</v>
      </c>
      <c r="D1673" t="s">
        <v>458</v>
      </c>
      <c r="E1673">
        <v>60</v>
      </c>
    </row>
    <row r="1674" spans="1:5">
      <c r="A1674">
        <v>803</v>
      </c>
      <c r="B1674">
        <v>1830197</v>
      </c>
      <c r="C1674" s="5">
        <v>46057</v>
      </c>
      <c r="D1674" t="s">
        <v>458</v>
      </c>
      <c r="E1674">
        <v>0</v>
      </c>
    </row>
    <row r="1675" spans="1:5">
      <c r="A1675">
        <v>804</v>
      </c>
      <c r="B1675">
        <v>1830197</v>
      </c>
      <c r="C1675" s="5">
        <v>46057</v>
      </c>
      <c r="D1675" t="s">
        <v>458</v>
      </c>
      <c r="E1675">
        <v>0</v>
      </c>
    </row>
    <row r="1676" spans="1:5">
      <c r="A1676">
        <v>808</v>
      </c>
      <c r="B1676">
        <v>1830197</v>
      </c>
      <c r="C1676" s="5">
        <v>46057</v>
      </c>
      <c r="D1676" t="s">
        <v>458</v>
      </c>
      <c r="E1676">
        <v>4</v>
      </c>
    </row>
    <row r="1677" spans="1:5">
      <c r="A1677">
        <v>821</v>
      </c>
      <c r="B1677">
        <v>1830197</v>
      </c>
      <c r="C1677" s="5">
        <v>46057</v>
      </c>
      <c r="D1677" t="s">
        <v>458</v>
      </c>
      <c r="E1677">
        <v>0</v>
      </c>
    </row>
    <row r="1678" spans="1:5">
      <c r="A1678">
        <v>880</v>
      </c>
      <c r="B1678">
        <v>1830197</v>
      </c>
      <c r="C1678" s="5">
        <v>46057</v>
      </c>
      <c r="D1678" t="s">
        <v>458</v>
      </c>
      <c r="E1678">
        <v>0</v>
      </c>
    </row>
    <row r="1679" spans="1:5">
      <c r="A1679">
        <v>894</v>
      </c>
      <c r="B1679">
        <v>1830197</v>
      </c>
      <c r="C1679" s="5">
        <v>46057</v>
      </c>
      <c r="D1679" t="s">
        <v>458</v>
      </c>
      <c r="E1679">
        <v>0</v>
      </c>
    </row>
    <row r="1680" spans="1:5">
      <c r="A1680">
        <v>994</v>
      </c>
      <c r="B1680">
        <v>1830197</v>
      </c>
      <c r="C1680" s="5">
        <v>46057</v>
      </c>
      <c r="D1680" t="s">
        <v>458</v>
      </c>
      <c r="E1680">
        <v>0</v>
      </c>
    </row>
    <row r="1681" spans="1:5">
      <c r="A1681">
        <v>995</v>
      </c>
      <c r="B1681">
        <v>1830197</v>
      </c>
      <c r="C1681" s="5">
        <v>46057</v>
      </c>
      <c r="D1681" t="s">
        <v>458</v>
      </c>
      <c r="E1681">
        <v>0</v>
      </c>
    </row>
    <row r="1682" spans="1:5">
      <c r="A1682">
        <v>996</v>
      </c>
      <c r="B1682">
        <v>1830197</v>
      </c>
      <c r="C1682" s="5">
        <v>46057</v>
      </c>
      <c r="D1682" t="s">
        <v>458</v>
      </c>
      <c r="E1682">
        <v>0</v>
      </c>
    </row>
    <row r="1683" spans="1:5">
      <c r="A1683">
        <v>997</v>
      </c>
      <c r="B1683">
        <v>1830197</v>
      </c>
      <c r="C1683" s="5">
        <v>46057</v>
      </c>
      <c r="D1683" t="s">
        <v>458</v>
      </c>
      <c r="E1683">
        <v>0</v>
      </c>
    </row>
    <row r="1684" spans="1:5">
      <c r="A1684">
        <v>1007</v>
      </c>
      <c r="B1684">
        <v>1830197</v>
      </c>
      <c r="C1684" s="5">
        <v>46057</v>
      </c>
      <c r="D1684" t="s">
        <v>458</v>
      </c>
      <c r="E1684">
        <v>1.92</v>
      </c>
    </row>
    <row r="1685" spans="1:5">
      <c r="A1685">
        <v>1116</v>
      </c>
      <c r="B1685">
        <v>1830197</v>
      </c>
      <c r="C1685" s="5">
        <v>46057</v>
      </c>
      <c r="D1685" t="s">
        <v>458</v>
      </c>
      <c r="E1685">
        <v>32.17</v>
      </c>
    </row>
    <row r="1686" spans="1:5">
      <c r="A1686">
        <v>1125</v>
      </c>
      <c r="B1686">
        <v>1830197</v>
      </c>
      <c r="C1686" s="5">
        <v>46057</v>
      </c>
      <c r="D1686" t="s">
        <v>458</v>
      </c>
      <c r="E1686">
        <v>66</v>
      </c>
    </row>
    <row r="1687" spans="1:5">
      <c r="A1687">
        <v>1127</v>
      </c>
      <c r="B1687">
        <v>1830197</v>
      </c>
      <c r="C1687" s="5">
        <v>46057</v>
      </c>
      <c r="D1687" t="s">
        <v>458</v>
      </c>
      <c r="E1687">
        <v>0</v>
      </c>
    </row>
    <row r="1688" spans="1:5">
      <c r="A1688">
        <v>1131</v>
      </c>
      <c r="B1688">
        <v>1830197</v>
      </c>
      <c r="C1688" s="5">
        <v>46057</v>
      </c>
      <c r="D1688" t="s">
        <v>458</v>
      </c>
      <c r="E1688">
        <v>0</v>
      </c>
    </row>
    <row r="1689" spans="1:5">
      <c r="A1689">
        <v>1139</v>
      </c>
      <c r="B1689">
        <v>1830197</v>
      </c>
      <c r="C1689" s="5">
        <v>46057</v>
      </c>
      <c r="D1689" t="s">
        <v>458</v>
      </c>
      <c r="E1689">
        <v>535</v>
      </c>
    </row>
    <row r="1690" spans="1:5">
      <c r="A1690">
        <v>1146</v>
      </c>
      <c r="B1690">
        <v>1830197</v>
      </c>
      <c r="C1690" s="5">
        <v>46057</v>
      </c>
      <c r="D1690" t="s">
        <v>458</v>
      </c>
      <c r="E1690">
        <v>64</v>
      </c>
    </row>
    <row r="1691" spans="1:5">
      <c r="A1691">
        <v>1179</v>
      </c>
      <c r="B1691">
        <v>1830197</v>
      </c>
      <c r="C1691" s="5">
        <v>46057</v>
      </c>
      <c r="D1691" t="s">
        <v>458</v>
      </c>
      <c r="E1691">
        <v>0</v>
      </c>
    </row>
    <row r="1692" spans="1:5">
      <c r="A1692">
        <v>1224</v>
      </c>
      <c r="B1692">
        <v>1830197</v>
      </c>
      <c r="C1692" s="5">
        <v>46057</v>
      </c>
      <c r="D1692" t="s">
        <v>458</v>
      </c>
      <c r="E1692">
        <v>0</v>
      </c>
    </row>
    <row r="1693" spans="1:5">
      <c r="A1693">
        <v>1242</v>
      </c>
      <c r="B1693">
        <v>1830197</v>
      </c>
      <c r="C1693" s="5">
        <v>46057</v>
      </c>
      <c r="D1693" t="s">
        <v>458</v>
      </c>
      <c r="E1693">
        <v>191</v>
      </c>
    </row>
    <row r="1694" spans="1:5">
      <c r="A1694">
        <v>1243</v>
      </c>
      <c r="B1694">
        <v>1830197</v>
      </c>
      <c r="C1694" s="5">
        <v>46057</v>
      </c>
      <c r="D1694" t="s">
        <v>458</v>
      </c>
      <c r="E1694">
        <v>0</v>
      </c>
    </row>
    <row r="1695" spans="1:5">
      <c r="A1695">
        <v>1244</v>
      </c>
      <c r="B1695">
        <v>1830197</v>
      </c>
      <c r="C1695" s="5">
        <v>46057</v>
      </c>
      <c r="D1695" t="s">
        <v>458</v>
      </c>
      <c r="E1695">
        <v>0</v>
      </c>
    </row>
    <row r="1696" spans="1:5">
      <c r="A1696">
        <v>1245</v>
      </c>
      <c r="B1696">
        <v>1830197</v>
      </c>
      <c r="C1696" s="5">
        <v>46057</v>
      </c>
      <c r="D1696" t="s">
        <v>458</v>
      </c>
      <c r="E1696">
        <v>0</v>
      </c>
    </row>
    <row r="1697" spans="1:5">
      <c r="A1697">
        <v>1394</v>
      </c>
      <c r="B1697">
        <v>1830197</v>
      </c>
      <c r="C1697" s="5">
        <v>46057</v>
      </c>
      <c r="D1697" t="s">
        <v>458</v>
      </c>
      <c r="E1697">
        <v>0</v>
      </c>
    </row>
    <row r="1698" spans="1:5">
      <c r="A1698">
        <v>1441</v>
      </c>
      <c r="B1698">
        <v>1830197</v>
      </c>
      <c r="C1698" s="5">
        <v>46057</v>
      </c>
      <c r="D1698" t="s">
        <v>458</v>
      </c>
      <c r="E1698">
        <v>124</v>
      </c>
    </row>
    <row r="1699" spans="1:5">
      <c r="A1699">
        <v>1494</v>
      </c>
      <c r="B1699">
        <v>1830197</v>
      </c>
      <c r="C1699" s="5">
        <v>46057</v>
      </c>
      <c r="D1699" t="s">
        <v>458</v>
      </c>
      <c r="E1699">
        <v>0</v>
      </c>
    </row>
    <row r="1700" spans="1:5">
      <c r="A1700">
        <v>1503</v>
      </c>
      <c r="B1700">
        <v>1830197</v>
      </c>
      <c r="C1700" s="5">
        <v>46057</v>
      </c>
      <c r="D1700" t="s">
        <v>458</v>
      </c>
      <c r="E1700">
        <v>0.05</v>
      </c>
    </row>
    <row r="1701" spans="1:5">
      <c r="A1701">
        <v>1541</v>
      </c>
      <c r="B1701">
        <v>1830197</v>
      </c>
      <c r="C1701" s="5">
        <v>46057</v>
      </c>
      <c r="D1701" t="s">
        <v>458</v>
      </c>
      <c r="E1701">
        <v>3</v>
      </c>
    </row>
    <row r="1702" spans="1:5">
      <c r="A1702">
        <v>1637</v>
      </c>
      <c r="B1702">
        <v>1830197</v>
      </c>
      <c r="C1702" s="5">
        <v>46057</v>
      </c>
      <c r="D1702" t="s">
        <v>458</v>
      </c>
      <c r="E1702">
        <v>765</v>
      </c>
    </row>
    <row r="1703" spans="1:5">
      <c r="A1703">
        <v>1782</v>
      </c>
      <c r="B1703">
        <v>1830197</v>
      </c>
      <c r="C1703" s="5">
        <v>46057</v>
      </c>
      <c r="D1703" t="s">
        <v>458</v>
      </c>
      <c r="E1703">
        <v>0</v>
      </c>
    </row>
    <row r="1704" spans="1:5">
      <c r="A1704">
        <v>1798</v>
      </c>
      <c r="B1704">
        <v>1830197</v>
      </c>
      <c r="C1704" s="5">
        <v>46057</v>
      </c>
      <c r="D1704" t="s">
        <v>458</v>
      </c>
      <c r="E1704">
        <v>0</v>
      </c>
    </row>
    <row r="1705" spans="1:5">
      <c r="A1705">
        <v>1799</v>
      </c>
      <c r="B1705">
        <v>1830197</v>
      </c>
      <c r="C1705" s="5">
        <v>46057</v>
      </c>
      <c r="D1705" t="s">
        <v>458</v>
      </c>
      <c r="E1705">
        <v>0</v>
      </c>
    </row>
    <row r="1706" spans="1:5">
      <c r="A1706">
        <v>1811</v>
      </c>
      <c r="B1706">
        <v>1830197</v>
      </c>
      <c r="C1706" s="5">
        <v>46057</v>
      </c>
      <c r="D1706" t="s">
        <v>458</v>
      </c>
      <c r="E1706">
        <v>0</v>
      </c>
    </row>
    <row r="1707" spans="1:5">
      <c r="A1707">
        <v>1812</v>
      </c>
      <c r="B1707">
        <v>1830197</v>
      </c>
      <c r="C1707" s="5">
        <v>46057</v>
      </c>
      <c r="D1707" t="s">
        <v>458</v>
      </c>
      <c r="E1707">
        <v>0</v>
      </c>
    </row>
    <row r="1708" spans="1:5">
      <c r="A1708">
        <v>1850</v>
      </c>
      <c r="B1708">
        <v>1830197</v>
      </c>
      <c r="C1708" s="5">
        <v>46057</v>
      </c>
      <c r="D1708" t="s">
        <v>458</v>
      </c>
      <c r="E1708">
        <v>0</v>
      </c>
    </row>
    <row r="1709" spans="1:5">
      <c r="A1709">
        <v>1863</v>
      </c>
      <c r="B1709">
        <v>1830197</v>
      </c>
      <c r="C1709" s="5">
        <v>46057</v>
      </c>
      <c r="D1709" t="s">
        <v>458</v>
      </c>
      <c r="E1709">
        <v>0</v>
      </c>
    </row>
    <row r="1710" spans="1:5">
      <c r="A1710">
        <v>1870</v>
      </c>
      <c r="B1710">
        <v>1830197</v>
      </c>
      <c r="C1710" s="5">
        <v>46057</v>
      </c>
      <c r="D1710" t="s">
        <v>458</v>
      </c>
      <c r="E1710">
        <v>0</v>
      </c>
    </row>
    <row r="1711" spans="1:5">
      <c r="A1711">
        <v>1912</v>
      </c>
      <c r="B1711">
        <v>1830197</v>
      </c>
      <c r="C1711" s="5">
        <v>46057</v>
      </c>
      <c r="D1711" t="s">
        <v>458</v>
      </c>
      <c r="E1711">
        <v>0</v>
      </c>
    </row>
    <row r="1712" spans="1:5">
      <c r="A1712">
        <v>2016</v>
      </c>
      <c r="B1712">
        <v>1830197</v>
      </c>
      <c r="C1712" s="5">
        <v>46057</v>
      </c>
      <c r="D1712" t="s">
        <v>458</v>
      </c>
      <c r="E1712">
        <v>0</v>
      </c>
    </row>
    <row r="1713" spans="1:5">
      <c r="A1713">
        <v>2254</v>
      </c>
      <c r="B1713">
        <v>1830197</v>
      </c>
      <c r="C1713" s="5">
        <v>46057</v>
      </c>
      <c r="D1713" t="s">
        <v>458</v>
      </c>
      <c r="E1713">
        <v>2</v>
      </c>
    </row>
    <row r="1714" spans="1:5">
      <c r="A1714">
        <v>2255</v>
      </c>
      <c r="B1714">
        <v>1830197</v>
      </c>
      <c r="C1714" s="5">
        <v>46057</v>
      </c>
      <c r="D1714" t="s">
        <v>458</v>
      </c>
      <c r="E1714">
        <v>9</v>
      </c>
    </row>
    <row r="1715" spans="1:5">
      <c r="A1715">
        <v>2399</v>
      </c>
      <c r="B1715">
        <v>1830197</v>
      </c>
      <c r="C1715" s="5">
        <v>46057</v>
      </c>
      <c r="D1715" t="s">
        <v>458</v>
      </c>
      <c r="E1715">
        <v>6.42</v>
      </c>
    </row>
    <row r="1716" spans="1:5">
      <c r="A1716">
        <v>2441</v>
      </c>
      <c r="B1716">
        <v>1830197</v>
      </c>
      <c r="C1716" s="5">
        <v>46057</v>
      </c>
      <c r="D1716" t="s">
        <v>458</v>
      </c>
      <c r="E1716">
        <v>0</v>
      </c>
    </row>
    <row r="1717" spans="1:5">
      <c r="A1717">
        <v>2442</v>
      </c>
      <c r="B1717">
        <v>1830197</v>
      </c>
      <c r="C1717" s="5">
        <v>46057</v>
      </c>
      <c r="D1717" t="s">
        <v>458</v>
      </c>
      <c r="E1717">
        <v>0</v>
      </c>
    </row>
    <row r="1718" spans="1:5">
      <c r="A1718">
        <v>2481</v>
      </c>
      <c r="B1718">
        <v>1830197</v>
      </c>
      <c r="C1718" s="5">
        <v>46057</v>
      </c>
      <c r="D1718" t="s">
        <v>458</v>
      </c>
      <c r="E1718">
        <v>0.28000000000000003</v>
      </c>
    </row>
    <row r="1719" spans="1:5">
      <c r="A1719">
        <v>2540</v>
      </c>
      <c r="B1719">
        <v>1830197</v>
      </c>
      <c r="C1719" s="5">
        <v>46057</v>
      </c>
      <c r="D1719" t="s">
        <v>458</v>
      </c>
      <c r="E1719">
        <v>12</v>
      </c>
    </row>
    <row r="1720" spans="1:5">
      <c r="A1720">
        <v>2549</v>
      </c>
      <c r="B1720">
        <v>1830197</v>
      </c>
      <c r="C1720" s="5">
        <v>46057</v>
      </c>
      <c r="D1720" t="s">
        <v>458</v>
      </c>
      <c r="E1720">
        <v>1</v>
      </c>
    </row>
    <row r="1721" spans="1:5">
      <c r="A1721">
        <v>2550</v>
      </c>
      <c r="B1721">
        <v>1830197</v>
      </c>
      <c r="C1721" s="5">
        <v>46057</v>
      </c>
      <c r="D1721" t="s">
        <v>458</v>
      </c>
      <c r="E1721">
        <v>4</v>
      </c>
    </row>
    <row r="1722" spans="1:5">
      <c r="A1722">
        <v>2589</v>
      </c>
      <c r="B1722">
        <v>1830197</v>
      </c>
      <c r="C1722" s="5">
        <v>46057</v>
      </c>
      <c r="D1722" t="s">
        <v>458</v>
      </c>
      <c r="E1722">
        <v>0</v>
      </c>
    </row>
    <row r="1723" spans="1:5">
      <c r="A1723">
        <v>2590</v>
      </c>
      <c r="B1723">
        <v>1830197</v>
      </c>
      <c r="C1723" s="5">
        <v>46057</v>
      </c>
      <c r="D1723" t="s">
        <v>458</v>
      </c>
      <c r="E1723">
        <v>0</v>
      </c>
    </row>
    <row r="1724" spans="1:5">
      <c r="A1724">
        <v>2591</v>
      </c>
      <c r="B1724">
        <v>1830197</v>
      </c>
      <c r="C1724" s="5">
        <v>46057</v>
      </c>
      <c r="D1724" t="s">
        <v>458</v>
      </c>
      <c r="E1724">
        <v>0</v>
      </c>
    </row>
    <row r="1725" spans="1:5">
      <c r="A1725">
        <v>2601</v>
      </c>
      <c r="B1725">
        <v>1830197</v>
      </c>
      <c r="C1725" s="5">
        <v>46057</v>
      </c>
      <c r="D1725" t="s">
        <v>458</v>
      </c>
      <c r="E1725">
        <v>0</v>
      </c>
    </row>
    <row r="1726" spans="1:5">
      <c r="A1726">
        <v>2679</v>
      </c>
      <c r="B1726">
        <v>1830197</v>
      </c>
      <c r="C1726" s="5">
        <v>46057</v>
      </c>
      <c r="D1726" t="s">
        <v>458</v>
      </c>
      <c r="E1726">
        <v>7.71</v>
      </c>
    </row>
    <row r="1727" spans="1:5">
      <c r="A1727">
        <v>2683</v>
      </c>
      <c r="B1727">
        <v>1830197</v>
      </c>
      <c r="C1727" s="5">
        <v>46057</v>
      </c>
      <c r="D1727" t="s">
        <v>458</v>
      </c>
      <c r="E1727">
        <v>0</v>
      </c>
    </row>
    <row r="1728" spans="1:5">
      <c r="A1728">
        <v>2684</v>
      </c>
      <c r="B1728">
        <v>1830197</v>
      </c>
      <c r="C1728" s="5">
        <v>46057</v>
      </c>
      <c r="D1728" t="s">
        <v>458</v>
      </c>
      <c r="E1728">
        <v>0</v>
      </c>
    </row>
    <row r="1729" spans="1:5">
      <c r="A1729">
        <v>2685</v>
      </c>
      <c r="B1729">
        <v>1830197</v>
      </c>
      <c r="C1729" s="5">
        <v>46057</v>
      </c>
      <c r="D1729" t="s">
        <v>458</v>
      </c>
      <c r="E1729">
        <v>0</v>
      </c>
    </row>
    <row r="1730" spans="1:5">
      <c r="A1730">
        <v>2784</v>
      </c>
      <c r="B1730">
        <v>1830197</v>
      </c>
      <c r="C1730" s="5">
        <v>46057</v>
      </c>
      <c r="D1730" t="s">
        <v>458</v>
      </c>
      <c r="E1730">
        <v>19.75</v>
      </c>
    </row>
    <row r="1731" spans="1:5">
      <c r="A1731">
        <v>2785</v>
      </c>
      <c r="B1731">
        <v>1830197</v>
      </c>
      <c r="C1731" s="5">
        <v>46057</v>
      </c>
      <c r="D1731" t="s">
        <v>458</v>
      </c>
      <c r="E1731">
        <v>0.64</v>
      </c>
    </row>
    <row r="1732" spans="1:5">
      <c r="A1732">
        <v>2786</v>
      </c>
      <c r="B1732">
        <v>1830197</v>
      </c>
      <c r="C1732" s="5">
        <v>46057</v>
      </c>
      <c r="D1732" t="s">
        <v>458</v>
      </c>
      <c r="E1732">
        <v>0</v>
      </c>
    </row>
    <row r="1733" spans="1:5">
      <c r="A1733">
        <v>2787</v>
      </c>
      <c r="B1733">
        <v>1830197</v>
      </c>
      <c r="C1733" s="5">
        <v>46057</v>
      </c>
      <c r="D1733" t="s">
        <v>458</v>
      </c>
      <c r="E1733">
        <v>3</v>
      </c>
    </row>
    <row r="1734" spans="1:5">
      <c r="A1734">
        <v>2814</v>
      </c>
      <c r="B1734">
        <v>1830197</v>
      </c>
      <c r="C1734" s="5">
        <v>46057</v>
      </c>
      <c r="D1734" t="s">
        <v>458</v>
      </c>
      <c r="E1734">
        <v>0</v>
      </c>
    </row>
    <row r="1735" spans="1:5">
      <c r="A1735">
        <v>2815</v>
      </c>
      <c r="B1735">
        <v>1830197</v>
      </c>
      <c r="C1735" s="5">
        <v>46057</v>
      </c>
      <c r="D1735" t="s">
        <v>458</v>
      </c>
      <c r="E1735">
        <v>0</v>
      </c>
    </row>
    <row r="1736" spans="1:5">
      <c r="A1736">
        <v>2816</v>
      </c>
      <c r="B1736">
        <v>1830197</v>
      </c>
      <c r="C1736" s="5">
        <v>46057</v>
      </c>
      <c r="D1736" t="s">
        <v>458</v>
      </c>
      <c r="E1736">
        <v>0</v>
      </c>
    </row>
    <row r="1737" spans="1:5">
      <c r="A1737">
        <v>2817</v>
      </c>
      <c r="B1737">
        <v>1830197</v>
      </c>
      <c r="C1737" s="5">
        <v>46057</v>
      </c>
      <c r="D1737" t="s">
        <v>458</v>
      </c>
      <c r="E1737">
        <v>0</v>
      </c>
    </row>
    <row r="1738" spans="1:5">
      <c r="A1738">
        <v>2856</v>
      </c>
      <c r="B1738">
        <v>1830197</v>
      </c>
      <c r="C1738" s="5">
        <v>46057</v>
      </c>
      <c r="D1738" t="s">
        <v>458</v>
      </c>
      <c r="E1738">
        <v>0</v>
      </c>
    </row>
    <row r="1739" spans="1:5">
      <c r="A1739">
        <v>2872</v>
      </c>
      <c r="B1739">
        <v>1830197</v>
      </c>
      <c r="C1739" s="5">
        <v>46057</v>
      </c>
      <c r="D1739" t="s">
        <v>458</v>
      </c>
      <c r="E1739">
        <v>0</v>
      </c>
    </row>
    <row r="1740" spans="1:5">
      <c r="A1740">
        <v>2956</v>
      </c>
      <c r="B1740">
        <v>1830197</v>
      </c>
      <c r="C1740" s="5">
        <v>46057</v>
      </c>
      <c r="D1740" t="s">
        <v>458</v>
      </c>
      <c r="E1740">
        <v>0.01</v>
      </c>
    </row>
    <row r="1741" spans="1:5">
      <c r="A1741">
        <v>2963</v>
      </c>
      <c r="B1741">
        <v>1830197</v>
      </c>
      <c r="C1741" s="5">
        <v>46057</v>
      </c>
      <c r="D1741" t="s">
        <v>458</v>
      </c>
      <c r="E1741">
        <v>0</v>
      </c>
    </row>
    <row r="1742" spans="1:5">
      <c r="A1742">
        <v>3034</v>
      </c>
      <c r="B1742">
        <v>1830197</v>
      </c>
      <c r="C1742" s="5">
        <v>46057</v>
      </c>
      <c r="D1742" t="s">
        <v>458</v>
      </c>
      <c r="E1742">
        <v>31</v>
      </c>
    </row>
    <row r="1743" spans="1:5">
      <c r="A1743">
        <v>3087</v>
      </c>
      <c r="B1743">
        <v>1830197</v>
      </c>
      <c r="C1743" s="5">
        <v>46057</v>
      </c>
      <c r="D1743" t="s">
        <v>458</v>
      </c>
      <c r="E1743">
        <v>187</v>
      </c>
    </row>
    <row r="1744" spans="1:5">
      <c r="A1744">
        <v>3143</v>
      </c>
      <c r="B1744">
        <v>1830197</v>
      </c>
      <c r="C1744" s="5">
        <v>46057</v>
      </c>
      <c r="D1744" t="s">
        <v>458</v>
      </c>
      <c r="E1744">
        <v>0</v>
      </c>
    </row>
    <row r="1745" spans="1:5">
      <c r="A1745">
        <v>3206</v>
      </c>
      <c r="B1745">
        <v>1830197</v>
      </c>
      <c r="C1745" s="5">
        <v>46057</v>
      </c>
      <c r="D1745" t="s">
        <v>458</v>
      </c>
      <c r="E1745">
        <v>0</v>
      </c>
    </row>
    <row r="1746" spans="1:5">
      <c r="A1746">
        <v>3236</v>
      </c>
      <c r="B1746">
        <v>1830197</v>
      </c>
      <c r="C1746" s="5">
        <v>46057</v>
      </c>
      <c r="D1746" t="s">
        <v>458</v>
      </c>
      <c r="E1746">
        <v>839</v>
      </c>
    </row>
    <row r="1747" spans="1:5">
      <c r="A1747">
        <v>3278</v>
      </c>
      <c r="B1747">
        <v>1830197</v>
      </c>
      <c r="C1747" s="5">
        <v>46057</v>
      </c>
      <c r="D1747" t="s">
        <v>458</v>
      </c>
      <c r="E1747">
        <v>248</v>
      </c>
    </row>
    <row r="1748" spans="1:5">
      <c r="A1748">
        <v>3297</v>
      </c>
      <c r="B1748">
        <v>1830197</v>
      </c>
      <c r="C1748" s="5">
        <v>46057</v>
      </c>
      <c r="D1748" t="s">
        <v>458</v>
      </c>
      <c r="E1748">
        <v>0</v>
      </c>
    </row>
    <row r="1749" spans="1:5">
      <c r="A1749">
        <v>3309</v>
      </c>
      <c r="B1749">
        <v>1830197</v>
      </c>
      <c r="C1749" s="5">
        <v>46057</v>
      </c>
      <c r="D1749" t="s">
        <v>458</v>
      </c>
      <c r="E1749">
        <v>75</v>
      </c>
    </row>
    <row r="1750" spans="1:5">
      <c r="A1750">
        <v>3423</v>
      </c>
      <c r="B1750">
        <v>1830197</v>
      </c>
      <c r="C1750" s="5">
        <v>46057</v>
      </c>
      <c r="D1750" t="s">
        <v>458</v>
      </c>
      <c r="E1750">
        <v>0</v>
      </c>
    </row>
    <row r="1751" spans="1:5">
      <c r="A1751">
        <v>3439</v>
      </c>
      <c r="B1751">
        <v>1830197</v>
      </c>
      <c r="C1751" s="5">
        <v>46057</v>
      </c>
      <c r="D1751" t="s">
        <v>458</v>
      </c>
      <c r="E1751">
        <v>0</v>
      </c>
    </row>
    <row r="1752" spans="1:5">
      <c r="A1752">
        <v>3471</v>
      </c>
      <c r="B1752">
        <v>1830197</v>
      </c>
      <c r="C1752" s="5">
        <v>46057</v>
      </c>
      <c r="D1752" t="s">
        <v>458</v>
      </c>
      <c r="E1752">
        <v>2.41</v>
      </c>
    </row>
    <row r="1753" spans="1:5">
      <c r="A1753">
        <v>3488</v>
      </c>
      <c r="B1753">
        <v>1830197</v>
      </c>
      <c r="C1753" s="5">
        <v>46057</v>
      </c>
      <c r="D1753" t="s">
        <v>458</v>
      </c>
      <c r="E1753">
        <v>0</v>
      </c>
    </row>
    <row r="1754" spans="1:5">
      <c r="A1754">
        <v>3496</v>
      </c>
      <c r="B1754">
        <v>1830197</v>
      </c>
      <c r="C1754" s="5">
        <v>46057</v>
      </c>
      <c r="D1754" t="s">
        <v>458</v>
      </c>
      <c r="E1754">
        <v>0</v>
      </c>
    </row>
    <row r="1755" spans="1:5">
      <c r="A1755">
        <v>3557</v>
      </c>
      <c r="B1755">
        <v>1830197</v>
      </c>
      <c r="C1755" s="5">
        <v>46057</v>
      </c>
      <c r="D1755" t="s">
        <v>458</v>
      </c>
      <c r="E1755">
        <v>0</v>
      </c>
    </row>
    <row r="1756" spans="1:5">
      <c r="A1756">
        <v>3584</v>
      </c>
      <c r="B1756">
        <v>1830197</v>
      </c>
      <c r="C1756" s="5">
        <v>46057</v>
      </c>
      <c r="D1756" t="s">
        <v>458</v>
      </c>
      <c r="E1756">
        <v>16</v>
      </c>
    </row>
    <row r="1757" spans="1:5">
      <c r="A1757">
        <v>3593</v>
      </c>
      <c r="B1757">
        <v>1830197</v>
      </c>
      <c r="C1757" s="5">
        <v>46057</v>
      </c>
      <c r="D1757" t="s">
        <v>458</v>
      </c>
      <c r="E1757">
        <v>94</v>
      </c>
    </row>
    <row r="1758" spans="1:5">
      <c r="A1758">
        <v>3594</v>
      </c>
      <c r="B1758">
        <v>1830197</v>
      </c>
      <c r="C1758" s="5">
        <v>46057</v>
      </c>
      <c r="D1758" t="s">
        <v>458</v>
      </c>
      <c r="E1758">
        <v>169</v>
      </c>
    </row>
    <row r="1759" spans="1:5">
      <c r="A1759">
        <v>3595</v>
      </c>
      <c r="B1759">
        <v>1830197</v>
      </c>
      <c r="C1759" s="5">
        <v>46057</v>
      </c>
      <c r="D1759" t="s">
        <v>458</v>
      </c>
      <c r="E1759">
        <v>0</v>
      </c>
    </row>
    <row r="1760" spans="1:5">
      <c r="A1760">
        <v>3596</v>
      </c>
      <c r="B1760">
        <v>1830197</v>
      </c>
      <c r="C1760" s="5">
        <v>46057</v>
      </c>
      <c r="D1760" t="s">
        <v>458</v>
      </c>
      <c r="E1760">
        <v>0</v>
      </c>
    </row>
    <row r="1761" spans="1:5">
      <c r="A1761">
        <v>3597</v>
      </c>
      <c r="B1761">
        <v>1830197</v>
      </c>
      <c r="C1761" s="5">
        <v>46057</v>
      </c>
      <c r="D1761" t="s">
        <v>458</v>
      </c>
      <c r="E1761">
        <v>24</v>
      </c>
    </row>
    <row r="1762" spans="1:5">
      <c r="A1762">
        <v>3617</v>
      </c>
      <c r="B1762">
        <v>1830197</v>
      </c>
      <c r="C1762" s="5">
        <v>46057</v>
      </c>
      <c r="D1762" t="s">
        <v>458</v>
      </c>
      <c r="E1762">
        <v>1.89</v>
      </c>
    </row>
    <row r="1763" spans="1:5">
      <c r="A1763">
        <v>3636</v>
      </c>
      <c r="B1763">
        <v>1830197</v>
      </c>
      <c r="C1763" s="5">
        <v>46057</v>
      </c>
      <c r="D1763" t="s">
        <v>458</v>
      </c>
      <c r="E1763">
        <v>0</v>
      </c>
    </row>
    <row r="1764" spans="1:5">
      <c r="A1764">
        <v>3646</v>
      </c>
      <c r="B1764">
        <v>1830197</v>
      </c>
      <c r="C1764" s="5">
        <v>46057</v>
      </c>
      <c r="D1764" t="s">
        <v>458</v>
      </c>
      <c r="E1764">
        <v>0</v>
      </c>
    </row>
    <row r="1765" spans="1:5">
      <c r="A1765">
        <v>3647</v>
      </c>
      <c r="B1765">
        <v>1830197</v>
      </c>
      <c r="C1765" s="5">
        <v>46057</v>
      </c>
      <c r="D1765" t="s">
        <v>458</v>
      </c>
      <c r="E1765">
        <v>0</v>
      </c>
    </row>
    <row r="1766" spans="1:5">
      <c r="A1766">
        <v>3648</v>
      </c>
      <c r="B1766">
        <v>1830197</v>
      </c>
      <c r="C1766" s="5">
        <v>46057</v>
      </c>
      <c r="D1766" t="s">
        <v>458</v>
      </c>
      <c r="E1766">
        <v>0</v>
      </c>
    </row>
    <row r="1767" spans="1:5">
      <c r="A1767">
        <v>3735</v>
      </c>
      <c r="B1767">
        <v>1830197</v>
      </c>
      <c r="C1767" s="5">
        <v>46057</v>
      </c>
      <c r="D1767" t="s">
        <v>458</v>
      </c>
      <c r="E1767">
        <v>0</v>
      </c>
    </row>
    <row r="1768" spans="1:5">
      <c r="A1768">
        <v>3761</v>
      </c>
      <c r="B1768">
        <v>1830197</v>
      </c>
      <c r="C1768" s="5">
        <v>46057</v>
      </c>
      <c r="D1768" t="s">
        <v>458</v>
      </c>
      <c r="E1768">
        <v>282</v>
      </c>
    </row>
    <row r="1769" spans="1:5">
      <c r="A1769">
        <v>3815</v>
      </c>
      <c r="B1769">
        <v>1830197</v>
      </c>
      <c r="C1769" s="5">
        <v>46057</v>
      </c>
      <c r="D1769" t="s">
        <v>458</v>
      </c>
      <c r="E1769">
        <v>0</v>
      </c>
    </row>
    <row r="1770" spans="1:5">
      <c r="A1770">
        <v>3866</v>
      </c>
      <c r="B1770">
        <v>1830197</v>
      </c>
      <c r="C1770" s="5">
        <v>46057</v>
      </c>
      <c r="D1770" t="s">
        <v>458</v>
      </c>
      <c r="E1770">
        <v>0</v>
      </c>
    </row>
    <row r="1771" spans="1:5">
      <c r="A1771">
        <v>3867</v>
      </c>
      <c r="B1771">
        <v>1830197</v>
      </c>
      <c r="C1771" s="5">
        <v>46057</v>
      </c>
      <c r="D1771" t="s">
        <v>458</v>
      </c>
      <c r="E1771">
        <v>0</v>
      </c>
    </row>
    <row r="1772" spans="1:5">
      <c r="A1772">
        <v>3868</v>
      </c>
      <c r="B1772">
        <v>1830197</v>
      </c>
      <c r="C1772" s="5">
        <v>46057</v>
      </c>
      <c r="D1772" t="s">
        <v>458</v>
      </c>
      <c r="E1772">
        <v>0</v>
      </c>
    </row>
    <row r="1773" spans="1:5">
      <c r="A1773">
        <v>4027</v>
      </c>
      <c r="B1773">
        <v>1830197</v>
      </c>
      <c r="C1773" s="5">
        <v>46057</v>
      </c>
      <c r="D1773" t="s">
        <v>458</v>
      </c>
      <c r="E1773">
        <v>0</v>
      </c>
    </row>
    <row r="1774" spans="1:5">
      <c r="A1774">
        <v>4111</v>
      </c>
      <c r="B1774">
        <v>1830197</v>
      </c>
      <c r="C1774" s="5">
        <v>46057</v>
      </c>
      <c r="D1774" t="s">
        <v>458</v>
      </c>
      <c r="E1774">
        <v>4</v>
      </c>
    </row>
    <row r="1775" spans="1:5">
      <c r="A1775">
        <v>4209</v>
      </c>
      <c r="B1775">
        <v>1830197</v>
      </c>
      <c r="C1775" s="5">
        <v>46057</v>
      </c>
      <c r="D1775" t="s">
        <v>458</v>
      </c>
      <c r="E1775">
        <v>0.95</v>
      </c>
    </row>
    <row r="1776" spans="1:5">
      <c r="A1776">
        <v>4334</v>
      </c>
      <c r="B1776">
        <v>1830197</v>
      </c>
      <c r="C1776" s="5">
        <v>46057</v>
      </c>
      <c r="D1776" t="s">
        <v>458</v>
      </c>
      <c r="E1776">
        <v>0</v>
      </c>
    </row>
    <row r="1777" spans="1:5">
      <c r="A1777">
        <v>4422</v>
      </c>
      <c r="B1777">
        <v>1830197</v>
      </c>
      <c r="C1777" s="5">
        <v>46057</v>
      </c>
      <c r="D1777" t="s">
        <v>458</v>
      </c>
      <c r="E1777">
        <v>0</v>
      </c>
    </row>
    <row r="1778" spans="1:5">
      <c r="A1778">
        <v>4551</v>
      </c>
      <c r="B1778">
        <v>1830197</v>
      </c>
      <c r="C1778" s="5">
        <v>46057</v>
      </c>
      <c r="D1778" t="s">
        <v>458</v>
      </c>
      <c r="E1778">
        <v>64</v>
      </c>
    </row>
    <row r="1779" spans="1:5">
      <c r="A1779">
        <v>4596</v>
      </c>
      <c r="B1779">
        <v>1830197</v>
      </c>
      <c r="C1779" s="5">
        <v>46057</v>
      </c>
      <c r="D1779" t="s">
        <v>458</v>
      </c>
      <c r="E1779">
        <v>0</v>
      </c>
    </row>
    <row r="1780" spans="1:5">
      <c r="A1780">
        <v>4607</v>
      </c>
      <c r="B1780">
        <v>1830197</v>
      </c>
      <c r="C1780" s="5">
        <v>46057</v>
      </c>
      <c r="D1780" t="s">
        <v>458</v>
      </c>
      <c r="E1780">
        <v>19</v>
      </c>
    </row>
    <row r="1781" spans="1:5">
      <c r="A1781">
        <v>4703</v>
      </c>
      <c r="B1781">
        <v>1830197</v>
      </c>
      <c r="C1781" s="5">
        <v>46057</v>
      </c>
      <c r="D1781" t="s">
        <v>458</v>
      </c>
      <c r="E1781">
        <v>0</v>
      </c>
    </row>
    <row r="1782" spans="1:5">
      <c r="A1782">
        <v>4704</v>
      </c>
      <c r="B1782">
        <v>1830197</v>
      </c>
      <c r="C1782" s="5">
        <v>46057</v>
      </c>
      <c r="D1782" t="s">
        <v>458</v>
      </c>
      <c r="E1782">
        <v>0</v>
      </c>
    </row>
    <row r="1783" spans="1:5">
      <c r="A1783">
        <v>4853</v>
      </c>
      <c r="B1783">
        <v>1830197</v>
      </c>
      <c r="C1783" s="5">
        <v>46057</v>
      </c>
      <c r="D1783" t="s">
        <v>458</v>
      </c>
      <c r="E1783">
        <v>113</v>
      </c>
    </row>
    <row r="1784" spans="1:5">
      <c r="A1784">
        <v>4887</v>
      </c>
      <c r="B1784">
        <v>1830197</v>
      </c>
      <c r="C1784" s="5">
        <v>46057</v>
      </c>
      <c r="D1784" t="s">
        <v>458</v>
      </c>
      <c r="E1784">
        <v>0</v>
      </c>
    </row>
    <row r="1785" spans="1:5">
      <c r="A1785">
        <v>4926</v>
      </c>
      <c r="B1785">
        <v>1830197</v>
      </c>
      <c r="C1785" s="5">
        <v>46057</v>
      </c>
      <c r="D1785" t="s">
        <v>458</v>
      </c>
      <c r="E1785">
        <v>0</v>
      </c>
    </row>
    <row r="1786" spans="1:5">
      <c r="A1786">
        <v>4954</v>
      </c>
      <c r="B1786">
        <v>1830197</v>
      </c>
      <c r="C1786" s="5">
        <v>46057</v>
      </c>
      <c r="D1786" t="s">
        <v>458</v>
      </c>
      <c r="E1786">
        <v>0</v>
      </c>
    </row>
    <row r="1787" spans="1:5">
      <c r="A1787">
        <v>4970</v>
      </c>
      <c r="B1787">
        <v>1830197</v>
      </c>
      <c r="C1787" s="5">
        <v>46057</v>
      </c>
      <c r="D1787" t="s">
        <v>458</v>
      </c>
      <c r="E1787">
        <v>0</v>
      </c>
    </row>
    <row r="1788" spans="1:5">
      <c r="A1788">
        <v>4980</v>
      </c>
      <c r="B1788">
        <v>1830197</v>
      </c>
      <c r="C1788" s="5">
        <v>46057</v>
      </c>
      <c r="D1788" t="s">
        <v>458</v>
      </c>
      <c r="E1788">
        <v>0</v>
      </c>
    </row>
    <row r="1789" spans="1:5">
      <c r="A1789">
        <v>4995</v>
      </c>
      <c r="B1789">
        <v>1830197</v>
      </c>
      <c r="C1789" s="5">
        <v>46057</v>
      </c>
      <c r="D1789" t="s">
        <v>458</v>
      </c>
      <c r="E1789">
        <v>0</v>
      </c>
    </row>
    <row r="1790" spans="1:5">
      <c r="A1790">
        <v>4996</v>
      </c>
      <c r="B1790">
        <v>1830197</v>
      </c>
      <c r="C1790" s="5">
        <v>46057</v>
      </c>
      <c r="D1790" t="s">
        <v>458</v>
      </c>
      <c r="E1790">
        <v>0</v>
      </c>
    </row>
    <row r="1791" spans="1:5">
      <c r="A1791">
        <v>4997</v>
      </c>
      <c r="B1791">
        <v>1830197</v>
      </c>
      <c r="C1791" s="5">
        <v>46057</v>
      </c>
      <c r="D1791" t="s">
        <v>458</v>
      </c>
      <c r="E1791">
        <v>9</v>
      </c>
    </row>
    <row r="1792" spans="1:5">
      <c r="A1792">
        <v>4998</v>
      </c>
      <c r="B1792">
        <v>1830197</v>
      </c>
      <c r="C1792" s="5">
        <v>46057</v>
      </c>
      <c r="D1792" t="s">
        <v>458</v>
      </c>
      <c r="E1792">
        <v>19</v>
      </c>
    </row>
    <row r="1793" spans="1:5">
      <c r="A1793">
        <v>4999</v>
      </c>
      <c r="B1793">
        <v>1830197</v>
      </c>
      <c r="C1793" s="5">
        <v>46057</v>
      </c>
      <c r="D1793" t="s">
        <v>458</v>
      </c>
      <c r="E1793">
        <v>387</v>
      </c>
    </row>
    <row r="1794" spans="1:5">
      <c r="A1794">
        <v>5012</v>
      </c>
      <c r="B1794">
        <v>1830197</v>
      </c>
      <c r="C1794" s="5">
        <v>46057</v>
      </c>
      <c r="D1794" t="s">
        <v>458</v>
      </c>
      <c r="E1794">
        <v>2.2999999999999998</v>
      </c>
    </row>
    <row r="1795" spans="1:5">
      <c r="A1795">
        <v>5054</v>
      </c>
      <c r="B1795">
        <v>1830197</v>
      </c>
      <c r="C1795" s="5">
        <v>46057</v>
      </c>
      <c r="D1795" t="s">
        <v>458</v>
      </c>
      <c r="E1795">
        <v>17.52</v>
      </c>
    </row>
    <row r="1796" spans="1:5">
      <c r="A1796">
        <v>5163</v>
      </c>
      <c r="B1796">
        <v>1830197</v>
      </c>
      <c r="C1796" s="5">
        <v>46057</v>
      </c>
      <c r="D1796" t="s">
        <v>458</v>
      </c>
      <c r="E1796">
        <v>0</v>
      </c>
    </row>
    <row r="1797" spans="1:5">
      <c r="A1797">
        <v>5209</v>
      </c>
      <c r="B1797">
        <v>1830197</v>
      </c>
      <c r="C1797" s="5">
        <v>46057</v>
      </c>
      <c r="D1797" t="s">
        <v>458</v>
      </c>
      <c r="E1797">
        <v>2.4</v>
      </c>
    </row>
    <row r="1798" spans="1:5">
      <c r="A1798">
        <v>5349</v>
      </c>
      <c r="B1798">
        <v>1830197</v>
      </c>
      <c r="C1798" s="5">
        <v>46057</v>
      </c>
      <c r="D1798" t="s">
        <v>458</v>
      </c>
      <c r="E1798">
        <v>0</v>
      </c>
    </row>
    <row r="1799" spans="1:5">
      <c r="A1799">
        <v>5351</v>
      </c>
      <c r="B1799">
        <v>1830197</v>
      </c>
      <c r="C1799" s="5">
        <v>46057</v>
      </c>
      <c r="D1799" t="s">
        <v>458</v>
      </c>
      <c r="E1799">
        <v>0</v>
      </c>
    </row>
    <row r="1800" spans="1:5">
      <c r="A1800">
        <v>5358</v>
      </c>
      <c r="B1800">
        <v>1830197</v>
      </c>
      <c r="C1800" s="5">
        <v>46057</v>
      </c>
      <c r="D1800" t="s">
        <v>458</v>
      </c>
      <c r="E1800">
        <v>0</v>
      </c>
    </row>
    <row r="1801" spans="1:5">
      <c r="A1801">
        <v>5378</v>
      </c>
      <c r="B1801">
        <v>1830197</v>
      </c>
      <c r="C1801" s="5">
        <v>46057</v>
      </c>
      <c r="D1801" t="s">
        <v>458</v>
      </c>
      <c r="E1801">
        <v>0</v>
      </c>
    </row>
    <row r="1802" spans="1:5">
      <c r="A1802">
        <v>5391</v>
      </c>
      <c r="B1802">
        <v>1830197</v>
      </c>
      <c r="C1802" s="5">
        <v>46057</v>
      </c>
      <c r="D1802" t="s">
        <v>458</v>
      </c>
      <c r="E1802">
        <v>0</v>
      </c>
    </row>
    <row r="1803" spans="1:5">
      <c r="A1803">
        <v>5429</v>
      </c>
      <c r="B1803">
        <v>1830197</v>
      </c>
      <c r="C1803" s="5">
        <v>46057</v>
      </c>
      <c r="D1803" t="s">
        <v>458</v>
      </c>
      <c r="E1803">
        <v>8</v>
      </c>
    </row>
    <row r="1804" spans="1:5">
      <c r="A1804">
        <v>5430</v>
      </c>
      <c r="B1804">
        <v>1830197</v>
      </c>
      <c r="C1804" s="5">
        <v>46057</v>
      </c>
      <c r="D1804" t="s">
        <v>458</v>
      </c>
      <c r="E1804">
        <v>0</v>
      </c>
    </row>
    <row r="1805" spans="1:5">
      <c r="A1805">
        <v>5431</v>
      </c>
      <c r="B1805">
        <v>1830197</v>
      </c>
      <c r="C1805" s="5">
        <v>46057</v>
      </c>
      <c r="D1805" t="s">
        <v>458</v>
      </c>
      <c r="E1805">
        <v>0</v>
      </c>
    </row>
    <row r="1806" spans="1:5">
      <c r="A1806">
        <v>5432</v>
      </c>
      <c r="B1806">
        <v>1830197</v>
      </c>
      <c r="C1806" s="5">
        <v>46057</v>
      </c>
      <c r="D1806" t="s">
        <v>458</v>
      </c>
      <c r="E1806">
        <v>0</v>
      </c>
    </row>
    <row r="1807" spans="1:5">
      <c r="A1807">
        <v>5444</v>
      </c>
      <c r="B1807">
        <v>1830197</v>
      </c>
      <c r="C1807" s="5">
        <v>46057</v>
      </c>
      <c r="D1807" t="s">
        <v>458</v>
      </c>
      <c r="E1807">
        <v>0</v>
      </c>
    </row>
    <row r="1808" spans="1:5">
      <c r="A1808">
        <v>5478</v>
      </c>
      <c r="B1808">
        <v>1830197</v>
      </c>
      <c r="C1808" s="5">
        <v>46057</v>
      </c>
      <c r="D1808" t="s">
        <v>458</v>
      </c>
      <c r="E1808">
        <v>0</v>
      </c>
    </row>
    <row r="1809" spans="1:5">
      <c r="A1809">
        <v>5481</v>
      </c>
      <c r="B1809">
        <v>1830197</v>
      </c>
      <c r="C1809" s="5">
        <v>46057</v>
      </c>
      <c r="D1809" t="s">
        <v>458</v>
      </c>
      <c r="E1809">
        <v>0</v>
      </c>
    </row>
    <row r="1810" spans="1:5">
      <c r="A1810">
        <v>5551</v>
      </c>
      <c r="B1810">
        <v>1830197</v>
      </c>
      <c r="C1810" s="5">
        <v>46057</v>
      </c>
      <c r="D1810" t="s">
        <v>458</v>
      </c>
      <c r="E1810">
        <v>0</v>
      </c>
    </row>
    <row r="1811" spans="1:5">
      <c r="A1811">
        <v>5552</v>
      </c>
      <c r="B1811">
        <v>1830197</v>
      </c>
      <c r="C1811" s="5">
        <v>46057</v>
      </c>
      <c r="D1811" t="s">
        <v>458</v>
      </c>
      <c r="E1811">
        <v>19</v>
      </c>
    </row>
    <row r="1812" spans="1:5">
      <c r="A1812">
        <v>5565</v>
      </c>
      <c r="B1812">
        <v>1830197</v>
      </c>
      <c r="C1812" s="5">
        <v>46057</v>
      </c>
      <c r="D1812" t="s">
        <v>458</v>
      </c>
      <c r="E1812">
        <v>0</v>
      </c>
    </row>
    <row r="1813" spans="1:5">
      <c r="A1813">
        <v>5664</v>
      </c>
      <c r="B1813">
        <v>1830197</v>
      </c>
      <c r="C1813" s="5">
        <v>46057</v>
      </c>
      <c r="D1813" t="s">
        <v>458</v>
      </c>
      <c r="E1813">
        <v>3</v>
      </c>
    </row>
    <row r="1814" spans="1:5">
      <c r="A1814">
        <v>5876</v>
      </c>
      <c r="B1814">
        <v>1830197</v>
      </c>
      <c r="C1814" s="5">
        <v>46057</v>
      </c>
      <c r="D1814" t="s">
        <v>458</v>
      </c>
      <c r="E1814">
        <v>0</v>
      </c>
    </row>
    <row r="1815" spans="1:5">
      <c r="A1815">
        <v>5935</v>
      </c>
      <c r="B1815">
        <v>1830197</v>
      </c>
      <c r="C1815" s="5">
        <v>46057</v>
      </c>
      <c r="D1815" t="s">
        <v>458</v>
      </c>
      <c r="E1815">
        <v>0</v>
      </c>
    </row>
    <row r="1816" spans="1:5">
      <c r="A1816">
        <v>5939</v>
      </c>
      <c r="B1816">
        <v>1830197</v>
      </c>
      <c r="C1816" s="5">
        <v>46057</v>
      </c>
      <c r="D1816" t="s">
        <v>458</v>
      </c>
      <c r="E1816">
        <v>0</v>
      </c>
    </row>
    <row r="1817" spans="1:5">
      <c r="A1817">
        <v>5983</v>
      </c>
      <c r="B1817">
        <v>1830197</v>
      </c>
      <c r="C1817" s="5">
        <v>46057</v>
      </c>
      <c r="D1817" t="s">
        <v>458</v>
      </c>
      <c r="E1817">
        <v>0.79</v>
      </c>
    </row>
    <row r="1818" spans="1:5">
      <c r="A1818">
        <v>6053</v>
      </c>
      <c r="B1818">
        <v>1830197</v>
      </c>
      <c r="C1818" s="5">
        <v>46057</v>
      </c>
      <c r="D1818" t="s">
        <v>458</v>
      </c>
      <c r="E1818">
        <v>0</v>
      </c>
    </row>
    <row r="1819" spans="1:5">
      <c r="A1819">
        <v>6094</v>
      </c>
      <c r="B1819">
        <v>1830197</v>
      </c>
      <c r="C1819" s="5">
        <v>46057</v>
      </c>
      <c r="D1819" t="s">
        <v>458</v>
      </c>
      <c r="E1819">
        <v>13</v>
      </c>
    </row>
    <row r="1820" spans="1:5">
      <c r="A1820">
        <v>6373</v>
      </c>
      <c r="B1820">
        <v>1830197</v>
      </c>
      <c r="C1820" s="5">
        <v>46057</v>
      </c>
      <c r="D1820" t="s">
        <v>458</v>
      </c>
      <c r="E1820">
        <v>0</v>
      </c>
    </row>
    <row r="1821" spans="1:5">
      <c r="A1821">
        <v>6374</v>
      </c>
      <c r="B1821">
        <v>1830197</v>
      </c>
      <c r="C1821" s="5">
        <v>46057</v>
      </c>
      <c r="D1821" t="s">
        <v>458</v>
      </c>
      <c r="E1821">
        <v>0</v>
      </c>
    </row>
    <row r="1822" spans="1:5">
      <c r="A1822">
        <v>6375</v>
      </c>
      <c r="B1822">
        <v>1830197</v>
      </c>
      <c r="C1822" s="5">
        <v>46057</v>
      </c>
      <c r="D1822" t="s">
        <v>458</v>
      </c>
      <c r="E1822">
        <v>0</v>
      </c>
    </row>
    <row r="1823" spans="1:5">
      <c r="A1823">
        <v>6376</v>
      </c>
      <c r="B1823">
        <v>1830197</v>
      </c>
      <c r="C1823" s="5">
        <v>46057</v>
      </c>
      <c r="D1823" t="s">
        <v>458</v>
      </c>
      <c r="E1823">
        <v>0</v>
      </c>
    </row>
    <row r="1824" spans="1:5">
      <c r="A1824">
        <v>6472</v>
      </c>
      <c r="B1824">
        <v>1830197</v>
      </c>
      <c r="C1824" s="5">
        <v>46057</v>
      </c>
      <c r="D1824" t="s">
        <v>458</v>
      </c>
      <c r="E1824">
        <v>0</v>
      </c>
    </row>
    <row r="1825" spans="1:5">
      <c r="A1825">
        <v>6477</v>
      </c>
      <c r="B1825">
        <v>1830197</v>
      </c>
      <c r="C1825" s="5">
        <v>46057</v>
      </c>
      <c r="D1825" t="s">
        <v>458</v>
      </c>
      <c r="E1825">
        <v>0</v>
      </c>
    </row>
    <row r="1826" spans="1:5">
      <c r="A1826">
        <v>6724</v>
      </c>
      <c r="B1826">
        <v>1830197</v>
      </c>
      <c r="C1826" s="5">
        <v>46057</v>
      </c>
      <c r="D1826" t="s">
        <v>458</v>
      </c>
      <c r="E1826">
        <v>0</v>
      </c>
    </row>
    <row r="1827" spans="1:5">
      <c r="A1827">
        <v>6757</v>
      </c>
      <c r="B1827">
        <v>1830197</v>
      </c>
      <c r="C1827" s="5">
        <v>46057</v>
      </c>
      <c r="D1827" t="s">
        <v>458</v>
      </c>
      <c r="E1827">
        <v>0</v>
      </c>
    </row>
    <row r="1828" spans="1:5">
      <c r="A1828">
        <v>6761</v>
      </c>
      <c r="B1828">
        <v>1830197</v>
      </c>
      <c r="C1828" s="5">
        <v>46057</v>
      </c>
      <c r="D1828" t="s">
        <v>458</v>
      </c>
      <c r="E1828">
        <v>0</v>
      </c>
    </row>
    <row r="1829" spans="1:5">
      <c r="A1829">
        <v>6776</v>
      </c>
      <c r="B1829">
        <v>1830197</v>
      </c>
      <c r="C1829" s="5">
        <v>46057</v>
      </c>
      <c r="D1829" t="s">
        <v>458</v>
      </c>
      <c r="E1829">
        <v>0</v>
      </c>
    </row>
    <row r="1830" spans="1:5">
      <c r="A1830">
        <v>6810</v>
      </c>
      <c r="B1830">
        <v>1830197</v>
      </c>
      <c r="C1830" s="5">
        <v>46057</v>
      </c>
      <c r="D1830" t="s">
        <v>458</v>
      </c>
      <c r="E1830">
        <v>0</v>
      </c>
    </row>
    <row r="1831" spans="1:5">
      <c r="A1831">
        <v>6811</v>
      </c>
      <c r="B1831">
        <v>1830197</v>
      </c>
      <c r="C1831" s="5">
        <v>46057</v>
      </c>
      <c r="D1831" t="s">
        <v>458</v>
      </c>
      <c r="E1831">
        <v>264</v>
      </c>
    </row>
    <row r="1832" spans="1:5">
      <c r="A1832">
        <v>6880</v>
      </c>
      <c r="B1832">
        <v>1830197</v>
      </c>
      <c r="C1832" s="5">
        <v>46057</v>
      </c>
      <c r="D1832" t="s">
        <v>458</v>
      </c>
      <c r="E1832">
        <v>0</v>
      </c>
    </row>
    <row r="1833" spans="1:5">
      <c r="A1833">
        <v>6928</v>
      </c>
      <c r="B1833">
        <v>1830197</v>
      </c>
      <c r="C1833" s="5">
        <v>46057</v>
      </c>
      <c r="D1833" t="s">
        <v>458</v>
      </c>
      <c r="E1833">
        <v>0.93</v>
      </c>
    </row>
    <row r="1834" spans="1:5">
      <c r="A1834">
        <v>7034</v>
      </c>
      <c r="B1834">
        <v>1830197</v>
      </c>
      <c r="C1834" s="5">
        <v>46057</v>
      </c>
      <c r="D1834" t="s">
        <v>458</v>
      </c>
      <c r="E1834">
        <v>0</v>
      </c>
    </row>
    <row r="1835" spans="1:5">
      <c r="A1835">
        <v>7127</v>
      </c>
      <c r="B1835">
        <v>1830197</v>
      </c>
      <c r="C1835" s="5">
        <v>46057</v>
      </c>
      <c r="D1835" t="s">
        <v>458</v>
      </c>
      <c r="E1835">
        <v>1</v>
      </c>
    </row>
    <row r="1836" spans="1:5">
      <c r="A1836">
        <v>7205</v>
      </c>
      <c r="B1836">
        <v>1830197</v>
      </c>
      <c r="C1836" s="5">
        <v>46057</v>
      </c>
      <c r="D1836" t="s">
        <v>458</v>
      </c>
      <c r="E1836">
        <v>176</v>
      </c>
    </row>
    <row r="1837" spans="1:5">
      <c r="A1837">
        <v>7206</v>
      </c>
      <c r="B1837">
        <v>1830197</v>
      </c>
      <c r="C1837" s="5">
        <v>46057</v>
      </c>
      <c r="D1837" t="s">
        <v>458</v>
      </c>
      <c r="E1837">
        <v>100</v>
      </c>
    </row>
    <row r="1838" spans="1:5">
      <c r="A1838">
        <v>7223</v>
      </c>
      <c r="B1838">
        <v>1830197</v>
      </c>
      <c r="C1838" s="5">
        <v>46057</v>
      </c>
      <c r="D1838" t="s">
        <v>458</v>
      </c>
      <c r="E1838">
        <v>0</v>
      </c>
    </row>
    <row r="1839" spans="1:5">
      <c r="A1839">
        <v>7301</v>
      </c>
      <c r="B1839">
        <v>1830197</v>
      </c>
      <c r="C1839" s="5">
        <v>46057</v>
      </c>
      <c r="D1839" t="s">
        <v>458</v>
      </c>
      <c r="E1839">
        <v>90</v>
      </c>
    </row>
    <row r="1840" spans="1:5">
      <c r="A1840">
        <v>7311</v>
      </c>
      <c r="B1840">
        <v>1830197</v>
      </c>
      <c r="C1840" s="5">
        <v>46057</v>
      </c>
      <c r="D1840" t="s">
        <v>458</v>
      </c>
      <c r="E1840">
        <v>0</v>
      </c>
    </row>
    <row r="1841" spans="1:5">
      <c r="A1841">
        <v>7312</v>
      </c>
      <c r="B1841">
        <v>1830197</v>
      </c>
      <c r="C1841" s="5">
        <v>46057</v>
      </c>
      <c r="D1841" t="s">
        <v>458</v>
      </c>
      <c r="E1841">
        <v>0</v>
      </c>
    </row>
    <row r="1842" spans="1:5">
      <c r="A1842">
        <v>7313</v>
      </c>
      <c r="B1842">
        <v>1830197</v>
      </c>
      <c r="C1842" s="5">
        <v>46057</v>
      </c>
      <c r="D1842" t="s">
        <v>458</v>
      </c>
      <c r="E1842">
        <v>1</v>
      </c>
    </row>
    <row r="1843" spans="1:5">
      <c r="A1843">
        <v>7326</v>
      </c>
      <c r="B1843">
        <v>1830197</v>
      </c>
      <c r="C1843" s="5">
        <v>46057</v>
      </c>
      <c r="D1843" t="s">
        <v>458</v>
      </c>
      <c r="E1843">
        <v>0</v>
      </c>
    </row>
    <row r="1844" spans="1:5">
      <c r="A1844">
        <v>7333</v>
      </c>
      <c r="B1844">
        <v>1830197</v>
      </c>
      <c r="C1844" s="5">
        <v>46057</v>
      </c>
      <c r="D1844" t="s">
        <v>458</v>
      </c>
      <c r="E1844">
        <v>297</v>
      </c>
    </row>
    <row r="1845" spans="1:5">
      <c r="A1845">
        <v>7421</v>
      </c>
      <c r="B1845">
        <v>1830197</v>
      </c>
      <c r="C1845" s="5">
        <v>46057</v>
      </c>
      <c r="D1845" t="s">
        <v>458</v>
      </c>
      <c r="E1845">
        <v>0</v>
      </c>
    </row>
    <row r="1846" spans="1:5">
      <c r="A1846">
        <v>7422</v>
      </c>
      <c r="B1846">
        <v>1830197</v>
      </c>
      <c r="C1846" s="5">
        <v>46057</v>
      </c>
      <c r="D1846" t="s">
        <v>458</v>
      </c>
      <c r="E1846">
        <v>0</v>
      </c>
    </row>
    <row r="1847" spans="1:5">
      <c r="A1847">
        <v>7634</v>
      </c>
      <c r="B1847">
        <v>1830197</v>
      </c>
      <c r="C1847" s="5">
        <v>46057</v>
      </c>
      <c r="D1847" t="s">
        <v>458</v>
      </c>
      <c r="E1847">
        <v>10</v>
      </c>
    </row>
    <row r="1848" spans="1:5">
      <c r="A1848">
        <v>7919</v>
      </c>
      <c r="B1848">
        <v>1830197</v>
      </c>
      <c r="C1848" s="5">
        <v>46057</v>
      </c>
      <c r="D1848" t="s">
        <v>458</v>
      </c>
      <c r="E1848">
        <v>7.31</v>
      </c>
    </row>
    <row r="1849" spans="1:5">
      <c r="A1849">
        <v>7920</v>
      </c>
      <c r="B1849">
        <v>1830197</v>
      </c>
      <c r="C1849" s="5">
        <v>46057</v>
      </c>
      <c r="D1849" t="s">
        <v>458</v>
      </c>
      <c r="E1849">
        <v>179</v>
      </c>
    </row>
    <row r="1850" spans="1:5">
      <c r="A1850">
        <v>7969</v>
      </c>
      <c r="B1850">
        <v>1830197</v>
      </c>
      <c r="C1850" s="5">
        <v>46057</v>
      </c>
      <c r="D1850" t="s">
        <v>458</v>
      </c>
      <c r="E1850">
        <v>0</v>
      </c>
    </row>
    <row r="1851" spans="1:5">
      <c r="A1851">
        <v>8159</v>
      </c>
      <c r="B1851">
        <v>1830197</v>
      </c>
      <c r="C1851" s="5">
        <v>46057</v>
      </c>
      <c r="D1851" t="s">
        <v>458</v>
      </c>
      <c r="E1851">
        <v>0</v>
      </c>
    </row>
    <row r="1852" spans="1:5">
      <c r="A1852">
        <v>8201</v>
      </c>
      <c r="B1852">
        <v>1830197</v>
      </c>
      <c r="C1852" s="5">
        <v>46057</v>
      </c>
      <c r="D1852" t="s">
        <v>458</v>
      </c>
      <c r="E1852">
        <v>77</v>
      </c>
    </row>
    <row r="1853" spans="1:5">
      <c r="A1853">
        <v>8207</v>
      </c>
      <c r="B1853">
        <v>1830197</v>
      </c>
      <c r="C1853" s="5">
        <v>46057</v>
      </c>
      <c r="D1853" t="s">
        <v>458</v>
      </c>
      <c r="E1853">
        <v>0</v>
      </c>
    </row>
    <row r="1854" spans="1:5">
      <c r="A1854">
        <v>8322</v>
      </c>
      <c r="B1854">
        <v>1830197</v>
      </c>
      <c r="C1854" s="5">
        <v>46057</v>
      </c>
      <c r="D1854" t="s">
        <v>458</v>
      </c>
      <c r="E1854">
        <v>0</v>
      </c>
    </row>
    <row r="1855" spans="1:5">
      <c r="A1855">
        <v>8541</v>
      </c>
      <c r="B1855">
        <v>1830197</v>
      </c>
      <c r="C1855" s="5">
        <v>46057</v>
      </c>
      <c r="D1855" t="s">
        <v>458</v>
      </c>
      <c r="E1855">
        <v>4</v>
      </c>
    </row>
    <row r="1856" spans="1:5">
      <c r="A1856">
        <v>8800</v>
      </c>
      <c r="B1856">
        <v>1830197</v>
      </c>
      <c r="C1856" s="5">
        <v>46057</v>
      </c>
      <c r="D1856" t="s">
        <v>458</v>
      </c>
      <c r="E1856">
        <v>0</v>
      </c>
    </row>
    <row r="1857" spans="1:5">
      <c r="A1857">
        <v>8801</v>
      </c>
      <c r="B1857">
        <v>1830197</v>
      </c>
      <c r="C1857" s="5">
        <v>46057</v>
      </c>
      <c r="D1857" t="s">
        <v>458</v>
      </c>
      <c r="E1857">
        <v>0</v>
      </c>
    </row>
    <row r="1858" spans="1:5">
      <c r="A1858">
        <v>8886</v>
      </c>
      <c r="B1858">
        <v>1830197</v>
      </c>
      <c r="C1858" s="5">
        <v>46057</v>
      </c>
      <c r="D1858" t="s">
        <v>458</v>
      </c>
      <c r="E1858">
        <v>0</v>
      </c>
    </row>
    <row r="1859" spans="1:5">
      <c r="A1859">
        <v>8951</v>
      </c>
      <c r="B1859">
        <v>1830197</v>
      </c>
      <c r="C1859" s="5">
        <v>46057</v>
      </c>
      <c r="D1859" t="s">
        <v>458</v>
      </c>
      <c r="E1859">
        <v>0</v>
      </c>
    </row>
    <row r="1860" spans="1:5">
      <c r="A1860">
        <v>8970</v>
      </c>
      <c r="B1860">
        <v>1830197</v>
      </c>
      <c r="C1860" s="5">
        <v>46057</v>
      </c>
      <c r="D1860" t="s">
        <v>458</v>
      </c>
      <c r="E1860">
        <v>0</v>
      </c>
    </row>
    <row r="1861" spans="1:5">
      <c r="A1861">
        <v>9110</v>
      </c>
      <c r="B1861">
        <v>1830197</v>
      </c>
      <c r="C1861" s="5">
        <v>46057</v>
      </c>
      <c r="D1861" t="s">
        <v>458</v>
      </c>
      <c r="E1861">
        <v>86</v>
      </c>
    </row>
    <row r="1862" spans="1:5">
      <c r="A1862">
        <v>9456</v>
      </c>
      <c r="B1862">
        <v>1830197</v>
      </c>
      <c r="C1862" s="5">
        <v>46057</v>
      </c>
      <c r="D1862" t="s">
        <v>458</v>
      </c>
      <c r="E1862">
        <v>0</v>
      </c>
    </row>
    <row r="1863" spans="1:5">
      <c r="A1863">
        <v>9903</v>
      </c>
      <c r="B1863">
        <v>1830197</v>
      </c>
      <c r="C1863" s="5">
        <v>46057</v>
      </c>
      <c r="D1863" t="s">
        <v>458</v>
      </c>
      <c r="E1863">
        <v>0</v>
      </c>
    </row>
    <row r="1864" spans="1:5">
      <c r="A1864">
        <v>9920</v>
      </c>
      <c r="B1864">
        <v>1830197</v>
      </c>
      <c r="C1864" s="5">
        <v>46057</v>
      </c>
      <c r="D1864" t="s">
        <v>458</v>
      </c>
      <c r="E1864">
        <v>0</v>
      </c>
    </row>
    <row r="1865" spans="1:5">
      <c r="A1865">
        <v>9930</v>
      </c>
      <c r="B1865">
        <v>1830197</v>
      </c>
      <c r="C1865" s="5">
        <v>46057</v>
      </c>
      <c r="D1865" t="s">
        <v>458</v>
      </c>
      <c r="E1865">
        <v>0</v>
      </c>
    </row>
    <row r="1866" spans="1:5">
      <c r="A1866">
        <v>9931</v>
      </c>
      <c r="B1866">
        <v>1830197</v>
      </c>
      <c r="C1866" s="5">
        <v>46057</v>
      </c>
      <c r="D1866" t="s">
        <v>458</v>
      </c>
      <c r="E1866">
        <v>0</v>
      </c>
    </row>
    <row r="1867" spans="1:5">
      <c r="A1867">
        <v>9972</v>
      </c>
      <c r="B1867">
        <v>1830197</v>
      </c>
      <c r="C1867" s="5">
        <v>46057</v>
      </c>
      <c r="D1867" t="s">
        <v>458</v>
      </c>
      <c r="E1867">
        <v>0.06</v>
      </c>
    </row>
    <row r="1868" spans="1:5">
      <c r="A1868">
        <v>10010</v>
      </c>
      <c r="B1868">
        <v>1830197</v>
      </c>
      <c r="C1868" s="5">
        <v>46057</v>
      </c>
      <c r="D1868" t="s">
        <v>458</v>
      </c>
      <c r="E1868">
        <v>0</v>
      </c>
    </row>
    <row r="1869" spans="1:5">
      <c r="A1869">
        <v>10264</v>
      </c>
      <c r="B1869">
        <v>1830197</v>
      </c>
      <c r="C1869" s="5">
        <v>46057</v>
      </c>
      <c r="D1869" t="s">
        <v>458</v>
      </c>
      <c r="E1869">
        <v>0.18</v>
      </c>
    </row>
    <row r="1870" spans="1:5">
      <c r="A1870">
        <v>10294</v>
      </c>
      <c r="B1870">
        <v>1830197</v>
      </c>
      <c r="C1870" s="5">
        <v>46057</v>
      </c>
      <c r="D1870" t="s">
        <v>458</v>
      </c>
      <c r="E1870">
        <v>0</v>
      </c>
    </row>
    <row r="1871" spans="1:5">
      <c r="A1871">
        <v>10295</v>
      </c>
      <c r="B1871">
        <v>1830197</v>
      </c>
      <c r="C1871" s="5">
        <v>46057</v>
      </c>
      <c r="D1871" t="s">
        <v>458</v>
      </c>
      <c r="E1871">
        <v>0</v>
      </c>
    </row>
    <row r="1872" spans="1:5">
      <c r="A1872">
        <v>10296</v>
      </c>
      <c r="B1872">
        <v>1830197</v>
      </c>
      <c r="C1872" s="5">
        <v>46057</v>
      </c>
      <c r="D1872" t="s">
        <v>458</v>
      </c>
      <c r="E1872">
        <v>0</v>
      </c>
    </row>
    <row r="1873" spans="1:5">
      <c r="A1873">
        <v>10297</v>
      </c>
      <c r="B1873">
        <v>1830197</v>
      </c>
      <c r="C1873" s="5">
        <v>46057</v>
      </c>
      <c r="D1873" t="s">
        <v>458</v>
      </c>
      <c r="E1873">
        <v>0</v>
      </c>
    </row>
    <row r="1874" spans="1:5">
      <c r="A1874">
        <v>10298</v>
      </c>
      <c r="B1874">
        <v>1830197</v>
      </c>
      <c r="C1874" s="5">
        <v>46057</v>
      </c>
      <c r="D1874" t="s">
        <v>458</v>
      </c>
      <c r="E1874">
        <v>0</v>
      </c>
    </row>
    <row r="1875" spans="1:5">
      <c r="A1875">
        <v>10299</v>
      </c>
      <c r="B1875">
        <v>1830197</v>
      </c>
      <c r="C1875" s="5">
        <v>46057</v>
      </c>
      <c r="D1875" t="s">
        <v>458</v>
      </c>
      <c r="E1875">
        <v>0</v>
      </c>
    </row>
    <row r="1876" spans="1:5">
      <c r="A1876">
        <v>10458</v>
      </c>
      <c r="B1876">
        <v>1830197</v>
      </c>
      <c r="C1876" s="5">
        <v>46057</v>
      </c>
      <c r="D1876" t="s">
        <v>458</v>
      </c>
      <c r="E1876">
        <v>0</v>
      </c>
    </row>
    <row r="1877" spans="1:5">
      <c r="A1877">
        <v>10550</v>
      </c>
      <c r="B1877">
        <v>1830197</v>
      </c>
      <c r="C1877" s="5">
        <v>46057</v>
      </c>
      <c r="D1877" t="s">
        <v>458</v>
      </c>
      <c r="E1877">
        <v>0</v>
      </c>
    </row>
    <row r="1878" spans="1:5">
      <c r="A1878">
        <v>10594</v>
      </c>
      <c r="B1878">
        <v>1830197</v>
      </c>
      <c r="C1878" s="5">
        <v>46057</v>
      </c>
      <c r="D1878" t="s">
        <v>458</v>
      </c>
      <c r="E1878">
        <v>0.31</v>
      </c>
    </row>
    <row r="1879" spans="1:5">
      <c r="A1879">
        <v>10595</v>
      </c>
      <c r="B1879">
        <v>1830197</v>
      </c>
      <c r="C1879" s="5">
        <v>46057</v>
      </c>
      <c r="D1879" t="s">
        <v>458</v>
      </c>
      <c r="E1879">
        <v>0.53</v>
      </c>
    </row>
    <row r="1880" spans="1:5">
      <c r="A1880">
        <v>10596</v>
      </c>
      <c r="B1880">
        <v>1830197</v>
      </c>
      <c r="C1880" s="5">
        <v>46057</v>
      </c>
      <c r="D1880" t="s">
        <v>458</v>
      </c>
      <c r="E1880">
        <v>1.06</v>
      </c>
    </row>
    <row r="1881" spans="1:5">
      <c r="A1881">
        <v>10597</v>
      </c>
      <c r="B1881">
        <v>1830197</v>
      </c>
      <c r="C1881" s="5">
        <v>46057</v>
      </c>
      <c r="D1881" t="s">
        <v>458</v>
      </c>
      <c r="E1881">
        <v>0.96</v>
      </c>
    </row>
    <row r="1882" spans="1:5">
      <c r="A1882">
        <v>10598</v>
      </c>
      <c r="B1882">
        <v>1830197</v>
      </c>
      <c r="C1882" s="5">
        <v>46057</v>
      </c>
      <c r="D1882" t="s">
        <v>458</v>
      </c>
      <c r="E1882">
        <v>14.74</v>
      </c>
    </row>
    <row r="1883" spans="1:5">
      <c r="A1883">
        <v>10599</v>
      </c>
      <c r="B1883">
        <v>1830197</v>
      </c>
      <c r="C1883" s="5">
        <v>46057</v>
      </c>
      <c r="D1883" t="s">
        <v>458</v>
      </c>
      <c r="E1883">
        <v>0</v>
      </c>
    </row>
    <row r="1884" spans="1:5">
      <c r="A1884">
        <v>10629</v>
      </c>
      <c r="B1884">
        <v>1830197</v>
      </c>
      <c r="C1884" s="5">
        <v>46057</v>
      </c>
      <c r="D1884" t="s">
        <v>458</v>
      </c>
      <c r="E1884">
        <v>22</v>
      </c>
    </row>
    <row r="1885" spans="1:5">
      <c r="A1885">
        <v>10683</v>
      </c>
      <c r="B1885">
        <v>1830197</v>
      </c>
      <c r="C1885" s="5">
        <v>46057</v>
      </c>
      <c r="D1885" t="s">
        <v>458</v>
      </c>
      <c r="E1885">
        <v>0</v>
      </c>
    </row>
    <row r="1886" spans="1:5">
      <c r="A1886">
        <v>10685</v>
      </c>
      <c r="B1886">
        <v>1830197</v>
      </c>
      <c r="C1886" s="5">
        <v>46057</v>
      </c>
      <c r="D1886" t="s">
        <v>458</v>
      </c>
      <c r="E1886">
        <v>0</v>
      </c>
    </row>
    <row r="1887" spans="1:5">
      <c r="A1887">
        <v>10754</v>
      </c>
      <c r="B1887">
        <v>1830197</v>
      </c>
      <c r="C1887" s="5">
        <v>46057</v>
      </c>
      <c r="D1887" t="s">
        <v>458</v>
      </c>
      <c r="E1887">
        <v>0</v>
      </c>
    </row>
    <row r="1888" spans="1:5">
      <c r="A1888">
        <v>10958</v>
      </c>
      <c r="B1888">
        <v>1830197</v>
      </c>
      <c r="C1888" s="5">
        <v>46057</v>
      </c>
      <c r="D1888" t="s">
        <v>458</v>
      </c>
      <c r="E1888">
        <v>14</v>
      </c>
    </row>
    <row r="1889" spans="1:5">
      <c r="A1889">
        <v>11056</v>
      </c>
      <c r="B1889">
        <v>1830197</v>
      </c>
      <c r="C1889" s="5">
        <v>46057</v>
      </c>
      <c r="D1889" t="s">
        <v>458</v>
      </c>
      <c r="E1889">
        <v>0</v>
      </c>
    </row>
    <row r="1890" spans="1:5">
      <c r="A1890">
        <v>11162</v>
      </c>
      <c r="B1890">
        <v>1830197</v>
      </c>
      <c r="C1890" s="5">
        <v>46057</v>
      </c>
      <c r="D1890" t="s">
        <v>458</v>
      </c>
      <c r="E1890">
        <v>0</v>
      </c>
    </row>
    <row r="1891" spans="1:5">
      <c r="A1891">
        <v>11172</v>
      </c>
      <c r="B1891">
        <v>1830197</v>
      </c>
      <c r="C1891" s="5">
        <v>46057</v>
      </c>
      <c r="D1891" t="s">
        <v>458</v>
      </c>
      <c r="E1891">
        <v>0</v>
      </c>
    </row>
    <row r="1892" spans="1:5">
      <c r="A1892">
        <v>11312</v>
      </c>
      <c r="B1892">
        <v>1830197</v>
      </c>
      <c r="C1892" s="5">
        <v>46057</v>
      </c>
      <c r="D1892" t="s">
        <v>458</v>
      </c>
      <c r="E1892">
        <v>18</v>
      </c>
    </row>
    <row r="1893" spans="1:5">
      <c r="A1893">
        <v>11313</v>
      </c>
      <c r="B1893">
        <v>1830197</v>
      </c>
      <c r="C1893" s="5">
        <v>46057</v>
      </c>
      <c r="D1893" t="s">
        <v>458</v>
      </c>
      <c r="E1893">
        <v>0</v>
      </c>
    </row>
    <row r="1894" spans="1:5">
      <c r="A1894">
        <v>11322</v>
      </c>
      <c r="B1894">
        <v>1830197</v>
      </c>
      <c r="C1894" s="5">
        <v>46057</v>
      </c>
      <c r="D1894" t="s">
        <v>458</v>
      </c>
      <c r="E1894">
        <v>0</v>
      </c>
    </row>
    <row r="1895" spans="1:5">
      <c r="A1895">
        <v>11323</v>
      </c>
      <c r="B1895">
        <v>1830197</v>
      </c>
      <c r="C1895" s="5">
        <v>46057</v>
      </c>
      <c r="D1895" t="s">
        <v>458</v>
      </c>
      <c r="E1895">
        <v>0</v>
      </c>
    </row>
    <row r="1896" spans="1:5">
      <c r="A1896">
        <v>11588</v>
      </c>
      <c r="B1896">
        <v>1830197</v>
      </c>
      <c r="C1896" s="5">
        <v>46057</v>
      </c>
      <c r="D1896" t="s">
        <v>458</v>
      </c>
      <c r="E1896">
        <v>0</v>
      </c>
    </row>
    <row r="1897" spans="1:5">
      <c r="A1897">
        <v>11597</v>
      </c>
      <c r="B1897">
        <v>1830197</v>
      </c>
      <c r="C1897" s="5">
        <v>46057</v>
      </c>
      <c r="D1897" t="s">
        <v>458</v>
      </c>
      <c r="E1897">
        <v>0</v>
      </c>
    </row>
    <row r="1898" spans="1:5">
      <c r="A1898">
        <v>11662</v>
      </c>
      <c r="B1898">
        <v>1830197</v>
      </c>
      <c r="C1898" s="5">
        <v>46057</v>
      </c>
      <c r="D1898" t="s">
        <v>458</v>
      </c>
      <c r="E1898">
        <v>0</v>
      </c>
    </row>
    <row r="1899" spans="1:5">
      <c r="A1899">
        <v>11663</v>
      </c>
      <c r="B1899">
        <v>1830197</v>
      </c>
      <c r="C1899" s="5">
        <v>46057</v>
      </c>
      <c r="D1899" t="s">
        <v>458</v>
      </c>
      <c r="E1899">
        <v>0</v>
      </c>
    </row>
    <row r="1900" spans="1:5">
      <c r="A1900">
        <v>11676</v>
      </c>
      <c r="B1900">
        <v>1830197</v>
      </c>
      <c r="C1900" s="5">
        <v>46057</v>
      </c>
      <c r="D1900" t="s">
        <v>458</v>
      </c>
      <c r="E1900">
        <v>0</v>
      </c>
    </row>
    <row r="1901" spans="1:5">
      <c r="A1901">
        <v>11720</v>
      </c>
      <c r="B1901">
        <v>1830197</v>
      </c>
      <c r="C1901" s="5">
        <v>46057</v>
      </c>
      <c r="D1901" t="s">
        <v>458</v>
      </c>
      <c r="E1901">
        <v>0</v>
      </c>
    </row>
    <row r="1902" spans="1:5">
      <c r="A1902">
        <v>11883</v>
      </c>
      <c r="B1902">
        <v>1830197</v>
      </c>
      <c r="C1902" s="5">
        <v>46057</v>
      </c>
      <c r="D1902" t="s">
        <v>458</v>
      </c>
      <c r="E1902">
        <v>4</v>
      </c>
    </row>
    <row r="1903" spans="1:5">
      <c r="A1903">
        <v>12037</v>
      </c>
      <c r="B1903">
        <v>1830197</v>
      </c>
      <c r="C1903" s="5">
        <v>46057</v>
      </c>
      <c r="D1903" t="s">
        <v>458</v>
      </c>
      <c r="E1903">
        <v>0</v>
      </c>
    </row>
    <row r="1904" spans="1:5">
      <c r="A1904">
        <v>12063</v>
      </c>
      <c r="B1904">
        <v>1830197</v>
      </c>
      <c r="C1904" s="5">
        <v>46057</v>
      </c>
      <c r="D1904" t="s">
        <v>458</v>
      </c>
      <c r="E1904">
        <v>0</v>
      </c>
    </row>
    <row r="1905" spans="1:5">
      <c r="A1905">
        <v>12234</v>
      </c>
      <c r="B1905">
        <v>1830197</v>
      </c>
      <c r="C1905" s="5">
        <v>46057</v>
      </c>
      <c r="D1905" t="s">
        <v>458</v>
      </c>
      <c r="E1905">
        <v>13</v>
      </c>
    </row>
    <row r="1906" spans="1:5">
      <c r="A1906">
        <v>12244</v>
      </c>
      <c r="B1906">
        <v>1830197</v>
      </c>
      <c r="C1906" s="5">
        <v>46057</v>
      </c>
      <c r="D1906" t="s">
        <v>458</v>
      </c>
      <c r="E1906">
        <v>0</v>
      </c>
    </row>
    <row r="1907" spans="1:5">
      <c r="A1907">
        <v>12245</v>
      </c>
      <c r="B1907">
        <v>1830197</v>
      </c>
      <c r="C1907" s="5">
        <v>46057</v>
      </c>
      <c r="D1907" t="s">
        <v>458</v>
      </c>
      <c r="E1907">
        <v>0</v>
      </c>
    </row>
    <row r="1908" spans="1:5">
      <c r="A1908">
        <v>12322</v>
      </c>
      <c r="B1908">
        <v>1830197</v>
      </c>
      <c r="C1908" s="5">
        <v>46057</v>
      </c>
      <c r="D1908" t="s">
        <v>458</v>
      </c>
      <c r="E1908">
        <v>5</v>
      </c>
    </row>
    <row r="1909" spans="1:5">
      <c r="A1909">
        <v>12713</v>
      </c>
      <c r="B1909">
        <v>1830197</v>
      </c>
      <c r="C1909" s="5">
        <v>46057</v>
      </c>
      <c r="D1909" t="s">
        <v>458</v>
      </c>
      <c r="E1909">
        <v>64</v>
      </c>
    </row>
    <row r="1910" spans="1:5">
      <c r="A1910">
        <v>13201</v>
      </c>
      <c r="B1910">
        <v>1830197</v>
      </c>
      <c r="C1910" s="5">
        <v>46057</v>
      </c>
      <c r="D1910" t="s">
        <v>458</v>
      </c>
      <c r="E1910">
        <v>7</v>
      </c>
    </row>
    <row r="1911" spans="1:5">
      <c r="A1911">
        <v>13229</v>
      </c>
      <c r="B1911">
        <v>1830197</v>
      </c>
      <c r="C1911" s="5">
        <v>46057</v>
      </c>
      <c r="D1911" t="s">
        <v>458</v>
      </c>
      <c r="E1911">
        <v>0</v>
      </c>
    </row>
    <row r="1912" spans="1:5">
      <c r="A1912">
        <v>13322</v>
      </c>
      <c r="B1912">
        <v>1830197</v>
      </c>
      <c r="C1912" s="5">
        <v>46057</v>
      </c>
      <c r="D1912" t="s">
        <v>458</v>
      </c>
      <c r="E1912">
        <v>0</v>
      </c>
    </row>
    <row r="1913" spans="1:5">
      <c r="A1913">
        <v>13450</v>
      </c>
      <c r="B1913">
        <v>1830197</v>
      </c>
      <c r="C1913" s="5">
        <v>46057</v>
      </c>
      <c r="D1913" t="s">
        <v>458</v>
      </c>
      <c r="E1913">
        <v>0</v>
      </c>
    </row>
    <row r="1914" spans="1:5">
      <c r="A1914">
        <v>13451</v>
      </c>
      <c r="B1914">
        <v>1830197</v>
      </c>
      <c r="C1914" s="5">
        <v>46057</v>
      </c>
      <c r="D1914" t="s">
        <v>458</v>
      </c>
      <c r="E1914">
        <v>0</v>
      </c>
    </row>
    <row r="1915" spans="1:5">
      <c r="A1915">
        <v>13537</v>
      </c>
      <c r="B1915">
        <v>1830197</v>
      </c>
      <c r="C1915" s="5">
        <v>46057</v>
      </c>
      <c r="D1915" t="s">
        <v>458</v>
      </c>
      <c r="E1915">
        <v>0</v>
      </c>
    </row>
    <row r="1916" spans="1:5">
      <c r="A1916">
        <v>13539</v>
      </c>
      <c r="B1916">
        <v>1830197</v>
      </c>
      <c r="C1916" s="5">
        <v>46057</v>
      </c>
      <c r="D1916" t="s">
        <v>458</v>
      </c>
      <c r="E1916">
        <v>0</v>
      </c>
    </row>
    <row r="1917" spans="1:5">
      <c r="A1917">
        <v>13540</v>
      </c>
      <c r="B1917">
        <v>1830197</v>
      </c>
      <c r="C1917" s="5">
        <v>46057</v>
      </c>
      <c r="D1917" t="s">
        <v>458</v>
      </c>
      <c r="E1917">
        <v>0</v>
      </c>
    </row>
    <row r="1918" spans="1:5">
      <c r="A1918">
        <v>13541</v>
      </c>
      <c r="B1918">
        <v>1830197</v>
      </c>
      <c r="C1918" s="5">
        <v>46057</v>
      </c>
      <c r="D1918" t="s">
        <v>458</v>
      </c>
      <c r="E1918">
        <v>0</v>
      </c>
    </row>
    <row r="1919" spans="1:5">
      <c r="A1919">
        <v>13542</v>
      </c>
      <c r="B1919">
        <v>1830197</v>
      </c>
      <c r="C1919" s="5">
        <v>46057</v>
      </c>
      <c r="D1919" t="s">
        <v>458</v>
      </c>
      <c r="E1919">
        <v>0</v>
      </c>
    </row>
    <row r="1920" spans="1:5">
      <c r="A1920">
        <v>13837</v>
      </c>
      <c r="B1920">
        <v>1830197</v>
      </c>
      <c r="C1920" s="5">
        <v>46057</v>
      </c>
      <c r="D1920" t="s">
        <v>458</v>
      </c>
      <c r="E1920">
        <v>0</v>
      </c>
    </row>
    <row r="1921" spans="1:5">
      <c r="A1921">
        <v>13874</v>
      </c>
      <c r="B1921">
        <v>1830197</v>
      </c>
      <c r="C1921" s="5">
        <v>46057</v>
      </c>
      <c r="D1921" t="s">
        <v>458</v>
      </c>
      <c r="E1921">
        <v>0</v>
      </c>
    </row>
    <row r="1922" spans="1:5">
      <c r="A1922">
        <v>14069</v>
      </c>
      <c r="B1922">
        <v>1830197</v>
      </c>
      <c r="C1922" s="5">
        <v>46057</v>
      </c>
      <c r="D1922" t="s">
        <v>458</v>
      </c>
      <c r="E1922">
        <v>0</v>
      </c>
    </row>
    <row r="1923" spans="1:5">
      <c r="A1923">
        <v>14165</v>
      </c>
      <c r="B1923">
        <v>1830197</v>
      </c>
      <c r="C1923" s="5">
        <v>46057</v>
      </c>
      <c r="D1923" t="s">
        <v>458</v>
      </c>
      <c r="E1923">
        <v>96</v>
      </c>
    </row>
    <row r="1924" spans="1:5">
      <c r="A1924">
        <v>14186</v>
      </c>
      <c r="B1924">
        <v>1830197</v>
      </c>
      <c r="C1924" s="5">
        <v>46057</v>
      </c>
      <c r="D1924" t="s">
        <v>458</v>
      </c>
      <c r="E1924">
        <v>0</v>
      </c>
    </row>
    <row r="1925" spans="1:5">
      <c r="A1925">
        <v>14198</v>
      </c>
      <c r="B1925">
        <v>1830197</v>
      </c>
      <c r="C1925" s="5">
        <v>46057</v>
      </c>
      <c r="D1925" t="s">
        <v>458</v>
      </c>
      <c r="E1925">
        <v>1</v>
      </c>
    </row>
    <row r="1926" spans="1:5">
      <c r="A1926">
        <v>14265</v>
      </c>
      <c r="B1926">
        <v>1830197</v>
      </c>
      <c r="C1926" s="5">
        <v>46057</v>
      </c>
      <c r="D1926" t="s">
        <v>458</v>
      </c>
      <c r="E1926">
        <v>0</v>
      </c>
    </row>
    <row r="1927" spans="1:5">
      <c r="A1927">
        <v>14410</v>
      </c>
      <c r="B1927">
        <v>1830197</v>
      </c>
      <c r="C1927" s="5">
        <v>46057</v>
      </c>
      <c r="D1927" t="s">
        <v>458</v>
      </c>
      <c r="E1927">
        <v>0</v>
      </c>
    </row>
    <row r="1928" spans="1:5">
      <c r="A1928">
        <v>14430</v>
      </c>
      <c r="B1928">
        <v>1830197</v>
      </c>
      <c r="C1928" s="5">
        <v>46057</v>
      </c>
      <c r="D1928" t="s">
        <v>458</v>
      </c>
      <c r="E1928">
        <v>0.06</v>
      </c>
    </row>
    <row r="1929" spans="1:5">
      <c r="A1929">
        <v>14540</v>
      </c>
      <c r="B1929">
        <v>1830197</v>
      </c>
      <c r="C1929" s="5">
        <v>46057</v>
      </c>
      <c r="D1929" t="s">
        <v>458</v>
      </c>
      <c r="E1929">
        <v>0</v>
      </c>
    </row>
    <row r="1930" spans="1:5">
      <c r="A1930">
        <v>14587</v>
      </c>
      <c r="B1930">
        <v>1830197</v>
      </c>
      <c r="C1930" s="5">
        <v>46057</v>
      </c>
      <c r="D1930" t="s">
        <v>458</v>
      </c>
      <c r="E1930">
        <v>0</v>
      </c>
    </row>
    <row r="1931" spans="1:5">
      <c r="A1931">
        <v>14707</v>
      </c>
      <c r="B1931">
        <v>1830197</v>
      </c>
      <c r="C1931" s="5">
        <v>46057</v>
      </c>
      <c r="D1931" t="s">
        <v>458</v>
      </c>
      <c r="E1931">
        <v>0</v>
      </c>
    </row>
    <row r="1932" spans="1:5">
      <c r="A1932">
        <v>14752</v>
      </c>
      <c r="B1932">
        <v>1830197</v>
      </c>
      <c r="C1932" s="5">
        <v>46057</v>
      </c>
      <c r="D1932" t="s">
        <v>458</v>
      </c>
      <c r="E1932">
        <v>0</v>
      </c>
    </row>
    <row r="1933" spans="1:5">
      <c r="A1933">
        <v>14838</v>
      </c>
      <c r="B1933">
        <v>1830197</v>
      </c>
      <c r="C1933" s="5">
        <v>46057</v>
      </c>
      <c r="D1933" t="s">
        <v>458</v>
      </c>
      <c r="E1933">
        <v>0</v>
      </c>
    </row>
    <row r="1934" spans="1:5">
      <c r="A1934">
        <v>15065</v>
      </c>
      <c r="B1934">
        <v>1830197</v>
      </c>
      <c r="C1934" s="5">
        <v>46057</v>
      </c>
      <c r="D1934" t="s">
        <v>458</v>
      </c>
      <c r="E1934">
        <v>0</v>
      </c>
    </row>
    <row r="1935" spans="1:5">
      <c r="A1935">
        <v>15114</v>
      </c>
      <c r="B1935">
        <v>1830197</v>
      </c>
      <c r="C1935" s="5">
        <v>46057</v>
      </c>
      <c r="D1935" t="s">
        <v>458</v>
      </c>
      <c r="E1935">
        <v>0</v>
      </c>
    </row>
    <row r="1936" spans="1:5">
      <c r="A1936">
        <v>15196</v>
      </c>
      <c r="B1936">
        <v>1830197</v>
      </c>
      <c r="C1936" s="5">
        <v>46057</v>
      </c>
      <c r="D1936" t="s">
        <v>458</v>
      </c>
      <c r="E1936">
        <v>0</v>
      </c>
    </row>
    <row r="1937" spans="1:5">
      <c r="A1937">
        <v>15306</v>
      </c>
      <c r="B1937">
        <v>1830197</v>
      </c>
      <c r="C1937" s="5">
        <v>46057</v>
      </c>
      <c r="D1937" t="s">
        <v>458</v>
      </c>
      <c r="E1937">
        <v>0</v>
      </c>
    </row>
    <row r="1938" spans="1:5">
      <c r="A1938">
        <v>15339</v>
      </c>
      <c r="B1938">
        <v>1830197</v>
      </c>
      <c r="C1938" s="5">
        <v>46057</v>
      </c>
      <c r="D1938" t="s">
        <v>458</v>
      </c>
      <c r="E1938">
        <v>0</v>
      </c>
    </row>
    <row r="1939" spans="1:5">
      <c r="A1939">
        <v>15394</v>
      </c>
      <c r="B1939">
        <v>1830197</v>
      </c>
      <c r="C1939" s="5">
        <v>46057</v>
      </c>
      <c r="D1939" t="s">
        <v>458</v>
      </c>
      <c r="E1939">
        <v>0</v>
      </c>
    </row>
    <row r="1940" spans="1:5">
      <c r="A1940">
        <v>15395</v>
      </c>
      <c r="B1940">
        <v>1830197</v>
      </c>
      <c r="C1940" s="5">
        <v>46057</v>
      </c>
      <c r="D1940" t="s">
        <v>458</v>
      </c>
      <c r="E1940">
        <v>0</v>
      </c>
    </row>
    <row r="1941" spans="1:5">
      <c r="A1941">
        <v>15652</v>
      </c>
      <c r="B1941">
        <v>1830197</v>
      </c>
      <c r="C1941" s="5">
        <v>46057</v>
      </c>
      <c r="D1941" t="s">
        <v>458</v>
      </c>
      <c r="E1941">
        <v>0</v>
      </c>
    </row>
    <row r="1942" spans="1:5">
      <c r="A1942">
        <v>15653</v>
      </c>
      <c r="B1942">
        <v>1830197</v>
      </c>
      <c r="C1942" s="5">
        <v>46057</v>
      </c>
      <c r="D1942" t="s">
        <v>458</v>
      </c>
      <c r="E1942">
        <v>0</v>
      </c>
    </row>
    <row r="1943" spans="1:5">
      <c r="A1943">
        <v>15678</v>
      </c>
      <c r="B1943">
        <v>1830197</v>
      </c>
      <c r="C1943" s="5">
        <v>46057</v>
      </c>
      <c r="D1943" t="s">
        <v>458</v>
      </c>
      <c r="E1943">
        <v>40</v>
      </c>
    </row>
    <row r="1944" spans="1:5">
      <c r="A1944">
        <v>15825</v>
      </c>
      <c r="B1944">
        <v>1830197</v>
      </c>
      <c r="C1944" s="5">
        <v>46057</v>
      </c>
      <c r="D1944" t="s">
        <v>458</v>
      </c>
      <c r="E1944">
        <v>3</v>
      </c>
    </row>
    <row r="1945" spans="1:5">
      <c r="A1945">
        <v>15982</v>
      </c>
      <c r="B1945">
        <v>1830197</v>
      </c>
      <c r="C1945" s="5">
        <v>46057</v>
      </c>
      <c r="D1945" t="s">
        <v>458</v>
      </c>
      <c r="E1945">
        <v>0.64</v>
      </c>
    </row>
    <row r="1946" spans="1:5">
      <c r="A1946">
        <v>16033</v>
      </c>
      <c r="B1946">
        <v>1830197</v>
      </c>
      <c r="C1946" s="5">
        <v>46057</v>
      </c>
      <c r="D1946" t="s">
        <v>458</v>
      </c>
      <c r="E1946">
        <v>0</v>
      </c>
    </row>
    <row r="1947" spans="1:5">
      <c r="A1947">
        <v>16045</v>
      </c>
      <c r="B1947">
        <v>1830197</v>
      </c>
      <c r="C1947" s="5">
        <v>46057</v>
      </c>
      <c r="D1947" t="s">
        <v>458</v>
      </c>
      <c r="E1947">
        <v>0</v>
      </c>
    </row>
    <row r="1948" spans="1:5">
      <c r="A1948">
        <v>16381</v>
      </c>
      <c r="B1948">
        <v>1830197</v>
      </c>
      <c r="C1948" s="5">
        <v>46057</v>
      </c>
      <c r="D1948" t="s">
        <v>458</v>
      </c>
      <c r="E1948">
        <v>0</v>
      </c>
    </row>
    <row r="1949" spans="1:5">
      <c r="A1949">
        <v>16387</v>
      </c>
      <c r="B1949">
        <v>1830197</v>
      </c>
      <c r="C1949" s="5">
        <v>46057</v>
      </c>
      <c r="D1949" t="s">
        <v>458</v>
      </c>
      <c r="E1949">
        <v>5</v>
      </c>
    </row>
    <row r="1950" spans="1:5">
      <c r="A1950">
        <v>16564</v>
      </c>
      <c r="B1950">
        <v>1830197</v>
      </c>
      <c r="C1950" s="5">
        <v>46057</v>
      </c>
      <c r="D1950" t="s">
        <v>458</v>
      </c>
      <c r="E1950">
        <v>0</v>
      </c>
    </row>
    <row r="1951" spans="1:5">
      <c r="A1951">
        <v>16565</v>
      </c>
      <c r="B1951">
        <v>1830197</v>
      </c>
      <c r="C1951" s="5">
        <v>46057</v>
      </c>
      <c r="D1951" t="s">
        <v>458</v>
      </c>
      <c r="E1951">
        <v>0</v>
      </c>
    </row>
    <row r="1952" spans="1:5">
      <c r="A1952">
        <v>16569</v>
      </c>
      <c r="B1952">
        <v>1830197</v>
      </c>
      <c r="C1952" s="5">
        <v>46057</v>
      </c>
      <c r="D1952" t="s">
        <v>458</v>
      </c>
      <c r="E1952">
        <v>0</v>
      </c>
    </row>
    <row r="1953" spans="1:5">
      <c r="A1953">
        <v>17091</v>
      </c>
      <c r="B1953">
        <v>1830197</v>
      </c>
      <c r="C1953" s="5">
        <v>46057</v>
      </c>
      <c r="D1953" t="s">
        <v>458</v>
      </c>
      <c r="E1953">
        <v>0</v>
      </c>
    </row>
    <row r="1954" spans="1:5">
      <c r="A1954">
        <v>17113</v>
      </c>
      <c r="B1954">
        <v>1830197</v>
      </c>
      <c r="C1954" s="5">
        <v>46057</v>
      </c>
      <c r="D1954" t="s">
        <v>458</v>
      </c>
      <c r="E1954">
        <v>0</v>
      </c>
    </row>
    <row r="1955" spans="1:5">
      <c r="A1955">
        <v>17362</v>
      </c>
      <c r="B1955">
        <v>1830197</v>
      </c>
      <c r="C1955" s="5">
        <v>46057</v>
      </c>
      <c r="D1955" t="s">
        <v>458</v>
      </c>
      <c r="E1955">
        <v>0</v>
      </c>
    </row>
    <row r="1956" spans="1:5">
      <c r="A1956">
        <v>17363</v>
      </c>
      <c r="B1956">
        <v>1830197</v>
      </c>
      <c r="C1956" s="5">
        <v>46057</v>
      </c>
      <c r="D1956" t="s">
        <v>458</v>
      </c>
      <c r="E1956">
        <v>1</v>
      </c>
    </row>
    <row r="1957" spans="1:5">
      <c r="A1957">
        <v>17383</v>
      </c>
      <c r="B1957">
        <v>1830197</v>
      </c>
      <c r="C1957" s="5">
        <v>46057</v>
      </c>
      <c r="D1957" t="s">
        <v>458</v>
      </c>
      <c r="E1957">
        <v>0</v>
      </c>
    </row>
    <row r="1958" spans="1:5">
      <c r="A1958">
        <v>17384</v>
      </c>
      <c r="B1958">
        <v>1830197</v>
      </c>
      <c r="C1958" s="5">
        <v>46057</v>
      </c>
      <c r="D1958" t="s">
        <v>458</v>
      </c>
      <c r="E1958">
        <v>0</v>
      </c>
    </row>
    <row r="1959" spans="1:5">
      <c r="A1959">
        <v>17385</v>
      </c>
      <c r="B1959">
        <v>1830197</v>
      </c>
      <c r="C1959" s="5">
        <v>46057</v>
      </c>
      <c r="D1959" t="s">
        <v>458</v>
      </c>
      <c r="E1959">
        <v>1</v>
      </c>
    </row>
    <row r="1960" spans="1:5">
      <c r="A1960">
        <v>17482</v>
      </c>
      <c r="B1960">
        <v>1830197</v>
      </c>
      <c r="C1960" s="5">
        <v>46057</v>
      </c>
      <c r="D1960" t="s">
        <v>458</v>
      </c>
      <c r="E1960">
        <v>0</v>
      </c>
    </row>
    <row r="1961" spans="1:5">
      <c r="A1961">
        <v>17515</v>
      </c>
      <c r="B1961">
        <v>1830197</v>
      </c>
      <c r="C1961" s="5">
        <v>46057</v>
      </c>
      <c r="D1961" t="s">
        <v>458</v>
      </c>
      <c r="E1961">
        <v>0</v>
      </c>
    </row>
    <row r="1962" spans="1:5">
      <c r="A1962">
        <v>17581</v>
      </c>
      <c r="B1962">
        <v>1830197</v>
      </c>
      <c r="C1962" s="5">
        <v>46057</v>
      </c>
      <c r="D1962" t="s">
        <v>458</v>
      </c>
      <c r="E1962">
        <v>40</v>
      </c>
    </row>
    <row r="1963" spans="1:5">
      <c r="A1963">
        <v>17588</v>
      </c>
      <c r="B1963">
        <v>1830197</v>
      </c>
      <c r="C1963" s="5">
        <v>46057</v>
      </c>
      <c r="D1963" t="s">
        <v>458</v>
      </c>
      <c r="E1963">
        <v>0</v>
      </c>
    </row>
    <row r="1964" spans="1:5">
      <c r="A1964">
        <v>17639</v>
      </c>
      <c r="B1964">
        <v>1830197</v>
      </c>
      <c r="C1964" s="5">
        <v>46057</v>
      </c>
      <c r="D1964" t="s">
        <v>458</v>
      </c>
      <c r="E1964">
        <v>0</v>
      </c>
    </row>
    <row r="1965" spans="1:5">
      <c r="A1965">
        <v>17771</v>
      </c>
      <c r="B1965">
        <v>1830197</v>
      </c>
      <c r="C1965" s="5">
        <v>46057</v>
      </c>
      <c r="D1965" t="s">
        <v>458</v>
      </c>
      <c r="E1965">
        <v>0</v>
      </c>
    </row>
    <row r="1966" spans="1:5">
      <c r="A1966">
        <v>17774</v>
      </c>
      <c r="B1966">
        <v>1830197</v>
      </c>
      <c r="C1966" s="5">
        <v>46057</v>
      </c>
      <c r="D1966" t="s">
        <v>458</v>
      </c>
      <c r="E1966">
        <v>0</v>
      </c>
    </row>
    <row r="1967" spans="1:5">
      <c r="A1967">
        <v>17775</v>
      </c>
      <c r="B1967">
        <v>1830197</v>
      </c>
      <c r="C1967" s="5">
        <v>46057</v>
      </c>
      <c r="D1967" t="s">
        <v>458</v>
      </c>
      <c r="E1967">
        <v>0</v>
      </c>
    </row>
    <row r="1968" spans="1:5">
      <c r="A1968">
        <v>17849</v>
      </c>
      <c r="B1968">
        <v>1830197</v>
      </c>
      <c r="C1968" s="5">
        <v>46057</v>
      </c>
      <c r="D1968" t="s">
        <v>458</v>
      </c>
      <c r="E1968">
        <v>0</v>
      </c>
    </row>
    <row r="1969" spans="1:5">
      <c r="A1969">
        <v>17947</v>
      </c>
      <c r="B1969">
        <v>1830197</v>
      </c>
      <c r="C1969" s="5">
        <v>46057</v>
      </c>
      <c r="D1969" t="s">
        <v>458</v>
      </c>
      <c r="E1969">
        <v>0</v>
      </c>
    </row>
    <row r="1970" spans="1:5">
      <c r="A1970">
        <v>18087</v>
      </c>
      <c r="B1970">
        <v>1830197</v>
      </c>
      <c r="C1970" s="5">
        <v>46057</v>
      </c>
      <c r="D1970" t="s">
        <v>458</v>
      </c>
      <c r="E1970">
        <v>0</v>
      </c>
    </row>
    <row r="1971" spans="1:5">
      <c r="A1971">
        <v>18088</v>
      </c>
      <c r="B1971">
        <v>1830197</v>
      </c>
      <c r="C1971" s="5">
        <v>46057</v>
      </c>
      <c r="D1971" t="s">
        <v>458</v>
      </c>
      <c r="E1971">
        <v>0</v>
      </c>
    </row>
    <row r="1972" spans="1:5">
      <c r="A1972">
        <v>18161</v>
      </c>
      <c r="B1972">
        <v>1830197</v>
      </c>
      <c r="C1972" s="5">
        <v>46057</v>
      </c>
      <c r="D1972" t="s">
        <v>458</v>
      </c>
      <c r="E1972">
        <v>0</v>
      </c>
    </row>
    <row r="1973" spans="1:5">
      <c r="A1973">
        <v>18229</v>
      </c>
      <c r="B1973">
        <v>1830197</v>
      </c>
      <c r="C1973" s="5">
        <v>46057</v>
      </c>
      <c r="D1973" t="s">
        <v>458</v>
      </c>
      <c r="E1973">
        <v>0</v>
      </c>
    </row>
    <row r="1974" spans="1:5">
      <c r="A1974">
        <v>18309</v>
      </c>
      <c r="B1974">
        <v>1830197</v>
      </c>
      <c r="C1974" s="5">
        <v>46057</v>
      </c>
      <c r="D1974" t="s">
        <v>458</v>
      </c>
      <c r="E1974">
        <v>0</v>
      </c>
    </row>
    <row r="1975" spans="1:5">
      <c r="A1975">
        <v>18310</v>
      </c>
      <c r="B1975">
        <v>1830197</v>
      </c>
      <c r="C1975" s="5">
        <v>46057</v>
      </c>
      <c r="D1975" t="s">
        <v>458</v>
      </c>
      <c r="E1975">
        <v>0</v>
      </c>
    </row>
    <row r="1976" spans="1:5">
      <c r="A1976">
        <v>18342</v>
      </c>
      <c r="B1976">
        <v>1830197</v>
      </c>
      <c r="C1976" s="5">
        <v>46057</v>
      </c>
      <c r="D1976" t="s">
        <v>458</v>
      </c>
      <c r="E1976">
        <v>39</v>
      </c>
    </row>
    <row r="1977" spans="1:5">
      <c r="A1977">
        <v>18471</v>
      </c>
      <c r="B1977">
        <v>1830197</v>
      </c>
      <c r="C1977" s="5">
        <v>46057</v>
      </c>
      <c r="D1977" t="s">
        <v>458</v>
      </c>
      <c r="E1977">
        <v>0</v>
      </c>
    </row>
    <row r="1978" spans="1:5">
      <c r="A1978">
        <v>18472</v>
      </c>
      <c r="B1978">
        <v>1830197</v>
      </c>
      <c r="C1978" s="5">
        <v>46057</v>
      </c>
      <c r="D1978" t="s">
        <v>458</v>
      </c>
      <c r="E1978">
        <v>0</v>
      </c>
    </row>
    <row r="1979" spans="1:5">
      <c r="A1979">
        <v>18626</v>
      </c>
      <c r="B1979">
        <v>1830197</v>
      </c>
      <c r="C1979" s="5">
        <v>46057</v>
      </c>
      <c r="D1979" t="s">
        <v>458</v>
      </c>
      <c r="E1979">
        <v>0</v>
      </c>
    </row>
    <row r="1980" spans="1:5">
      <c r="A1980">
        <v>18640</v>
      </c>
      <c r="B1980">
        <v>1830197</v>
      </c>
      <c r="C1980" s="5">
        <v>46057</v>
      </c>
      <c r="D1980" t="s">
        <v>458</v>
      </c>
      <c r="E1980">
        <v>0</v>
      </c>
    </row>
    <row r="1981" spans="1:5">
      <c r="A1981">
        <v>18649</v>
      </c>
      <c r="B1981">
        <v>1830197</v>
      </c>
      <c r="C1981" s="5">
        <v>46057</v>
      </c>
      <c r="D1981" t="s">
        <v>458</v>
      </c>
      <c r="E1981">
        <v>41</v>
      </c>
    </row>
    <row r="1982" spans="1:5">
      <c r="A1982">
        <v>19050</v>
      </c>
      <c r="B1982">
        <v>1830197</v>
      </c>
      <c r="C1982" s="5">
        <v>46057</v>
      </c>
      <c r="D1982" t="s">
        <v>458</v>
      </c>
      <c r="E1982">
        <v>1</v>
      </c>
    </row>
    <row r="1983" spans="1:5">
      <c r="A1983">
        <v>19051</v>
      </c>
      <c r="B1983">
        <v>1830197</v>
      </c>
      <c r="C1983" s="5">
        <v>46057</v>
      </c>
      <c r="D1983" t="s">
        <v>458</v>
      </c>
      <c r="E1983">
        <v>0</v>
      </c>
    </row>
    <row r="1984" spans="1:5">
      <c r="A1984">
        <v>19060</v>
      </c>
      <c r="B1984">
        <v>1830197</v>
      </c>
      <c r="C1984" s="5">
        <v>46057</v>
      </c>
      <c r="D1984" t="s">
        <v>458</v>
      </c>
      <c r="E1984">
        <v>0</v>
      </c>
    </row>
    <row r="1985" spans="1:5">
      <c r="A1985">
        <v>19235</v>
      </c>
      <c r="B1985">
        <v>1830197</v>
      </c>
      <c r="C1985" s="5">
        <v>46057</v>
      </c>
      <c r="D1985" t="s">
        <v>458</v>
      </c>
      <c r="E1985">
        <v>0</v>
      </c>
    </row>
    <row r="1986" spans="1:5">
      <c r="A1986">
        <v>19236</v>
      </c>
      <c r="B1986">
        <v>1830197</v>
      </c>
      <c r="C1986" s="5">
        <v>46057</v>
      </c>
      <c r="D1986" t="s">
        <v>458</v>
      </c>
      <c r="E1986">
        <v>0</v>
      </c>
    </row>
    <row r="1987" spans="1:5">
      <c r="A1987">
        <v>19346</v>
      </c>
      <c r="B1987">
        <v>1830197</v>
      </c>
      <c r="C1987" s="5">
        <v>46057</v>
      </c>
      <c r="D1987" t="s">
        <v>458</v>
      </c>
      <c r="E1987">
        <v>0</v>
      </c>
    </row>
    <row r="1988" spans="1:5">
      <c r="A1988">
        <v>19500</v>
      </c>
      <c r="B1988">
        <v>1830197</v>
      </c>
      <c r="C1988" s="5">
        <v>46057</v>
      </c>
      <c r="D1988" t="s">
        <v>458</v>
      </c>
      <c r="E1988">
        <v>0</v>
      </c>
    </row>
    <row r="1989" spans="1:5">
      <c r="A1989">
        <v>19541</v>
      </c>
      <c r="B1989">
        <v>1830197</v>
      </c>
      <c r="C1989" s="5">
        <v>46057</v>
      </c>
      <c r="D1989" t="s">
        <v>458</v>
      </c>
      <c r="E1989">
        <v>0</v>
      </c>
    </row>
    <row r="1990" spans="1:5">
      <c r="A1990">
        <v>19670</v>
      </c>
      <c r="B1990">
        <v>1830197</v>
      </c>
      <c r="C1990" s="5">
        <v>46057</v>
      </c>
      <c r="D1990" t="s">
        <v>458</v>
      </c>
      <c r="E1990">
        <v>0</v>
      </c>
    </row>
    <row r="1991" spans="1:5">
      <c r="A1991">
        <v>19701</v>
      </c>
      <c r="B1991">
        <v>1830197</v>
      </c>
      <c r="C1991" s="5">
        <v>46057</v>
      </c>
      <c r="D1991" t="s">
        <v>458</v>
      </c>
      <c r="E1991">
        <v>0</v>
      </c>
    </row>
    <row r="1992" spans="1:5">
      <c r="A1992">
        <v>20091</v>
      </c>
      <c r="B1992">
        <v>1830197</v>
      </c>
      <c r="C1992" s="5">
        <v>46057</v>
      </c>
      <c r="D1992" t="s">
        <v>458</v>
      </c>
      <c r="E1992">
        <v>0.38</v>
      </c>
    </row>
    <row r="1993" spans="1:5">
      <c r="A1993">
        <v>20096</v>
      </c>
      <c r="B1993">
        <v>1830197</v>
      </c>
      <c r="C1993" s="5">
        <v>46057</v>
      </c>
      <c r="D1993" t="s">
        <v>458</v>
      </c>
      <c r="E1993">
        <v>0.11</v>
      </c>
    </row>
    <row r="1994" spans="1:5">
      <c r="A1994">
        <v>20124</v>
      </c>
      <c r="B1994">
        <v>1830197</v>
      </c>
      <c r="C1994" s="5">
        <v>46057</v>
      </c>
      <c r="D1994" t="s">
        <v>458</v>
      </c>
      <c r="E1994">
        <v>47</v>
      </c>
    </row>
    <row r="1995" spans="1:5">
      <c r="A1995">
        <v>20245</v>
      </c>
      <c r="B1995">
        <v>1830197</v>
      </c>
      <c r="C1995" s="5">
        <v>46057</v>
      </c>
      <c r="D1995" t="s">
        <v>458</v>
      </c>
      <c r="E1995">
        <v>0</v>
      </c>
    </row>
    <row r="1996" spans="1:5">
      <c r="A1996">
        <v>22061</v>
      </c>
      <c r="B1996">
        <v>1830197</v>
      </c>
      <c r="C1996" s="5">
        <v>46057</v>
      </c>
      <c r="D1996" t="s">
        <v>458</v>
      </c>
      <c r="E1996">
        <v>0</v>
      </c>
    </row>
    <row r="1997" spans="1:5">
      <c r="A1997">
        <v>22070</v>
      </c>
      <c r="B1997">
        <v>1830197</v>
      </c>
      <c r="C1997" s="5">
        <v>46057</v>
      </c>
      <c r="D1997" t="s">
        <v>458</v>
      </c>
      <c r="E1997">
        <v>0</v>
      </c>
    </row>
    <row r="1998" spans="1:5">
      <c r="A1998">
        <v>22388</v>
      </c>
      <c r="B1998">
        <v>1830197</v>
      </c>
      <c r="C1998" s="5">
        <v>46057</v>
      </c>
      <c r="D1998" t="s">
        <v>458</v>
      </c>
      <c r="E1998">
        <v>19</v>
      </c>
    </row>
    <row r="1999" spans="1:5">
      <c r="A1999">
        <v>23991</v>
      </c>
      <c r="B1999">
        <v>1830197</v>
      </c>
      <c r="C1999" s="5">
        <v>46057</v>
      </c>
      <c r="D1999" t="s">
        <v>458</v>
      </c>
      <c r="E1999">
        <v>1.08</v>
      </c>
    </row>
    <row r="2000" spans="1:5">
      <c r="A2000">
        <v>24276</v>
      </c>
      <c r="B2000">
        <v>1830197</v>
      </c>
      <c r="C2000" s="5">
        <v>46057</v>
      </c>
      <c r="D2000" t="s">
        <v>458</v>
      </c>
      <c r="E2000">
        <v>0</v>
      </c>
    </row>
    <row r="2001" spans="1:5">
      <c r="A2001">
        <v>24737</v>
      </c>
      <c r="B2001">
        <v>1830197</v>
      </c>
      <c r="C2001" s="5">
        <v>46057</v>
      </c>
      <c r="D2001" t="s">
        <v>458</v>
      </c>
      <c r="E2001">
        <v>0</v>
      </c>
    </row>
    <row r="2002" spans="1:5">
      <c r="A2002">
        <v>24738</v>
      </c>
      <c r="B2002">
        <v>1830197</v>
      </c>
      <c r="C2002" s="5">
        <v>46057</v>
      </c>
      <c r="D2002" t="s">
        <v>458</v>
      </c>
      <c r="E2002">
        <v>0</v>
      </c>
    </row>
    <row r="2003" spans="1:5">
      <c r="A2003">
        <v>30139</v>
      </c>
      <c r="B2003">
        <v>1830197</v>
      </c>
      <c r="C2003" s="5">
        <v>46057</v>
      </c>
      <c r="D2003" t="s">
        <v>458</v>
      </c>
      <c r="E2003">
        <v>0</v>
      </c>
    </row>
    <row r="2004" spans="1:5">
      <c r="A2004">
        <v>30140</v>
      </c>
      <c r="B2004">
        <v>1830197</v>
      </c>
      <c r="C2004" s="5">
        <v>46057</v>
      </c>
      <c r="D2004" t="s">
        <v>458</v>
      </c>
      <c r="E2004">
        <v>0</v>
      </c>
    </row>
    <row r="2005" spans="1:5">
      <c r="A2005">
        <v>30154</v>
      </c>
      <c r="B2005">
        <v>1830197</v>
      </c>
      <c r="C2005" s="5">
        <v>46057</v>
      </c>
      <c r="D2005" t="s">
        <v>458</v>
      </c>
      <c r="E2005">
        <v>0.03</v>
      </c>
    </row>
    <row r="2006" spans="1:5">
      <c r="A2006">
        <v>34120</v>
      </c>
      <c r="B2006">
        <v>1830197</v>
      </c>
      <c r="C2006" s="5">
        <v>46057</v>
      </c>
      <c r="D2006" t="s">
        <v>458</v>
      </c>
      <c r="E2006">
        <v>0</v>
      </c>
    </row>
    <row r="2007" spans="1:5">
      <c r="A2007">
        <v>36055</v>
      </c>
      <c r="B2007">
        <v>1830197</v>
      </c>
      <c r="C2007" s="5">
        <v>46057</v>
      </c>
      <c r="D2007" t="s">
        <v>458</v>
      </c>
      <c r="E2007">
        <v>0</v>
      </c>
    </row>
    <row r="2008" spans="1:5">
      <c r="A2008">
        <v>36061</v>
      </c>
      <c r="B2008">
        <v>1830197</v>
      </c>
      <c r="C2008" s="5">
        <v>46057</v>
      </c>
      <c r="D2008" t="s">
        <v>458</v>
      </c>
      <c r="E2008">
        <v>0</v>
      </c>
    </row>
    <row r="2009" spans="1:5">
      <c r="A2009">
        <v>37089</v>
      </c>
      <c r="B2009">
        <v>1830197</v>
      </c>
      <c r="C2009" s="5">
        <v>46057</v>
      </c>
      <c r="D2009" t="s">
        <v>458</v>
      </c>
      <c r="E2009">
        <v>0</v>
      </c>
    </row>
    <row r="2010" spans="1:5">
      <c r="A2010">
        <v>39852</v>
      </c>
      <c r="B2010">
        <v>1830197</v>
      </c>
      <c r="C2010" s="5">
        <v>46057</v>
      </c>
      <c r="D2010" t="s">
        <v>458</v>
      </c>
      <c r="E2010">
        <v>0</v>
      </c>
    </row>
    <row r="2011" spans="1:5">
      <c r="A2011">
        <v>40076</v>
      </c>
      <c r="B2011">
        <v>1830197</v>
      </c>
      <c r="C2011" s="5">
        <v>46057</v>
      </c>
      <c r="D2011" t="s">
        <v>458</v>
      </c>
      <c r="E2011">
        <v>285</v>
      </c>
    </row>
    <row r="2012" spans="1:5">
      <c r="A2012">
        <v>40077</v>
      </c>
      <c r="B2012">
        <v>1830197</v>
      </c>
      <c r="C2012" s="5">
        <v>46057</v>
      </c>
      <c r="D2012" t="s">
        <v>458</v>
      </c>
      <c r="E2012">
        <v>16</v>
      </c>
    </row>
    <row r="2013" spans="1:5">
      <c r="A2013">
        <v>40078</v>
      </c>
      <c r="B2013">
        <v>1830197</v>
      </c>
      <c r="C2013" s="5">
        <v>46057</v>
      </c>
      <c r="D2013" t="s">
        <v>458</v>
      </c>
      <c r="E2013">
        <v>3</v>
      </c>
    </row>
    <row r="2014" spans="1:5">
      <c r="A2014">
        <v>40079</v>
      </c>
      <c r="B2014">
        <v>1830197</v>
      </c>
      <c r="C2014" s="5">
        <v>46057</v>
      </c>
      <c r="D2014" t="s">
        <v>458</v>
      </c>
      <c r="E2014">
        <v>0</v>
      </c>
    </row>
    <row r="2015" spans="1:5">
      <c r="A2015">
        <v>45695</v>
      </c>
      <c r="B2015">
        <v>1830197</v>
      </c>
      <c r="C2015" s="5">
        <v>46057</v>
      </c>
      <c r="D2015" t="s">
        <v>458</v>
      </c>
      <c r="E2015">
        <v>19</v>
      </c>
    </row>
    <row r="2016" spans="1:5">
      <c r="A2016">
        <v>80174</v>
      </c>
      <c r="B2016">
        <v>1830197</v>
      </c>
      <c r="C2016" s="5">
        <v>46057</v>
      </c>
      <c r="D2016" t="s">
        <v>458</v>
      </c>
      <c r="E2016">
        <v>0</v>
      </c>
    </row>
    <row r="2017" spans="1:5">
      <c r="A2017">
        <v>84522</v>
      </c>
      <c r="B2017">
        <v>1830197</v>
      </c>
      <c r="C2017" s="5">
        <v>46057</v>
      </c>
      <c r="D2017" t="s">
        <v>458</v>
      </c>
      <c r="E2017">
        <v>1</v>
      </c>
    </row>
    <row r="2018" spans="1:5">
      <c r="A2018">
        <v>84523</v>
      </c>
      <c r="B2018">
        <v>1830197</v>
      </c>
      <c r="C2018" s="5">
        <v>46057</v>
      </c>
      <c r="D2018" t="s">
        <v>458</v>
      </c>
      <c r="E2018">
        <v>4</v>
      </c>
    </row>
    <row r="2019" spans="1:5">
      <c r="A2019">
        <v>87096</v>
      </c>
      <c r="B2019">
        <v>1830197</v>
      </c>
      <c r="C2019" s="5">
        <v>46057</v>
      </c>
      <c r="D2019" t="s">
        <v>458</v>
      </c>
      <c r="E2019">
        <v>0</v>
      </c>
    </row>
    <row r="2020" spans="1:5">
      <c r="A2020">
        <v>87098</v>
      </c>
      <c r="B2020">
        <v>1830197</v>
      </c>
      <c r="C2020" s="5">
        <v>46057</v>
      </c>
      <c r="D2020" t="s">
        <v>458</v>
      </c>
      <c r="E2020">
        <v>1</v>
      </c>
    </row>
    <row r="2021" spans="1:5">
      <c r="A2021">
        <v>91426</v>
      </c>
      <c r="B2021">
        <v>1830197</v>
      </c>
      <c r="C2021" s="5">
        <v>46057</v>
      </c>
      <c r="D2021" t="s">
        <v>458</v>
      </c>
      <c r="E2021">
        <v>0</v>
      </c>
    </row>
    <row r="2022" spans="1:5">
      <c r="A2022">
        <v>91427</v>
      </c>
      <c r="B2022">
        <v>1830197</v>
      </c>
      <c r="C2022" s="5">
        <v>46057</v>
      </c>
      <c r="D2022" t="s">
        <v>458</v>
      </c>
      <c r="E2022">
        <v>0</v>
      </c>
    </row>
    <row r="2023" spans="1:5">
      <c r="A2023">
        <v>91428</v>
      </c>
      <c r="B2023">
        <v>1830197</v>
      </c>
      <c r="C2023" s="5">
        <v>46057</v>
      </c>
      <c r="D2023" t="s">
        <v>458</v>
      </c>
      <c r="E2023">
        <v>0</v>
      </c>
    </row>
    <row r="2024" spans="1:5">
      <c r="A2024">
        <v>91429</v>
      </c>
      <c r="B2024">
        <v>1830197</v>
      </c>
      <c r="C2024" s="5">
        <v>46057</v>
      </c>
      <c r="D2024" t="s">
        <v>458</v>
      </c>
      <c r="E2024">
        <v>0</v>
      </c>
    </row>
    <row r="2025" spans="1:5">
      <c r="A2025">
        <v>91430</v>
      </c>
      <c r="B2025">
        <v>1830197</v>
      </c>
      <c r="C2025" s="5">
        <v>46057</v>
      </c>
      <c r="D2025" t="s">
        <v>458</v>
      </c>
      <c r="E2025">
        <v>0</v>
      </c>
    </row>
    <row r="2026" spans="1:5">
      <c r="A2026">
        <v>91431</v>
      </c>
      <c r="B2026">
        <v>1830197</v>
      </c>
      <c r="C2026" s="5">
        <v>46057</v>
      </c>
      <c r="D2026" t="s">
        <v>458</v>
      </c>
      <c r="E2026">
        <v>0</v>
      </c>
    </row>
    <row r="2027" spans="1:5">
      <c r="A2027">
        <v>91432</v>
      </c>
      <c r="B2027">
        <v>1830197</v>
      </c>
      <c r="C2027" s="5">
        <v>46057</v>
      </c>
      <c r="D2027" t="s">
        <v>458</v>
      </c>
      <c r="E2027">
        <v>0</v>
      </c>
    </row>
    <row r="2028" spans="1:5">
      <c r="A2028">
        <v>91433</v>
      </c>
      <c r="B2028">
        <v>1830197</v>
      </c>
      <c r="C2028" s="5">
        <v>46057</v>
      </c>
      <c r="D2028" t="s">
        <v>458</v>
      </c>
      <c r="E2028">
        <v>0</v>
      </c>
    </row>
    <row r="2029" spans="1:5">
      <c r="A2029">
        <v>92009</v>
      </c>
      <c r="B2029">
        <v>1830197</v>
      </c>
      <c r="C2029" s="5">
        <v>46057</v>
      </c>
      <c r="D2029" t="s">
        <v>458</v>
      </c>
      <c r="E2029">
        <v>0</v>
      </c>
    </row>
    <row r="2030" spans="1:5">
      <c r="A2030">
        <v>92084</v>
      </c>
      <c r="B2030">
        <v>1830197</v>
      </c>
      <c r="C2030" s="5">
        <v>46057</v>
      </c>
      <c r="D2030" t="s">
        <v>458</v>
      </c>
      <c r="E2030">
        <v>0</v>
      </c>
    </row>
    <row r="2031" spans="1:5">
      <c r="A2031">
        <v>93111</v>
      </c>
      <c r="B2031">
        <v>1830197</v>
      </c>
      <c r="C2031" s="5">
        <v>46057</v>
      </c>
      <c r="D2031" t="s">
        <v>458</v>
      </c>
      <c r="E2031">
        <v>0</v>
      </c>
    </row>
    <row r="2032" spans="1:5">
      <c r="A2032">
        <v>94827</v>
      </c>
      <c r="B2032">
        <v>1830197</v>
      </c>
      <c r="C2032" s="5">
        <v>46057</v>
      </c>
      <c r="D2032" t="s">
        <v>458</v>
      </c>
      <c r="E2032">
        <v>0</v>
      </c>
    </row>
    <row r="2033" spans="1:5">
      <c r="A2033">
        <v>94830</v>
      </c>
      <c r="B2033">
        <v>1830197</v>
      </c>
      <c r="C2033" s="5">
        <v>46057</v>
      </c>
      <c r="D2033" t="s">
        <v>458</v>
      </c>
      <c r="E2033">
        <v>0</v>
      </c>
    </row>
    <row r="2034" spans="1:5">
      <c r="A2034">
        <v>94833</v>
      </c>
      <c r="B2034">
        <v>1830197</v>
      </c>
      <c r="C2034" s="5">
        <v>46057</v>
      </c>
      <c r="D2034" t="s">
        <v>458</v>
      </c>
      <c r="E2034">
        <v>0</v>
      </c>
    </row>
    <row r="2035" spans="1:5">
      <c r="A2035">
        <v>94836</v>
      </c>
      <c r="B2035">
        <v>1830197</v>
      </c>
      <c r="C2035" s="5">
        <v>46057</v>
      </c>
      <c r="D2035" t="s">
        <v>458</v>
      </c>
      <c r="E2035">
        <v>0</v>
      </c>
    </row>
    <row r="2036" spans="1:5">
      <c r="A2036">
        <v>94839</v>
      </c>
      <c r="B2036">
        <v>1830197</v>
      </c>
      <c r="C2036" s="5">
        <v>46057</v>
      </c>
      <c r="D2036" t="s">
        <v>458</v>
      </c>
      <c r="E2036">
        <v>0</v>
      </c>
    </row>
    <row r="2037" spans="1:5">
      <c r="A2037">
        <v>94842</v>
      </c>
      <c r="B2037">
        <v>1830197</v>
      </c>
      <c r="C2037" s="5">
        <v>46057</v>
      </c>
      <c r="D2037" t="s">
        <v>458</v>
      </c>
      <c r="E2037">
        <v>0</v>
      </c>
    </row>
    <row r="2038" spans="1:5">
      <c r="A2038">
        <v>94845</v>
      </c>
      <c r="B2038">
        <v>1830197</v>
      </c>
      <c r="C2038" s="5">
        <v>46057</v>
      </c>
      <c r="D2038" t="s">
        <v>458</v>
      </c>
      <c r="E2038">
        <v>0</v>
      </c>
    </row>
    <row r="2039" spans="1:5">
      <c r="A2039">
        <v>94848</v>
      </c>
      <c r="B2039">
        <v>1830197</v>
      </c>
      <c r="C2039" s="5">
        <v>46057</v>
      </c>
      <c r="D2039" t="s">
        <v>458</v>
      </c>
      <c r="E2039">
        <v>0</v>
      </c>
    </row>
    <row r="2040" spans="1:5">
      <c r="A2040">
        <v>94872</v>
      </c>
      <c r="B2040">
        <v>1830197</v>
      </c>
      <c r="C2040" s="5">
        <v>46057</v>
      </c>
      <c r="D2040" t="s">
        <v>458</v>
      </c>
      <c r="E2040">
        <v>0</v>
      </c>
    </row>
    <row r="2041" spans="1:5">
      <c r="A2041">
        <v>99078</v>
      </c>
      <c r="B2041">
        <v>1830197</v>
      </c>
      <c r="C2041" s="5">
        <v>46057</v>
      </c>
      <c r="D2041" t="s">
        <v>458</v>
      </c>
      <c r="E2041">
        <v>0</v>
      </c>
    </row>
    <row r="2042" spans="1:5">
      <c r="A2042">
        <v>99165</v>
      </c>
      <c r="B2042">
        <v>1830197</v>
      </c>
      <c r="C2042" s="5">
        <v>46057</v>
      </c>
      <c r="D2042" t="s">
        <v>458</v>
      </c>
      <c r="E2042">
        <v>0</v>
      </c>
    </row>
    <row r="2043" spans="1:5">
      <c r="A2043">
        <v>99166</v>
      </c>
      <c r="B2043">
        <v>1830197</v>
      </c>
      <c r="C2043" s="5">
        <v>46057</v>
      </c>
      <c r="D2043" t="s">
        <v>458</v>
      </c>
      <c r="E2043">
        <v>0</v>
      </c>
    </row>
    <row r="2044" spans="1:5">
      <c r="A2044">
        <v>99168</v>
      </c>
      <c r="B2044">
        <v>1830197</v>
      </c>
      <c r="C2044" s="5">
        <v>46057</v>
      </c>
      <c r="D2044" t="s">
        <v>458</v>
      </c>
      <c r="E2044">
        <v>0</v>
      </c>
    </row>
    <row r="2045" spans="1:5">
      <c r="A2045">
        <v>99169</v>
      </c>
      <c r="B2045">
        <v>1830197</v>
      </c>
      <c r="C2045" s="5">
        <v>46057</v>
      </c>
      <c r="D2045" t="s">
        <v>458</v>
      </c>
      <c r="E2045">
        <v>0</v>
      </c>
    </row>
    <row r="2046" spans="1:5">
      <c r="A2046">
        <v>99170</v>
      </c>
      <c r="B2046">
        <v>1830197</v>
      </c>
      <c r="C2046" s="5">
        <v>46057</v>
      </c>
      <c r="D2046" t="s">
        <v>458</v>
      </c>
      <c r="E2046">
        <v>0</v>
      </c>
    </row>
    <row r="2047" spans="1:5">
      <c r="A2047">
        <v>99216</v>
      </c>
      <c r="B2047">
        <v>1830197</v>
      </c>
      <c r="C2047" s="5">
        <v>46057</v>
      </c>
      <c r="D2047" t="s">
        <v>458</v>
      </c>
      <c r="E2047">
        <v>0</v>
      </c>
    </row>
    <row r="2048" spans="1:5">
      <c r="A2048">
        <v>99249</v>
      </c>
      <c r="B2048">
        <v>1830197</v>
      </c>
      <c r="C2048" s="5">
        <v>46057</v>
      </c>
      <c r="D2048" t="s">
        <v>458</v>
      </c>
      <c r="E2048">
        <v>0</v>
      </c>
    </row>
    <row r="2049" spans="1:5">
      <c r="A2049">
        <v>99305</v>
      </c>
      <c r="B2049">
        <v>1830197</v>
      </c>
      <c r="C2049" s="5">
        <v>46057</v>
      </c>
      <c r="D2049" t="s">
        <v>458</v>
      </c>
      <c r="E2049">
        <v>0</v>
      </c>
    </row>
    <row r="2050" spans="1:5">
      <c r="A2050">
        <v>99378</v>
      </c>
      <c r="B2050">
        <v>1830197</v>
      </c>
      <c r="C2050" s="5">
        <v>46057</v>
      </c>
      <c r="D2050" t="s">
        <v>458</v>
      </c>
      <c r="E2050">
        <v>0.04</v>
      </c>
    </row>
    <row r="2051" spans="1:5">
      <c r="A2051">
        <v>99422</v>
      </c>
      <c r="B2051">
        <v>1830197</v>
      </c>
      <c r="C2051" s="5">
        <v>46057</v>
      </c>
      <c r="D2051" t="s">
        <v>458</v>
      </c>
      <c r="E2051">
        <v>0</v>
      </c>
    </row>
    <row r="2052" spans="1:5">
      <c r="A2052">
        <v>99903</v>
      </c>
      <c r="B2052">
        <v>1830197</v>
      </c>
      <c r="C2052" s="5">
        <v>46057</v>
      </c>
      <c r="D2052" t="s">
        <v>458</v>
      </c>
      <c r="E2052">
        <v>0</v>
      </c>
    </row>
    <row r="2053" spans="1:5">
      <c r="A2053">
        <v>99906</v>
      </c>
      <c r="B2053">
        <v>1830197</v>
      </c>
      <c r="C2053" s="5">
        <v>46057</v>
      </c>
      <c r="D2053" t="s">
        <v>458</v>
      </c>
      <c r="E2053">
        <v>3</v>
      </c>
    </row>
    <row r="2054" spans="1:5">
      <c r="A2054">
        <v>99907</v>
      </c>
      <c r="B2054">
        <v>1830197</v>
      </c>
      <c r="C2054" s="5">
        <v>46057</v>
      </c>
      <c r="D2054" t="s">
        <v>458</v>
      </c>
      <c r="E2054">
        <v>3</v>
      </c>
    </row>
    <row r="2055" spans="1:5">
      <c r="A2055">
        <v>99908</v>
      </c>
      <c r="B2055">
        <v>1830197</v>
      </c>
      <c r="C2055" s="5">
        <v>46057</v>
      </c>
      <c r="D2055" t="s">
        <v>458</v>
      </c>
      <c r="E2055">
        <v>0</v>
      </c>
    </row>
    <row r="2056" spans="1:5">
      <c r="A2056">
        <v>99912</v>
      </c>
      <c r="B2056">
        <v>1830197</v>
      </c>
      <c r="C2056" s="5">
        <v>46057</v>
      </c>
      <c r="D2056" t="s">
        <v>458</v>
      </c>
      <c r="E2056">
        <v>0</v>
      </c>
    </row>
    <row r="2057" spans="1:5">
      <c r="A2057">
        <v>99913</v>
      </c>
      <c r="B2057">
        <v>1830197</v>
      </c>
      <c r="C2057" s="5">
        <v>46057</v>
      </c>
      <c r="D2057" t="s">
        <v>458</v>
      </c>
      <c r="E2057">
        <v>0</v>
      </c>
    </row>
    <row r="2058" spans="1:5">
      <c r="A2058">
        <v>99914</v>
      </c>
      <c r="B2058">
        <v>1830197</v>
      </c>
      <c r="C2058" s="5">
        <v>46057</v>
      </c>
      <c r="D2058" t="s">
        <v>458</v>
      </c>
      <c r="E2058">
        <v>6</v>
      </c>
    </row>
    <row r="2059" spans="1:5">
      <c r="A2059">
        <v>99915</v>
      </c>
      <c r="B2059">
        <v>1830197</v>
      </c>
      <c r="C2059" s="5">
        <v>46057</v>
      </c>
      <c r="D2059" t="s">
        <v>458</v>
      </c>
      <c r="E2059">
        <v>0</v>
      </c>
    </row>
    <row r="2060" spans="1:5">
      <c r="A2060">
        <v>99916</v>
      </c>
      <c r="B2060">
        <v>1830197</v>
      </c>
      <c r="C2060" s="5">
        <v>46057</v>
      </c>
      <c r="D2060" t="s">
        <v>458</v>
      </c>
      <c r="E2060">
        <v>1</v>
      </c>
    </row>
    <row r="2061" spans="1:5">
      <c r="A2061">
        <v>99917</v>
      </c>
      <c r="B2061">
        <v>1830197</v>
      </c>
      <c r="C2061" s="5">
        <v>46057</v>
      </c>
      <c r="D2061" t="s">
        <v>458</v>
      </c>
      <c r="E2061">
        <v>0</v>
      </c>
    </row>
    <row r="2062" spans="1:5">
      <c r="A2062">
        <v>99920</v>
      </c>
      <c r="B2062">
        <v>1830197</v>
      </c>
      <c r="C2062" s="5">
        <v>46057</v>
      </c>
      <c r="D2062" t="s">
        <v>458</v>
      </c>
      <c r="E2062">
        <v>0</v>
      </c>
    </row>
    <row r="2063" spans="1:5">
      <c r="A2063">
        <v>99929</v>
      </c>
      <c r="B2063">
        <v>1830197</v>
      </c>
      <c r="C2063" s="5">
        <v>46057</v>
      </c>
      <c r="D2063" t="s">
        <v>458</v>
      </c>
      <c r="E2063">
        <v>0</v>
      </c>
    </row>
    <row r="2064" spans="1:5">
      <c r="A2064">
        <v>99931</v>
      </c>
      <c r="B2064">
        <v>1830197</v>
      </c>
      <c r="C2064" s="5">
        <v>46057</v>
      </c>
      <c r="D2064" t="s">
        <v>458</v>
      </c>
      <c r="E2064">
        <v>0</v>
      </c>
    </row>
    <row r="2065" spans="1:5">
      <c r="A2065">
        <v>99932</v>
      </c>
      <c r="B2065">
        <v>1830197</v>
      </c>
      <c r="C2065" s="5">
        <v>46057</v>
      </c>
      <c r="D2065" t="s">
        <v>458</v>
      </c>
      <c r="E2065">
        <v>0</v>
      </c>
    </row>
    <row r="2066" spans="1:5">
      <c r="A2066">
        <v>99946</v>
      </c>
      <c r="B2066">
        <v>1830197</v>
      </c>
      <c r="C2066" s="5">
        <v>46057</v>
      </c>
      <c r="D2066" t="s">
        <v>458</v>
      </c>
      <c r="E2066">
        <v>0</v>
      </c>
    </row>
    <row r="2067" spans="1:5">
      <c r="A2067">
        <v>99967</v>
      </c>
      <c r="B2067">
        <v>1830197</v>
      </c>
      <c r="C2067" s="5">
        <v>46057</v>
      </c>
      <c r="D2067" t="s">
        <v>458</v>
      </c>
      <c r="E2067">
        <v>0</v>
      </c>
    </row>
    <row r="2068" spans="1:5">
      <c r="A2068">
        <v>99968</v>
      </c>
      <c r="B2068">
        <v>1830197</v>
      </c>
      <c r="C2068" s="5">
        <v>46057</v>
      </c>
      <c r="D2068" t="s">
        <v>458</v>
      </c>
      <c r="E2068">
        <v>0</v>
      </c>
    </row>
    <row r="2069" spans="1:5">
      <c r="A2069">
        <v>99969</v>
      </c>
      <c r="B2069">
        <v>1830197</v>
      </c>
      <c r="C2069" s="5">
        <v>46057</v>
      </c>
      <c r="D2069" t="s">
        <v>458</v>
      </c>
      <c r="E2069">
        <v>0</v>
      </c>
    </row>
    <row r="2070" spans="1:5">
      <c r="A2070">
        <v>99970</v>
      </c>
      <c r="B2070">
        <v>1830197</v>
      </c>
      <c r="C2070" s="5">
        <v>46057</v>
      </c>
      <c r="D2070" t="s">
        <v>458</v>
      </c>
      <c r="E2070">
        <v>0</v>
      </c>
    </row>
    <row r="2071" spans="1:5">
      <c r="A2071">
        <v>99971</v>
      </c>
      <c r="B2071">
        <v>1830197</v>
      </c>
      <c r="C2071" s="5">
        <v>46057</v>
      </c>
      <c r="D2071" t="s">
        <v>458</v>
      </c>
      <c r="E2071">
        <v>1</v>
      </c>
    </row>
    <row r="2072" spans="1:5">
      <c r="A2072">
        <v>99972</v>
      </c>
      <c r="B2072">
        <v>1830197</v>
      </c>
      <c r="C2072" s="5">
        <v>46057</v>
      </c>
      <c r="D2072" t="s">
        <v>458</v>
      </c>
      <c r="E2072">
        <v>0</v>
      </c>
    </row>
    <row r="2073" spans="1:5">
      <c r="A2073">
        <v>99973</v>
      </c>
      <c r="B2073">
        <v>1830197</v>
      </c>
      <c r="C2073" s="5">
        <v>46057</v>
      </c>
      <c r="D2073" t="s">
        <v>458</v>
      </c>
      <c r="E2073">
        <v>0</v>
      </c>
    </row>
    <row r="2074" spans="1:5">
      <c r="A2074">
        <v>99974</v>
      </c>
      <c r="B2074">
        <v>1830197</v>
      </c>
      <c r="C2074" s="5">
        <v>46057</v>
      </c>
      <c r="D2074" t="s">
        <v>458</v>
      </c>
      <c r="E2074">
        <v>0</v>
      </c>
    </row>
    <row r="2075" spans="1:5">
      <c r="A2075">
        <v>99977</v>
      </c>
      <c r="B2075">
        <v>1830197</v>
      </c>
      <c r="C2075" s="5">
        <v>46057</v>
      </c>
      <c r="D2075" t="s">
        <v>458</v>
      </c>
      <c r="E2075">
        <v>0</v>
      </c>
    </row>
    <row r="2076" spans="1:5">
      <c r="A2076">
        <v>99978</v>
      </c>
      <c r="B2076">
        <v>1830197</v>
      </c>
      <c r="C2076" s="5">
        <v>46057</v>
      </c>
      <c r="D2076" t="s">
        <v>458</v>
      </c>
      <c r="E2076">
        <v>0</v>
      </c>
    </row>
    <row r="2077" spans="1:5">
      <c r="A2077">
        <v>99979</v>
      </c>
      <c r="B2077">
        <v>1830197</v>
      </c>
      <c r="C2077" s="5">
        <v>46057</v>
      </c>
      <c r="D2077" t="s">
        <v>458</v>
      </c>
      <c r="E2077">
        <v>0</v>
      </c>
    </row>
    <row r="2078" spans="1:5">
      <c r="A2078">
        <v>99980</v>
      </c>
      <c r="B2078">
        <v>1830197</v>
      </c>
      <c r="C2078" s="5">
        <v>46057</v>
      </c>
      <c r="D2078" t="s">
        <v>458</v>
      </c>
      <c r="E2078">
        <v>0</v>
      </c>
    </row>
    <row r="2079" spans="1:5">
      <c r="A2079">
        <v>99981</v>
      </c>
      <c r="B2079">
        <v>1830197</v>
      </c>
      <c r="C2079" s="5">
        <v>46057</v>
      </c>
      <c r="D2079" t="s">
        <v>458</v>
      </c>
      <c r="E2079">
        <v>0</v>
      </c>
    </row>
    <row r="2080" spans="1:5">
      <c r="A2080">
        <v>99982</v>
      </c>
      <c r="B2080">
        <v>1830197</v>
      </c>
      <c r="C2080" s="5">
        <v>46057</v>
      </c>
      <c r="D2080" t="s">
        <v>458</v>
      </c>
      <c r="E2080">
        <v>0</v>
      </c>
    </row>
    <row r="2081" spans="1:5">
      <c r="A2081">
        <v>99983</v>
      </c>
      <c r="B2081">
        <v>1830197</v>
      </c>
      <c r="C2081" s="5">
        <v>46057</v>
      </c>
      <c r="D2081" t="s">
        <v>458</v>
      </c>
      <c r="E2081">
        <v>0</v>
      </c>
    </row>
    <row r="2082" spans="1:5">
      <c r="A2082">
        <v>99984</v>
      </c>
      <c r="B2082">
        <v>1830197</v>
      </c>
      <c r="C2082" s="5">
        <v>46057</v>
      </c>
      <c r="D2082" t="s">
        <v>458</v>
      </c>
      <c r="E2082">
        <v>0</v>
      </c>
    </row>
    <row r="2083" spans="1:5">
      <c r="A2083">
        <v>99985</v>
      </c>
      <c r="B2083">
        <v>1830197</v>
      </c>
      <c r="C2083" s="5">
        <v>46057</v>
      </c>
      <c r="D2083" t="s">
        <v>458</v>
      </c>
      <c r="E2083">
        <v>0</v>
      </c>
    </row>
    <row r="2084" spans="1:5">
      <c r="A2084">
        <v>99988</v>
      </c>
      <c r="B2084">
        <v>1830197</v>
      </c>
      <c r="C2084" s="5">
        <v>46057</v>
      </c>
      <c r="D2084" t="s">
        <v>458</v>
      </c>
      <c r="E2084">
        <v>0</v>
      </c>
    </row>
    <row r="2085" spans="1:5">
      <c r="A2085">
        <v>99989</v>
      </c>
      <c r="B2085">
        <v>1830197</v>
      </c>
      <c r="C2085" s="5">
        <v>46057</v>
      </c>
      <c r="D2085" t="s">
        <v>458</v>
      </c>
      <c r="E2085">
        <v>0</v>
      </c>
    </row>
    <row r="2086" spans="1:5">
      <c r="A2086">
        <v>99990</v>
      </c>
      <c r="B2086">
        <v>1830197</v>
      </c>
      <c r="C2086" s="5">
        <v>46057</v>
      </c>
      <c r="D2086" t="s">
        <v>458</v>
      </c>
      <c r="E2086">
        <v>0</v>
      </c>
    </row>
    <row r="2087" spans="1:5">
      <c r="A2087">
        <v>99991</v>
      </c>
      <c r="B2087">
        <v>1830197</v>
      </c>
      <c r="C2087" s="5">
        <v>46057</v>
      </c>
      <c r="D2087" t="s">
        <v>458</v>
      </c>
      <c r="E2087">
        <v>0</v>
      </c>
    </row>
    <row r="2088" spans="1:5">
      <c r="A2088">
        <v>99992</v>
      </c>
      <c r="B2088">
        <v>1830197</v>
      </c>
      <c r="C2088" s="5">
        <v>46057</v>
      </c>
      <c r="D2088" t="s">
        <v>458</v>
      </c>
      <c r="E2088">
        <v>0</v>
      </c>
    </row>
    <row r="2089" spans="1:5">
      <c r="A2089">
        <v>99993</v>
      </c>
      <c r="B2089">
        <v>1830197</v>
      </c>
      <c r="C2089" s="5">
        <v>46057</v>
      </c>
      <c r="D2089" t="s">
        <v>458</v>
      </c>
      <c r="E2089">
        <v>0</v>
      </c>
    </row>
    <row r="2090" spans="1:5">
      <c r="A2090">
        <v>99994</v>
      </c>
      <c r="B2090">
        <v>1830197</v>
      </c>
      <c r="C2090" s="5">
        <v>46057</v>
      </c>
      <c r="D2090" t="s">
        <v>458</v>
      </c>
      <c r="E2090">
        <v>0</v>
      </c>
    </row>
    <row r="2091" spans="1:5">
      <c r="A2091">
        <v>99995</v>
      </c>
      <c r="B2091">
        <v>1830197</v>
      </c>
      <c r="C2091" s="5">
        <v>46057</v>
      </c>
      <c r="D2091" t="s">
        <v>458</v>
      </c>
      <c r="E2091">
        <v>0</v>
      </c>
    </row>
    <row r="2092" spans="1:5">
      <c r="A2092">
        <v>99996</v>
      </c>
      <c r="B2092">
        <v>1830197</v>
      </c>
      <c r="C2092" s="5">
        <v>46057</v>
      </c>
      <c r="D2092" t="s">
        <v>458</v>
      </c>
      <c r="E2092">
        <v>0</v>
      </c>
    </row>
    <row r="2093" spans="1:5">
      <c r="A2093">
        <v>99999</v>
      </c>
      <c r="B2093">
        <v>1830197</v>
      </c>
      <c r="C2093" s="5">
        <v>46057</v>
      </c>
      <c r="D2093" t="s">
        <v>458</v>
      </c>
      <c r="E2093">
        <v>0</v>
      </c>
    </row>
    <row r="2094" spans="1:5">
      <c r="A2094">
        <v>1</v>
      </c>
      <c r="B2094">
        <v>1830197</v>
      </c>
      <c r="C2094" s="5">
        <v>46058</v>
      </c>
      <c r="D2094" t="s">
        <v>458</v>
      </c>
      <c r="E2094">
        <v>623</v>
      </c>
    </row>
    <row r="2095" spans="1:5">
      <c r="A2095">
        <v>2</v>
      </c>
      <c r="B2095">
        <v>1830197</v>
      </c>
      <c r="C2095" s="5">
        <v>46058</v>
      </c>
      <c r="D2095" t="s">
        <v>458</v>
      </c>
      <c r="E2095">
        <v>114</v>
      </c>
    </row>
    <row r="2096" spans="1:5">
      <c r="A2096">
        <v>3</v>
      </c>
      <c r="B2096">
        <v>1830197</v>
      </c>
      <c r="C2096" s="5">
        <v>46058</v>
      </c>
      <c r="D2096" t="s">
        <v>458</v>
      </c>
      <c r="E2096">
        <v>152</v>
      </c>
    </row>
    <row r="2097" spans="1:5">
      <c r="A2097">
        <v>4</v>
      </c>
      <c r="B2097">
        <v>1830197</v>
      </c>
      <c r="C2097" s="5">
        <v>46058</v>
      </c>
      <c r="D2097" t="s">
        <v>458</v>
      </c>
      <c r="E2097">
        <v>662.65</v>
      </c>
    </row>
    <row r="2098" spans="1:5">
      <c r="A2098">
        <v>5</v>
      </c>
      <c r="B2098">
        <v>1830197</v>
      </c>
      <c r="C2098" s="5">
        <v>46058</v>
      </c>
      <c r="D2098" t="s">
        <v>458</v>
      </c>
      <c r="E2098">
        <v>277</v>
      </c>
    </row>
    <row r="2099" spans="1:5">
      <c r="A2099">
        <v>6</v>
      </c>
      <c r="B2099">
        <v>1830197</v>
      </c>
      <c r="C2099" s="5">
        <v>46058</v>
      </c>
      <c r="D2099" t="s">
        <v>458</v>
      </c>
      <c r="E2099">
        <v>21</v>
      </c>
    </row>
    <row r="2100" spans="1:5">
      <c r="A2100">
        <v>7</v>
      </c>
      <c r="B2100">
        <v>1830197</v>
      </c>
      <c r="C2100" s="5">
        <v>46058</v>
      </c>
      <c r="D2100" t="s">
        <v>458</v>
      </c>
      <c r="E2100">
        <v>215</v>
      </c>
    </row>
    <row r="2101" spans="1:5">
      <c r="A2101">
        <v>8</v>
      </c>
      <c r="B2101">
        <v>1830197</v>
      </c>
      <c r="C2101" s="5">
        <v>46058</v>
      </c>
      <c r="D2101" t="s">
        <v>458</v>
      </c>
      <c r="E2101">
        <v>0</v>
      </c>
    </row>
    <row r="2102" spans="1:5">
      <c r="A2102">
        <v>9</v>
      </c>
      <c r="B2102">
        <v>1830197</v>
      </c>
      <c r="C2102" s="5">
        <v>46058</v>
      </c>
      <c r="D2102" t="s">
        <v>458</v>
      </c>
      <c r="E2102">
        <v>0</v>
      </c>
    </row>
    <row r="2103" spans="1:5">
      <c r="A2103">
        <v>10</v>
      </c>
      <c r="B2103">
        <v>1830197</v>
      </c>
      <c r="C2103" s="5">
        <v>46058</v>
      </c>
      <c r="D2103" t="s">
        <v>458</v>
      </c>
      <c r="E2103">
        <v>1.1399999999999999</v>
      </c>
    </row>
    <row r="2104" spans="1:5">
      <c r="A2104">
        <v>12</v>
      </c>
      <c r="B2104">
        <v>1830197</v>
      </c>
      <c r="C2104" s="5">
        <v>46058</v>
      </c>
      <c r="D2104" t="s">
        <v>458</v>
      </c>
      <c r="E2104">
        <v>12.37</v>
      </c>
    </row>
    <row r="2105" spans="1:5">
      <c r="A2105">
        <v>13</v>
      </c>
      <c r="B2105">
        <v>1830197</v>
      </c>
      <c r="C2105" s="5">
        <v>46058</v>
      </c>
      <c r="D2105" t="s">
        <v>458</v>
      </c>
      <c r="E2105">
        <v>715</v>
      </c>
    </row>
    <row r="2106" spans="1:5">
      <c r="A2106">
        <v>19</v>
      </c>
      <c r="B2106">
        <v>1830197</v>
      </c>
      <c r="C2106" s="5">
        <v>46058</v>
      </c>
      <c r="D2106" t="s">
        <v>458</v>
      </c>
      <c r="E2106">
        <v>64.260000000000005</v>
      </c>
    </row>
    <row r="2107" spans="1:5">
      <c r="A2107">
        <v>20</v>
      </c>
      <c r="B2107">
        <v>1830197</v>
      </c>
      <c r="C2107" s="5">
        <v>46058</v>
      </c>
      <c r="D2107" t="s">
        <v>458</v>
      </c>
      <c r="E2107">
        <v>362</v>
      </c>
    </row>
    <row r="2108" spans="1:5">
      <c r="A2108">
        <v>21</v>
      </c>
      <c r="B2108">
        <v>1830197</v>
      </c>
      <c r="C2108" s="5">
        <v>46058</v>
      </c>
      <c r="D2108" t="s">
        <v>458</v>
      </c>
      <c r="E2108">
        <v>8.36</v>
      </c>
    </row>
    <row r="2109" spans="1:5">
      <c r="A2109">
        <v>23</v>
      </c>
      <c r="B2109">
        <v>1830197</v>
      </c>
      <c r="C2109" s="5">
        <v>46058</v>
      </c>
      <c r="D2109" t="s">
        <v>458</v>
      </c>
      <c r="E2109">
        <v>68</v>
      </c>
    </row>
    <row r="2110" spans="1:5">
      <c r="A2110">
        <v>26</v>
      </c>
      <c r="B2110">
        <v>1830197</v>
      </c>
      <c r="C2110" s="5">
        <v>46058</v>
      </c>
      <c r="D2110" t="s">
        <v>458</v>
      </c>
      <c r="E2110">
        <v>0.02</v>
      </c>
    </row>
    <row r="2111" spans="1:5">
      <c r="A2111">
        <v>31</v>
      </c>
      <c r="B2111">
        <v>1830197</v>
      </c>
      <c r="C2111" s="5">
        <v>46058</v>
      </c>
      <c r="D2111" t="s">
        <v>458</v>
      </c>
      <c r="E2111">
        <v>0</v>
      </c>
    </row>
    <row r="2112" spans="1:5">
      <c r="A2112">
        <v>33</v>
      </c>
      <c r="B2112">
        <v>1830197</v>
      </c>
      <c r="C2112" s="5">
        <v>46058</v>
      </c>
      <c r="D2112" t="s">
        <v>458</v>
      </c>
      <c r="E2112">
        <v>0</v>
      </c>
    </row>
    <row r="2113" spans="1:5">
      <c r="A2113">
        <v>42</v>
      </c>
      <c r="B2113">
        <v>1830197</v>
      </c>
      <c r="C2113" s="5">
        <v>46058</v>
      </c>
      <c r="D2113" t="s">
        <v>458</v>
      </c>
      <c r="E2113">
        <v>0</v>
      </c>
    </row>
    <row r="2114" spans="1:5">
      <c r="A2114">
        <v>45</v>
      </c>
      <c r="B2114">
        <v>1830197</v>
      </c>
      <c r="C2114" s="5">
        <v>46058</v>
      </c>
      <c r="D2114" t="s">
        <v>458</v>
      </c>
      <c r="E2114">
        <v>4706</v>
      </c>
    </row>
    <row r="2115" spans="1:5">
      <c r="A2115">
        <v>48</v>
      </c>
      <c r="B2115">
        <v>1830197</v>
      </c>
      <c r="C2115" s="5">
        <v>46058</v>
      </c>
      <c r="D2115" t="s">
        <v>458</v>
      </c>
      <c r="E2115">
        <v>0</v>
      </c>
    </row>
    <row r="2116" spans="1:5">
      <c r="A2116">
        <v>50</v>
      </c>
      <c r="B2116">
        <v>1830197</v>
      </c>
      <c r="C2116" s="5">
        <v>46058</v>
      </c>
      <c r="D2116" t="s">
        <v>458</v>
      </c>
      <c r="E2116">
        <v>240</v>
      </c>
    </row>
    <row r="2117" spans="1:5">
      <c r="A2117">
        <v>55</v>
      </c>
      <c r="B2117">
        <v>1830197</v>
      </c>
      <c r="C2117" s="5">
        <v>46058</v>
      </c>
      <c r="D2117" t="s">
        <v>458</v>
      </c>
      <c r="E2117">
        <v>1.28</v>
      </c>
    </row>
    <row r="2118" spans="1:5">
      <c r="A2118">
        <v>56</v>
      </c>
      <c r="B2118">
        <v>1830197</v>
      </c>
      <c r="C2118" s="5">
        <v>46058</v>
      </c>
      <c r="D2118" t="s">
        <v>458</v>
      </c>
      <c r="E2118">
        <v>1.18</v>
      </c>
    </row>
    <row r="2119" spans="1:5">
      <c r="A2119">
        <v>62</v>
      </c>
      <c r="B2119">
        <v>1830197</v>
      </c>
      <c r="C2119" s="5">
        <v>46058</v>
      </c>
      <c r="D2119" t="s">
        <v>458</v>
      </c>
      <c r="E2119">
        <v>0</v>
      </c>
    </row>
    <row r="2120" spans="1:5">
      <c r="A2120">
        <v>63</v>
      </c>
      <c r="B2120">
        <v>1830197</v>
      </c>
      <c r="C2120" s="5">
        <v>46058</v>
      </c>
      <c r="D2120" t="s">
        <v>458</v>
      </c>
      <c r="E2120">
        <v>0.2</v>
      </c>
    </row>
    <row r="2121" spans="1:5">
      <c r="A2121">
        <v>65</v>
      </c>
      <c r="B2121">
        <v>1830197</v>
      </c>
      <c r="C2121" s="5">
        <v>46058</v>
      </c>
      <c r="D2121" t="s">
        <v>458</v>
      </c>
      <c r="E2121">
        <v>4.5</v>
      </c>
    </row>
    <row r="2122" spans="1:5">
      <c r="A2122">
        <v>67</v>
      </c>
      <c r="B2122">
        <v>1830197</v>
      </c>
      <c r="C2122" s="5">
        <v>46058</v>
      </c>
      <c r="D2122" t="s">
        <v>458</v>
      </c>
      <c r="E2122">
        <v>0</v>
      </c>
    </row>
    <row r="2123" spans="1:5">
      <c r="A2123">
        <v>69</v>
      </c>
      <c r="B2123">
        <v>1830197</v>
      </c>
      <c r="C2123" s="5">
        <v>46058</v>
      </c>
      <c r="D2123" t="s">
        <v>458</v>
      </c>
      <c r="E2123">
        <v>4.16</v>
      </c>
    </row>
    <row r="2124" spans="1:5">
      <c r="A2124">
        <v>70</v>
      </c>
      <c r="B2124">
        <v>1830197</v>
      </c>
      <c r="C2124" s="5">
        <v>46058</v>
      </c>
      <c r="D2124" t="s">
        <v>458</v>
      </c>
      <c r="E2124">
        <v>12</v>
      </c>
    </row>
    <row r="2125" spans="1:5">
      <c r="A2125">
        <v>76</v>
      </c>
      <c r="B2125">
        <v>1830197</v>
      </c>
      <c r="C2125" s="5">
        <v>46058</v>
      </c>
      <c r="D2125" t="s">
        <v>458</v>
      </c>
      <c r="E2125">
        <v>32</v>
      </c>
    </row>
    <row r="2126" spans="1:5">
      <c r="A2126">
        <v>86</v>
      </c>
      <c r="B2126">
        <v>1830197</v>
      </c>
      <c r="C2126" s="5">
        <v>46058</v>
      </c>
      <c r="D2126" t="s">
        <v>458</v>
      </c>
      <c r="E2126">
        <v>117</v>
      </c>
    </row>
    <row r="2127" spans="1:5">
      <c r="A2127">
        <v>90</v>
      </c>
      <c r="B2127">
        <v>1830197</v>
      </c>
      <c r="C2127" s="5">
        <v>46058</v>
      </c>
      <c r="D2127" t="s">
        <v>458</v>
      </c>
      <c r="E2127">
        <v>6</v>
      </c>
    </row>
    <row r="2128" spans="1:5">
      <c r="A2128">
        <v>93</v>
      </c>
      <c r="B2128">
        <v>1830197</v>
      </c>
      <c r="C2128" s="5">
        <v>46058</v>
      </c>
      <c r="D2128" t="s">
        <v>458</v>
      </c>
      <c r="E2128">
        <v>0</v>
      </c>
    </row>
    <row r="2129" spans="1:5">
      <c r="A2129">
        <v>94</v>
      </c>
      <c r="B2129">
        <v>1830197</v>
      </c>
      <c r="C2129" s="5">
        <v>46058</v>
      </c>
      <c r="D2129" t="s">
        <v>458</v>
      </c>
      <c r="E2129">
        <v>10</v>
      </c>
    </row>
    <row r="2130" spans="1:5">
      <c r="A2130">
        <v>97</v>
      </c>
      <c r="B2130">
        <v>1830197</v>
      </c>
      <c r="C2130" s="5">
        <v>46058</v>
      </c>
      <c r="D2130" t="s">
        <v>458</v>
      </c>
      <c r="E2130">
        <v>0</v>
      </c>
    </row>
    <row r="2131" spans="1:5">
      <c r="A2131">
        <v>98</v>
      </c>
      <c r="B2131">
        <v>1830197</v>
      </c>
      <c r="C2131" s="5">
        <v>46058</v>
      </c>
      <c r="D2131" t="s">
        <v>458</v>
      </c>
      <c r="E2131">
        <v>0</v>
      </c>
    </row>
    <row r="2132" spans="1:5">
      <c r="A2132">
        <v>101</v>
      </c>
      <c r="B2132">
        <v>1830197</v>
      </c>
      <c r="C2132" s="5">
        <v>46058</v>
      </c>
      <c r="D2132" t="s">
        <v>458</v>
      </c>
      <c r="E2132">
        <v>78</v>
      </c>
    </row>
    <row r="2133" spans="1:5">
      <c r="A2133">
        <v>102</v>
      </c>
      <c r="B2133">
        <v>1830197</v>
      </c>
      <c r="C2133" s="5">
        <v>46058</v>
      </c>
      <c r="D2133" t="s">
        <v>458</v>
      </c>
      <c r="E2133">
        <v>0</v>
      </c>
    </row>
    <row r="2134" spans="1:5">
      <c r="A2134">
        <v>103</v>
      </c>
      <c r="B2134">
        <v>1830197</v>
      </c>
      <c r="C2134" s="5">
        <v>46058</v>
      </c>
      <c r="D2134" t="s">
        <v>458</v>
      </c>
      <c r="E2134">
        <v>10</v>
      </c>
    </row>
    <row r="2135" spans="1:5">
      <c r="A2135">
        <v>109</v>
      </c>
      <c r="B2135">
        <v>1830197</v>
      </c>
      <c r="C2135" s="5">
        <v>46058</v>
      </c>
      <c r="D2135" t="s">
        <v>458</v>
      </c>
      <c r="E2135">
        <v>84</v>
      </c>
    </row>
    <row r="2136" spans="1:5">
      <c r="A2136">
        <v>110</v>
      </c>
      <c r="B2136">
        <v>1830197</v>
      </c>
      <c r="C2136" s="5">
        <v>46058</v>
      </c>
      <c r="D2136" t="s">
        <v>458</v>
      </c>
      <c r="E2136">
        <v>27</v>
      </c>
    </row>
    <row r="2137" spans="1:5">
      <c r="A2137">
        <v>111</v>
      </c>
      <c r="B2137">
        <v>1830197</v>
      </c>
      <c r="C2137" s="5">
        <v>46058</v>
      </c>
      <c r="D2137" t="s">
        <v>458</v>
      </c>
      <c r="E2137">
        <v>74</v>
      </c>
    </row>
    <row r="2138" spans="1:5">
      <c r="A2138">
        <v>116</v>
      </c>
      <c r="B2138">
        <v>1830197</v>
      </c>
      <c r="C2138" s="5">
        <v>46058</v>
      </c>
      <c r="D2138" t="s">
        <v>458</v>
      </c>
      <c r="E2138">
        <v>198</v>
      </c>
    </row>
    <row r="2139" spans="1:5">
      <c r="A2139">
        <v>117</v>
      </c>
      <c r="B2139">
        <v>1830197</v>
      </c>
      <c r="C2139" s="5">
        <v>46058</v>
      </c>
      <c r="D2139" t="s">
        <v>458</v>
      </c>
      <c r="E2139">
        <v>911</v>
      </c>
    </row>
    <row r="2140" spans="1:5">
      <c r="A2140">
        <v>118</v>
      </c>
      <c r="B2140">
        <v>1830197</v>
      </c>
      <c r="C2140" s="5">
        <v>46058</v>
      </c>
      <c r="D2140" t="s">
        <v>458</v>
      </c>
      <c r="E2140">
        <v>0</v>
      </c>
    </row>
    <row r="2141" spans="1:5">
      <c r="A2141">
        <v>127</v>
      </c>
      <c r="B2141">
        <v>1830197</v>
      </c>
      <c r="C2141" s="5">
        <v>46058</v>
      </c>
      <c r="D2141" t="s">
        <v>458</v>
      </c>
      <c r="E2141">
        <v>331</v>
      </c>
    </row>
    <row r="2142" spans="1:5">
      <c r="A2142">
        <v>128</v>
      </c>
      <c r="B2142">
        <v>1830197</v>
      </c>
      <c r="C2142" s="5">
        <v>46058</v>
      </c>
      <c r="D2142" t="s">
        <v>458</v>
      </c>
      <c r="E2142">
        <v>0</v>
      </c>
    </row>
    <row r="2143" spans="1:5">
      <c r="A2143">
        <v>131</v>
      </c>
      <c r="B2143">
        <v>1830197</v>
      </c>
      <c r="C2143" s="5">
        <v>46058</v>
      </c>
      <c r="D2143" t="s">
        <v>458</v>
      </c>
      <c r="E2143">
        <v>0</v>
      </c>
    </row>
    <row r="2144" spans="1:5">
      <c r="A2144">
        <v>141</v>
      </c>
      <c r="B2144">
        <v>1830197</v>
      </c>
      <c r="C2144" s="5">
        <v>46058</v>
      </c>
      <c r="D2144" t="s">
        <v>458</v>
      </c>
      <c r="E2144">
        <v>0</v>
      </c>
    </row>
    <row r="2145" spans="1:5">
      <c r="A2145">
        <v>142</v>
      </c>
      <c r="B2145">
        <v>1830197</v>
      </c>
      <c r="C2145" s="5">
        <v>46058</v>
      </c>
      <c r="D2145" t="s">
        <v>458</v>
      </c>
      <c r="E2145">
        <v>0</v>
      </c>
    </row>
    <row r="2146" spans="1:5">
      <c r="A2146">
        <v>143</v>
      </c>
      <c r="B2146">
        <v>1830197</v>
      </c>
      <c r="C2146" s="5">
        <v>46058</v>
      </c>
      <c r="D2146" t="s">
        <v>458</v>
      </c>
      <c r="E2146">
        <v>0</v>
      </c>
    </row>
    <row r="2147" spans="1:5">
      <c r="A2147">
        <v>155</v>
      </c>
      <c r="B2147">
        <v>1830197</v>
      </c>
      <c r="C2147" s="5">
        <v>46058</v>
      </c>
      <c r="D2147" t="s">
        <v>458</v>
      </c>
      <c r="E2147">
        <v>198</v>
      </c>
    </row>
    <row r="2148" spans="1:5">
      <c r="A2148">
        <v>163</v>
      </c>
      <c r="B2148">
        <v>1830197</v>
      </c>
      <c r="C2148" s="5">
        <v>46058</v>
      </c>
      <c r="D2148" t="s">
        <v>458</v>
      </c>
      <c r="E2148">
        <v>350</v>
      </c>
    </row>
    <row r="2149" spans="1:5">
      <c r="A2149">
        <v>166</v>
      </c>
      <c r="B2149">
        <v>1830197</v>
      </c>
      <c r="C2149" s="5">
        <v>46058</v>
      </c>
      <c r="D2149" t="s">
        <v>458</v>
      </c>
      <c r="E2149">
        <v>33</v>
      </c>
    </row>
    <row r="2150" spans="1:5">
      <c r="A2150">
        <v>168</v>
      </c>
      <c r="B2150">
        <v>1830197</v>
      </c>
      <c r="C2150" s="5">
        <v>46058</v>
      </c>
      <c r="D2150" t="s">
        <v>458</v>
      </c>
      <c r="E2150">
        <v>11.29</v>
      </c>
    </row>
    <row r="2151" spans="1:5">
      <c r="A2151">
        <v>170</v>
      </c>
      <c r="B2151">
        <v>1830197</v>
      </c>
      <c r="C2151" s="5">
        <v>46058</v>
      </c>
      <c r="D2151" t="s">
        <v>458</v>
      </c>
      <c r="E2151">
        <v>0</v>
      </c>
    </row>
    <row r="2152" spans="1:5">
      <c r="A2152">
        <v>187</v>
      </c>
      <c r="B2152">
        <v>1830197</v>
      </c>
      <c r="C2152" s="5">
        <v>46058</v>
      </c>
      <c r="D2152" t="s">
        <v>458</v>
      </c>
      <c r="E2152">
        <v>10</v>
      </c>
    </row>
    <row r="2153" spans="1:5">
      <c r="A2153">
        <v>193</v>
      </c>
      <c r="B2153">
        <v>1830197</v>
      </c>
      <c r="C2153" s="5">
        <v>46058</v>
      </c>
      <c r="D2153" t="s">
        <v>458</v>
      </c>
      <c r="E2153">
        <v>8291</v>
      </c>
    </row>
    <row r="2154" spans="1:5">
      <c r="A2154">
        <v>205</v>
      </c>
      <c r="B2154">
        <v>1830197</v>
      </c>
      <c r="C2154" s="5">
        <v>46058</v>
      </c>
      <c r="D2154" t="s">
        <v>458</v>
      </c>
      <c r="E2154">
        <v>0</v>
      </c>
    </row>
    <row r="2155" spans="1:5">
      <c r="A2155">
        <v>206</v>
      </c>
      <c r="B2155">
        <v>1830197</v>
      </c>
      <c r="C2155" s="5">
        <v>46058</v>
      </c>
      <c r="D2155" t="s">
        <v>458</v>
      </c>
      <c r="E2155">
        <v>30</v>
      </c>
    </row>
    <row r="2156" spans="1:5">
      <c r="A2156">
        <v>209</v>
      </c>
      <c r="B2156">
        <v>1830197</v>
      </c>
      <c r="C2156" s="5">
        <v>46058</v>
      </c>
      <c r="D2156" t="s">
        <v>458</v>
      </c>
      <c r="E2156">
        <v>0</v>
      </c>
    </row>
    <row r="2157" spans="1:5">
      <c r="A2157">
        <v>210</v>
      </c>
      <c r="B2157">
        <v>1830197</v>
      </c>
      <c r="C2157" s="5">
        <v>46058</v>
      </c>
      <c r="D2157" t="s">
        <v>458</v>
      </c>
      <c r="E2157">
        <v>2</v>
      </c>
    </row>
    <row r="2158" spans="1:5">
      <c r="A2158">
        <v>223</v>
      </c>
      <c r="B2158">
        <v>1830197</v>
      </c>
      <c r="C2158" s="5">
        <v>46058</v>
      </c>
      <c r="D2158" t="s">
        <v>458</v>
      </c>
      <c r="E2158">
        <v>1462</v>
      </c>
    </row>
    <row r="2159" spans="1:5">
      <c r="A2159">
        <v>247</v>
      </c>
      <c r="B2159">
        <v>1830197</v>
      </c>
      <c r="C2159" s="5">
        <v>46058</v>
      </c>
      <c r="D2159" t="s">
        <v>458</v>
      </c>
      <c r="E2159">
        <v>0</v>
      </c>
    </row>
    <row r="2160" spans="1:5">
      <c r="A2160">
        <v>253</v>
      </c>
      <c r="B2160">
        <v>1830197</v>
      </c>
      <c r="C2160" s="5">
        <v>46058</v>
      </c>
      <c r="D2160" t="s">
        <v>458</v>
      </c>
      <c r="E2160">
        <v>3.41</v>
      </c>
    </row>
    <row r="2161" spans="1:5">
      <c r="A2161">
        <v>254</v>
      </c>
      <c r="B2161">
        <v>1830197</v>
      </c>
      <c r="C2161" s="5">
        <v>46058</v>
      </c>
      <c r="D2161" t="s">
        <v>458</v>
      </c>
      <c r="E2161">
        <v>14</v>
      </c>
    </row>
    <row r="2162" spans="1:5">
      <c r="A2162">
        <v>261</v>
      </c>
      <c r="B2162">
        <v>1830197</v>
      </c>
      <c r="C2162" s="5">
        <v>46058</v>
      </c>
      <c r="D2162" t="s">
        <v>458</v>
      </c>
      <c r="E2162">
        <v>13</v>
      </c>
    </row>
    <row r="2163" spans="1:5">
      <c r="A2163">
        <v>262</v>
      </c>
      <c r="B2163">
        <v>1830197</v>
      </c>
      <c r="C2163" s="5">
        <v>46058</v>
      </c>
      <c r="D2163" t="s">
        <v>458</v>
      </c>
      <c r="E2163">
        <v>0</v>
      </c>
    </row>
    <row r="2164" spans="1:5">
      <c r="A2164">
        <v>268</v>
      </c>
      <c r="B2164">
        <v>1830197</v>
      </c>
      <c r="C2164" s="5">
        <v>46058</v>
      </c>
      <c r="D2164" t="s">
        <v>458</v>
      </c>
      <c r="E2164">
        <v>48</v>
      </c>
    </row>
    <row r="2165" spans="1:5">
      <c r="A2165">
        <v>269</v>
      </c>
      <c r="B2165">
        <v>1830197</v>
      </c>
      <c r="C2165" s="5">
        <v>46058</v>
      </c>
      <c r="D2165" t="s">
        <v>458</v>
      </c>
      <c r="E2165">
        <v>51</v>
      </c>
    </row>
    <row r="2166" spans="1:5">
      <c r="A2166">
        <v>284</v>
      </c>
      <c r="B2166">
        <v>1830197</v>
      </c>
      <c r="C2166" s="5">
        <v>46058</v>
      </c>
      <c r="D2166" t="s">
        <v>458</v>
      </c>
      <c r="E2166">
        <v>14</v>
      </c>
    </row>
    <row r="2167" spans="1:5">
      <c r="A2167">
        <v>285</v>
      </c>
      <c r="B2167">
        <v>1830197</v>
      </c>
      <c r="C2167" s="5">
        <v>46058</v>
      </c>
      <c r="D2167" t="s">
        <v>458</v>
      </c>
      <c r="E2167">
        <v>51</v>
      </c>
    </row>
    <row r="2168" spans="1:5">
      <c r="A2168">
        <v>288</v>
      </c>
      <c r="B2168">
        <v>1830197</v>
      </c>
      <c r="C2168" s="5">
        <v>46058</v>
      </c>
      <c r="D2168" t="s">
        <v>458</v>
      </c>
      <c r="E2168">
        <v>54</v>
      </c>
    </row>
    <row r="2169" spans="1:5">
      <c r="A2169">
        <v>289</v>
      </c>
      <c r="B2169">
        <v>1830197</v>
      </c>
      <c r="C2169" s="5">
        <v>46058</v>
      </c>
      <c r="D2169" t="s">
        <v>458</v>
      </c>
      <c r="E2169">
        <v>0</v>
      </c>
    </row>
    <row r="2170" spans="1:5">
      <c r="A2170">
        <v>295</v>
      </c>
      <c r="B2170">
        <v>1830197</v>
      </c>
      <c r="C2170" s="5">
        <v>46058</v>
      </c>
      <c r="D2170" t="s">
        <v>458</v>
      </c>
      <c r="E2170">
        <v>35</v>
      </c>
    </row>
    <row r="2171" spans="1:5">
      <c r="A2171">
        <v>300</v>
      </c>
      <c r="B2171">
        <v>1830197</v>
      </c>
      <c r="C2171" s="5">
        <v>46058</v>
      </c>
      <c r="D2171" t="s">
        <v>458</v>
      </c>
      <c r="E2171">
        <v>0</v>
      </c>
    </row>
    <row r="2172" spans="1:5">
      <c r="A2172">
        <v>311</v>
      </c>
      <c r="B2172">
        <v>1830197</v>
      </c>
      <c r="C2172" s="5">
        <v>46058</v>
      </c>
      <c r="D2172" t="s">
        <v>458</v>
      </c>
      <c r="E2172">
        <v>0</v>
      </c>
    </row>
    <row r="2173" spans="1:5">
      <c r="A2173">
        <v>330</v>
      </c>
      <c r="B2173">
        <v>1830197</v>
      </c>
      <c r="C2173" s="5">
        <v>46058</v>
      </c>
      <c r="D2173" t="s">
        <v>458</v>
      </c>
      <c r="E2173">
        <v>14</v>
      </c>
    </row>
    <row r="2174" spans="1:5">
      <c r="A2174">
        <v>335</v>
      </c>
      <c r="B2174">
        <v>1830197</v>
      </c>
      <c r="C2174" s="5">
        <v>46058</v>
      </c>
      <c r="D2174" t="s">
        <v>458</v>
      </c>
      <c r="E2174">
        <v>13</v>
      </c>
    </row>
    <row r="2175" spans="1:5">
      <c r="A2175">
        <v>336</v>
      </c>
      <c r="B2175">
        <v>1830197</v>
      </c>
      <c r="C2175" s="5">
        <v>46058</v>
      </c>
      <c r="D2175" t="s">
        <v>458</v>
      </c>
      <c r="E2175">
        <v>0</v>
      </c>
    </row>
    <row r="2176" spans="1:5">
      <c r="A2176">
        <v>337</v>
      </c>
      <c r="B2176">
        <v>1830197</v>
      </c>
      <c r="C2176" s="5">
        <v>46058</v>
      </c>
      <c r="D2176" t="s">
        <v>458</v>
      </c>
      <c r="E2176">
        <v>0</v>
      </c>
    </row>
    <row r="2177" spans="1:5">
      <c r="A2177">
        <v>382</v>
      </c>
      <c r="B2177">
        <v>1830197</v>
      </c>
      <c r="C2177" s="5">
        <v>46058</v>
      </c>
      <c r="D2177" t="s">
        <v>458</v>
      </c>
      <c r="E2177">
        <v>3.61</v>
      </c>
    </row>
    <row r="2178" spans="1:5">
      <c r="A2178">
        <v>385</v>
      </c>
      <c r="B2178">
        <v>1830197</v>
      </c>
      <c r="C2178" s="5">
        <v>46058</v>
      </c>
      <c r="D2178" t="s">
        <v>458</v>
      </c>
      <c r="E2178">
        <v>68</v>
      </c>
    </row>
    <row r="2179" spans="1:5">
      <c r="A2179">
        <v>386</v>
      </c>
      <c r="B2179">
        <v>1830197</v>
      </c>
      <c r="C2179" s="5">
        <v>46058</v>
      </c>
      <c r="D2179" t="s">
        <v>458</v>
      </c>
      <c r="E2179">
        <v>0</v>
      </c>
    </row>
    <row r="2180" spans="1:5">
      <c r="A2180">
        <v>391</v>
      </c>
      <c r="B2180">
        <v>1830197</v>
      </c>
      <c r="C2180" s="5">
        <v>46058</v>
      </c>
      <c r="D2180" t="s">
        <v>458</v>
      </c>
      <c r="E2180">
        <v>0</v>
      </c>
    </row>
    <row r="2181" spans="1:5">
      <c r="A2181">
        <v>397</v>
      </c>
      <c r="B2181">
        <v>1830197</v>
      </c>
      <c r="C2181" s="5">
        <v>46058</v>
      </c>
      <c r="D2181" t="s">
        <v>458</v>
      </c>
      <c r="E2181">
        <v>0</v>
      </c>
    </row>
    <row r="2182" spans="1:5">
      <c r="A2182">
        <v>398</v>
      </c>
      <c r="B2182">
        <v>1830197</v>
      </c>
      <c r="C2182" s="5">
        <v>46058</v>
      </c>
      <c r="D2182" t="s">
        <v>458</v>
      </c>
      <c r="E2182">
        <v>0</v>
      </c>
    </row>
    <row r="2183" spans="1:5">
      <c r="A2183">
        <v>406</v>
      </c>
      <c r="B2183">
        <v>1830197</v>
      </c>
      <c r="C2183" s="5">
        <v>46058</v>
      </c>
      <c r="D2183" t="s">
        <v>458</v>
      </c>
      <c r="E2183">
        <v>0.5</v>
      </c>
    </row>
    <row r="2184" spans="1:5">
      <c r="A2184">
        <v>407</v>
      </c>
      <c r="B2184">
        <v>1830197</v>
      </c>
      <c r="C2184" s="5">
        <v>46058</v>
      </c>
      <c r="D2184" t="s">
        <v>458</v>
      </c>
      <c r="E2184">
        <v>1796</v>
      </c>
    </row>
    <row r="2185" spans="1:5">
      <c r="A2185">
        <v>408</v>
      </c>
      <c r="B2185">
        <v>1830197</v>
      </c>
      <c r="C2185" s="5">
        <v>46058</v>
      </c>
      <c r="D2185" t="s">
        <v>458</v>
      </c>
      <c r="E2185">
        <v>199</v>
      </c>
    </row>
    <row r="2186" spans="1:5">
      <c r="A2186">
        <v>409</v>
      </c>
      <c r="B2186">
        <v>1830197</v>
      </c>
      <c r="C2186" s="5">
        <v>46058</v>
      </c>
      <c r="D2186" t="s">
        <v>458</v>
      </c>
      <c r="E2186">
        <v>0</v>
      </c>
    </row>
    <row r="2187" spans="1:5">
      <c r="A2187">
        <v>410</v>
      </c>
      <c r="B2187">
        <v>1830197</v>
      </c>
      <c r="C2187" s="5">
        <v>46058</v>
      </c>
      <c r="D2187" t="s">
        <v>458</v>
      </c>
      <c r="E2187">
        <v>0</v>
      </c>
    </row>
    <row r="2188" spans="1:5">
      <c r="A2188">
        <v>419</v>
      </c>
      <c r="B2188">
        <v>1830197</v>
      </c>
      <c r="C2188" s="5">
        <v>46058</v>
      </c>
      <c r="D2188" t="s">
        <v>458</v>
      </c>
      <c r="E2188">
        <v>388</v>
      </c>
    </row>
    <row r="2189" spans="1:5">
      <c r="A2189">
        <v>472</v>
      </c>
      <c r="B2189">
        <v>1830197</v>
      </c>
      <c r="C2189" s="5">
        <v>46058</v>
      </c>
      <c r="D2189" t="s">
        <v>458</v>
      </c>
      <c r="E2189">
        <v>0</v>
      </c>
    </row>
    <row r="2190" spans="1:5">
      <c r="A2190">
        <v>483</v>
      </c>
      <c r="B2190">
        <v>1830197</v>
      </c>
      <c r="C2190" s="5">
        <v>46058</v>
      </c>
      <c r="D2190" t="s">
        <v>458</v>
      </c>
      <c r="E2190">
        <v>229</v>
      </c>
    </row>
    <row r="2191" spans="1:5">
      <c r="A2191">
        <v>591</v>
      </c>
      <c r="B2191">
        <v>1830197</v>
      </c>
      <c r="C2191" s="5">
        <v>46058</v>
      </c>
      <c r="D2191" t="s">
        <v>458</v>
      </c>
      <c r="E2191">
        <v>27</v>
      </c>
    </row>
    <row r="2192" spans="1:5">
      <c r="A2192">
        <v>592</v>
      </c>
      <c r="B2192">
        <v>1830197</v>
      </c>
      <c r="C2192" s="5">
        <v>46058</v>
      </c>
      <c r="D2192" t="s">
        <v>458</v>
      </c>
      <c r="E2192">
        <v>71</v>
      </c>
    </row>
    <row r="2193" spans="1:5">
      <c r="A2193">
        <v>609</v>
      </c>
      <c r="B2193">
        <v>1830197</v>
      </c>
      <c r="C2193" s="5">
        <v>46058</v>
      </c>
      <c r="D2193" t="s">
        <v>458</v>
      </c>
      <c r="E2193">
        <v>237</v>
      </c>
    </row>
    <row r="2194" spans="1:5">
      <c r="A2194">
        <v>708</v>
      </c>
      <c r="B2194">
        <v>1830197</v>
      </c>
      <c r="C2194" s="5">
        <v>46058</v>
      </c>
      <c r="D2194" t="s">
        <v>458</v>
      </c>
      <c r="E2194">
        <v>15</v>
      </c>
    </row>
    <row r="2195" spans="1:5">
      <c r="A2195">
        <v>731</v>
      </c>
      <c r="B2195">
        <v>1830197</v>
      </c>
      <c r="C2195" s="5">
        <v>46058</v>
      </c>
      <c r="D2195" t="s">
        <v>458</v>
      </c>
      <c r="E2195">
        <v>0</v>
      </c>
    </row>
    <row r="2196" spans="1:5">
      <c r="A2196">
        <v>736</v>
      </c>
      <c r="B2196">
        <v>1830197</v>
      </c>
      <c r="C2196" s="5">
        <v>46058</v>
      </c>
      <c r="D2196" t="s">
        <v>458</v>
      </c>
      <c r="E2196">
        <v>106</v>
      </c>
    </row>
    <row r="2197" spans="1:5">
      <c r="A2197">
        <v>803</v>
      </c>
      <c r="B2197">
        <v>1830197</v>
      </c>
      <c r="C2197" s="5">
        <v>46058</v>
      </c>
      <c r="D2197" t="s">
        <v>458</v>
      </c>
      <c r="E2197">
        <v>0</v>
      </c>
    </row>
    <row r="2198" spans="1:5">
      <c r="A2198">
        <v>804</v>
      </c>
      <c r="B2198">
        <v>1830197</v>
      </c>
      <c r="C2198" s="5">
        <v>46058</v>
      </c>
      <c r="D2198" t="s">
        <v>458</v>
      </c>
      <c r="E2198">
        <v>0</v>
      </c>
    </row>
    <row r="2199" spans="1:5">
      <c r="A2199">
        <v>808</v>
      </c>
      <c r="B2199">
        <v>1830197</v>
      </c>
      <c r="C2199" s="5">
        <v>46058</v>
      </c>
      <c r="D2199" t="s">
        <v>458</v>
      </c>
      <c r="E2199">
        <v>68</v>
      </c>
    </row>
    <row r="2200" spans="1:5">
      <c r="A2200">
        <v>821</v>
      </c>
      <c r="B2200">
        <v>1830197</v>
      </c>
      <c r="C2200" s="5">
        <v>46058</v>
      </c>
      <c r="D2200" t="s">
        <v>458</v>
      </c>
      <c r="E2200">
        <v>562</v>
      </c>
    </row>
    <row r="2201" spans="1:5">
      <c r="A2201">
        <v>880</v>
      </c>
      <c r="B2201">
        <v>1830197</v>
      </c>
      <c r="C2201" s="5">
        <v>46058</v>
      </c>
      <c r="D2201" t="s">
        <v>458</v>
      </c>
      <c r="E2201">
        <v>0</v>
      </c>
    </row>
    <row r="2202" spans="1:5">
      <c r="A2202">
        <v>894</v>
      </c>
      <c r="B2202">
        <v>1830197</v>
      </c>
      <c r="C2202" s="5">
        <v>46058</v>
      </c>
      <c r="D2202" t="s">
        <v>458</v>
      </c>
      <c r="E2202">
        <v>0</v>
      </c>
    </row>
    <row r="2203" spans="1:5">
      <c r="A2203">
        <v>994</v>
      </c>
      <c r="B2203">
        <v>1830197</v>
      </c>
      <c r="C2203" s="5">
        <v>46058</v>
      </c>
      <c r="D2203" t="s">
        <v>458</v>
      </c>
      <c r="E2203">
        <v>0</v>
      </c>
    </row>
    <row r="2204" spans="1:5">
      <c r="A2204">
        <v>995</v>
      </c>
      <c r="B2204">
        <v>1830197</v>
      </c>
      <c r="C2204" s="5">
        <v>46058</v>
      </c>
      <c r="D2204" t="s">
        <v>458</v>
      </c>
      <c r="E2204">
        <v>0</v>
      </c>
    </row>
    <row r="2205" spans="1:5">
      <c r="A2205">
        <v>996</v>
      </c>
      <c r="B2205">
        <v>1830197</v>
      </c>
      <c r="C2205" s="5">
        <v>46058</v>
      </c>
      <c r="D2205" t="s">
        <v>458</v>
      </c>
      <c r="E2205">
        <v>0</v>
      </c>
    </row>
    <row r="2206" spans="1:5">
      <c r="A2206">
        <v>997</v>
      </c>
      <c r="B2206">
        <v>1830197</v>
      </c>
      <c r="C2206" s="5">
        <v>46058</v>
      </c>
      <c r="D2206" t="s">
        <v>458</v>
      </c>
      <c r="E2206">
        <v>0</v>
      </c>
    </row>
    <row r="2207" spans="1:5">
      <c r="A2207">
        <v>1007</v>
      </c>
      <c r="B2207">
        <v>1830197</v>
      </c>
      <c r="C2207" s="5">
        <v>46058</v>
      </c>
      <c r="D2207" t="s">
        <v>458</v>
      </c>
      <c r="E2207">
        <v>1.89</v>
      </c>
    </row>
    <row r="2208" spans="1:5">
      <c r="A2208">
        <v>1116</v>
      </c>
      <c r="B2208">
        <v>1830197</v>
      </c>
      <c r="C2208" s="5">
        <v>46058</v>
      </c>
      <c r="D2208" t="s">
        <v>458</v>
      </c>
      <c r="E2208">
        <v>27.29</v>
      </c>
    </row>
    <row r="2209" spans="1:5">
      <c r="A2209">
        <v>1125</v>
      </c>
      <c r="B2209">
        <v>1830197</v>
      </c>
      <c r="C2209" s="5">
        <v>46058</v>
      </c>
      <c r="D2209" t="s">
        <v>458</v>
      </c>
      <c r="E2209">
        <v>85</v>
      </c>
    </row>
    <row r="2210" spans="1:5">
      <c r="A2210">
        <v>1127</v>
      </c>
      <c r="B2210">
        <v>1830197</v>
      </c>
      <c r="C2210" s="5">
        <v>46058</v>
      </c>
      <c r="D2210" t="s">
        <v>458</v>
      </c>
      <c r="E2210">
        <v>0</v>
      </c>
    </row>
    <row r="2211" spans="1:5">
      <c r="A2211">
        <v>1131</v>
      </c>
      <c r="B2211">
        <v>1830197</v>
      </c>
      <c r="C2211" s="5">
        <v>46058</v>
      </c>
      <c r="D2211" t="s">
        <v>458</v>
      </c>
      <c r="E2211">
        <v>0</v>
      </c>
    </row>
    <row r="2212" spans="1:5">
      <c r="A2212">
        <v>1139</v>
      </c>
      <c r="B2212">
        <v>1830197</v>
      </c>
      <c r="C2212" s="5">
        <v>46058</v>
      </c>
      <c r="D2212" t="s">
        <v>458</v>
      </c>
      <c r="E2212">
        <v>594</v>
      </c>
    </row>
    <row r="2213" spans="1:5">
      <c r="A2213">
        <v>1146</v>
      </c>
      <c r="B2213">
        <v>1830197</v>
      </c>
      <c r="C2213" s="5">
        <v>46058</v>
      </c>
      <c r="D2213" t="s">
        <v>458</v>
      </c>
      <c r="E2213">
        <v>87</v>
      </c>
    </row>
    <row r="2214" spans="1:5">
      <c r="A2214">
        <v>1179</v>
      </c>
      <c r="B2214">
        <v>1830197</v>
      </c>
      <c r="C2214" s="5">
        <v>46058</v>
      </c>
      <c r="D2214" t="s">
        <v>458</v>
      </c>
      <c r="E2214">
        <v>37</v>
      </c>
    </row>
    <row r="2215" spans="1:5">
      <c r="A2215">
        <v>1224</v>
      </c>
      <c r="B2215">
        <v>1830197</v>
      </c>
      <c r="C2215" s="5">
        <v>46058</v>
      </c>
      <c r="D2215" t="s">
        <v>458</v>
      </c>
      <c r="E2215">
        <v>0</v>
      </c>
    </row>
    <row r="2216" spans="1:5">
      <c r="A2216">
        <v>1242</v>
      </c>
      <c r="B2216">
        <v>1830197</v>
      </c>
      <c r="C2216" s="5">
        <v>46058</v>
      </c>
      <c r="D2216" t="s">
        <v>458</v>
      </c>
      <c r="E2216">
        <v>271</v>
      </c>
    </row>
    <row r="2217" spans="1:5">
      <c r="A2217">
        <v>1243</v>
      </c>
      <c r="B2217">
        <v>1830197</v>
      </c>
      <c r="C2217" s="5">
        <v>46058</v>
      </c>
      <c r="D2217" t="s">
        <v>458</v>
      </c>
      <c r="E2217">
        <v>0</v>
      </c>
    </row>
    <row r="2218" spans="1:5">
      <c r="A2218">
        <v>1244</v>
      </c>
      <c r="B2218">
        <v>1830197</v>
      </c>
      <c r="C2218" s="5">
        <v>46058</v>
      </c>
      <c r="D2218" t="s">
        <v>458</v>
      </c>
      <c r="E2218">
        <v>0</v>
      </c>
    </row>
    <row r="2219" spans="1:5">
      <c r="A2219">
        <v>1245</v>
      </c>
      <c r="B2219">
        <v>1830197</v>
      </c>
      <c r="C2219" s="5">
        <v>46058</v>
      </c>
      <c r="D2219" t="s">
        <v>458</v>
      </c>
      <c r="E2219">
        <v>0</v>
      </c>
    </row>
    <row r="2220" spans="1:5">
      <c r="A2220">
        <v>1394</v>
      </c>
      <c r="B2220">
        <v>1830197</v>
      </c>
      <c r="C2220" s="5">
        <v>46058</v>
      </c>
      <c r="D2220" t="s">
        <v>458</v>
      </c>
      <c r="E2220">
        <v>0</v>
      </c>
    </row>
    <row r="2221" spans="1:5">
      <c r="A2221">
        <v>1441</v>
      </c>
      <c r="B2221">
        <v>1830197</v>
      </c>
      <c r="C2221" s="5">
        <v>46058</v>
      </c>
      <c r="D2221" t="s">
        <v>458</v>
      </c>
      <c r="E2221">
        <v>105</v>
      </c>
    </row>
    <row r="2222" spans="1:5">
      <c r="A2222">
        <v>1494</v>
      </c>
      <c r="B2222">
        <v>1830197</v>
      </c>
      <c r="C2222" s="5">
        <v>46058</v>
      </c>
      <c r="D2222" t="s">
        <v>458</v>
      </c>
      <c r="E2222">
        <v>0</v>
      </c>
    </row>
    <row r="2223" spans="1:5">
      <c r="A2223">
        <v>1503</v>
      </c>
      <c r="B2223">
        <v>1830197</v>
      </c>
      <c r="C2223" s="5">
        <v>46058</v>
      </c>
      <c r="D2223" t="s">
        <v>458</v>
      </c>
      <c r="E2223">
        <v>0.11</v>
      </c>
    </row>
    <row r="2224" spans="1:5">
      <c r="A2224">
        <v>1541</v>
      </c>
      <c r="B2224">
        <v>1830197</v>
      </c>
      <c r="C2224" s="5">
        <v>46058</v>
      </c>
      <c r="D2224" t="s">
        <v>458</v>
      </c>
      <c r="E2224">
        <v>3</v>
      </c>
    </row>
    <row r="2225" spans="1:5">
      <c r="A2225">
        <v>1637</v>
      </c>
      <c r="B2225">
        <v>1830197</v>
      </c>
      <c r="C2225" s="5">
        <v>46058</v>
      </c>
      <c r="D2225" t="s">
        <v>458</v>
      </c>
      <c r="E2225">
        <v>869</v>
      </c>
    </row>
    <row r="2226" spans="1:5">
      <c r="A2226">
        <v>1782</v>
      </c>
      <c r="B2226">
        <v>1830197</v>
      </c>
      <c r="C2226" s="5">
        <v>46058</v>
      </c>
      <c r="D2226" t="s">
        <v>458</v>
      </c>
      <c r="E2226">
        <v>0</v>
      </c>
    </row>
    <row r="2227" spans="1:5">
      <c r="A2227">
        <v>1798</v>
      </c>
      <c r="B2227">
        <v>1830197</v>
      </c>
      <c r="C2227" s="5">
        <v>46058</v>
      </c>
      <c r="D2227" t="s">
        <v>458</v>
      </c>
      <c r="E2227">
        <v>0</v>
      </c>
    </row>
    <row r="2228" spans="1:5">
      <c r="A2228">
        <v>1799</v>
      </c>
      <c r="B2228">
        <v>1830197</v>
      </c>
      <c r="C2228" s="5">
        <v>46058</v>
      </c>
      <c r="D2228" t="s">
        <v>458</v>
      </c>
      <c r="E2228">
        <v>0</v>
      </c>
    </row>
    <row r="2229" spans="1:5">
      <c r="A2229">
        <v>1811</v>
      </c>
      <c r="B2229">
        <v>1830197</v>
      </c>
      <c r="C2229" s="5">
        <v>46058</v>
      </c>
      <c r="D2229" t="s">
        <v>458</v>
      </c>
      <c r="E2229">
        <v>0</v>
      </c>
    </row>
    <row r="2230" spans="1:5">
      <c r="A2230">
        <v>1812</v>
      </c>
      <c r="B2230">
        <v>1830197</v>
      </c>
      <c r="C2230" s="5">
        <v>46058</v>
      </c>
      <c r="D2230" t="s">
        <v>458</v>
      </c>
      <c r="E2230">
        <v>0</v>
      </c>
    </row>
    <row r="2231" spans="1:5">
      <c r="A2231">
        <v>1850</v>
      </c>
      <c r="B2231">
        <v>1830197</v>
      </c>
      <c r="C2231" s="5">
        <v>46058</v>
      </c>
      <c r="D2231" t="s">
        <v>458</v>
      </c>
      <c r="E2231">
        <v>0</v>
      </c>
    </row>
    <row r="2232" spans="1:5">
      <c r="A2232">
        <v>1863</v>
      </c>
      <c r="B2232">
        <v>1830197</v>
      </c>
      <c r="C2232" s="5">
        <v>46058</v>
      </c>
      <c r="D2232" t="s">
        <v>458</v>
      </c>
      <c r="E2232">
        <v>0</v>
      </c>
    </row>
    <row r="2233" spans="1:5">
      <c r="A2233">
        <v>1870</v>
      </c>
      <c r="B2233">
        <v>1830197</v>
      </c>
      <c r="C2233" s="5">
        <v>46058</v>
      </c>
      <c r="D2233" t="s">
        <v>458</v>
      </c>
      <c r="E2233">
        <v>0</v>
      </c>
    </row>
    <row r="2234" spans="1:5">
      <c r="A2234">
        <v>1912</v>
      </c>
      <c r="B2234">
        <v>1830197</v>
      </c>
      <c r="C2234" s="5">
        <v>46058</v>
      </c>
      <c r="D2234" t="s">
        <v>458</v>
      </c>
      <c r="E2234">
        <v>0</v>
      </c>
    </row>
    <row r="2235" spans="1:5">
      <c r="A2235">
        <v>2016</v>
      </c>
      <c r="B2235">
        <v>1830197</v>
      </c>
      <c r="C2235" s="5">
        <v>46058</v>
      </c>
      <c r="D2235" t="s">
        <v>458</v>
      </c>
      <c r="E2235">
        <v>0</v>
      </c>
    </row>
    <row r="2236" spans="1:5">
      <c r="A2236">
        <v>2254</v>
      </c>
      <c r="B2236">
        <v>1830197</v>
      </c>
      <c r="C2236" s="5">
        <v>46058</v>
      </c>
      <c r="D2236" t="s">
        <v>458</v>
      </c>
      <c r="E2236">
        <v>4</v>
      </c>
    </row>
    <row r="2237" spans="1:5">
      <c r="A2237">
        <v>2255</v>
      </c>
      <c r="B2237">
        <v>1830197</v>
      </c>
      <c r="C2237" s="5">
        <v>46058</v>
      </c>
      <c r="D2237" t="s">
        <v>458</v>
      </c>
      <c r="E2237">
        <v>16</v>
      </c>
    </row>
    <row r="2238" spans="1:5">
      <c r="A2238">
        <v>2399</v>
      </c>
      <c r="B2238">
        <v>1830197</v>
      </c>
      <c r="C2238" s="5">
        <v>46058</v>
      </c>
      <c r="D2238" t="s">
        <v>458</v>
      </c>
      <c r="E2238">
        <v>0.92</v>
      </c>
    </row>
    <row r="2239" spans="1:5">
      <c r="A2239">
        <v>2441</v>
      </c>
      <c r="B2239">
        <v>1830197</v>
      </c>
      <c r="C2239" s="5">
        <v>46058</v>
      </c>
      <c r="D2239" t="s">
        <v>458</v>
      </c>
      <c r="E2239">
        <v>0</v>
      </c>
    </row>
    <row r="2240" spans="1:5">
      <c r="A2240">
        <v>2442</v>
      </c>
      <c r="B2240">
        <v>1830197</v>
      </c>
      <c r="C2240" s="5">
        <v>46058</v>
      </c>
      <c r="D2240" t="s">
        <v>458</v>
      </c>
      <c r="E2240">
        <v>0</v>
      </c>
    </row>
    <row r="2241" spans="1:5">
      <c r="A2241">
        <v>2481</v>
      </c>
      <c r="B2241">
        <v>1830197</v>
      </c>
      <c r="C2241" s="5">
        <v>46058</v>
      </c>
      <c r="D2241" t="s">
        <v>458</v>
      </c>
      <c r="E2241">
        <v>0.24</v>
      </c>
    </row>
    <row r="2242" spans="1:5">
      <c r="A2242">
        <v>2540</v>
      </c>
      <c r="B2242">
        <v>1830197</v>
      </c>
      <c r="C2242" s="5">
        <v>46058</v>
      </c>
      <c r="D2242" t="s">
        <v>458</v>
      </c>
      <c r="E2242">
        <v>10</v>
      </c>
    </row>
    <row r="2243" spans="1:5">
      <c r="A2243">
        <v>2549</v>
      </c>
      <c r="B2243">
        <v>1830197</v>
      </c>
      <c r="C2243" s="5">
        <v>46058</v>
      </c>
      <c r="D2243" t="s">
        <v>458</v>
      </c>
      <c r="E2243">
        <v>322</v>
      </c>
    </row>
    <row r="2244" spans="1:5">
      <c r="A2244">
        <v>2550</v>
      </c>
      <c r="B2244">
        <v>1830197</v>
      </c>
      <c r="C2244" s="5">
        <v>46058</v>
      </c>
      <c r="D2244" t="s">
        <v>458</v>
      </c>
      <c r="E2244">
        <v>16</v>
      </c>
    </row>
    <row r="2245" spans="1:5">
      <c r="A2245">
        <v>2589</v>
      </c>
      <c r="B2245">
        <v>1830197</v>
      </c>
      <c r="C2245" s="5">
        <v>46058</v>
      </c>
      <c r="D2245" t="s">
        <v>458</v>
      </c>
      <c r="E2245">
        <v>0</v>
      </c>
    </row>
    <row r="2246" spans="1:5">
      <c r="A2246">
        <v>2590</v>
      </c>
      <c r="B2246">
        <v>1830197</v>
      </c>
      <c r="C2246" s="5">
        <v>46058</v>
      </c>
      <c r="D2246" t="s">
        <v>458</v>
      </c>
      <c r="E2246">
        <v>0</v>
      </c>
    </row>
    <row r="2247" spans="1:5">
      <c r="A2247">
        <v>2591</v>
      </c>
      <c r="B2247">
        <v>1830197</v>
      </c>
      <c r="C2247" s="5">
        <v>46058</v>
      </c>
      <c r="D2247" t="s">
        <v>458</v>
      </c>
      <c r="E2247">
        <v>15</v>
      </c>
    </row>
    <row r="2248" spans="1:5">
      <c r="A2248">
        <v>2601</v>
      </c>
      <c r="B2248">
        <v>1830197</v>
      </c>
      <c r="C2248" s="5">
        <v>46058</v>
      </c>
      <c r="D2248" t="s">
        <v>458</v>
      </c>
      <c r="E2248">
        <v>0.1</v>
      </c>
    </row>
    <row r="2249" spans="1:5">
      <c r="A2249">
        <v>2679</v>
      </c>
      <c r="B2249">
        <v>1830197</v>
      </c>
      <c r="C2249" s="5">
        <v>46058</v>
      </c>
      <c r="D2249" t="s">
        <v>458</v>
      </c>
      <c r="E2249">
        <v>-0.28999999999999998</v>
      </c>
    </row>
    <row r="2250" spans="1:5">
      <c r="A2250">
        <v>2683</v>
      </c>
      <c r="B2250">
        <v>1830197</v>
      </c>
      <c r="C2250" s="5">
        <v>46058</v>
      </c>
      <c r="D2250" t="s">
        <v>458</v>
      </c>
      <c r="E2250">
        <v>0</v>
      </c>
    </row>
    <row r="2251" spans="1:5">
      <c r="A2251">
        <v>2684</v>
      </c>
      <c r="B2251">
        <v>1830197</v>
      </c>
      <c r="C2251" s="5">
        <v>46058</v>
      </c>
      <c r="D2251" t="s">
        <v>458</v>
      </c>
      <c r="E2251">
        <v>0</v>
      </c>
    </row>
    <row r="2252" spans="1:5">
      <c r="A2252">
        <v>2685</v>
      </c>
      <c r="B2252">
        <v>1830197</v>
      </c>
      <c r="C2252" s="5">
        <v>46058</v>
      </c>
      <c r="D2252" t="s">
        <v>458</v>
      </c>
      <c r="E2252">
        <v>0</v>
      </c>
    </row>
    <row r="2253" spans="1:5">
      <c r="A2253">
        <v>2784</v>
      </c>
      <c r="B2253">
        <v>1830197</v>
      </c>
      <c r="C2253" s="5">
        <v>46058</v>
      </c>
      <c r="D2253" t="s">
        <v>458</v>
      </c>
      <c r="E2253">
        <v>16.670000000000002</v>
      </c>
    </row>
    <row r="2254" spans="1:5">
      <c r="A2254">
        <v>2785</v>
      </c>
      <c r="B2254">
        <v>1830197</v>
      </c>
      <c r="C2254" s="5">
        <v>46058</v>
      </c>
      <c r="D2254" t="s">
        <v>458</v>
      </c>
      <c r="E2254">
        <v>1.36</v>
      </c>
    </row>
    <row r="2255" spans="1:5">
      <c r="A2255">
        <v>2786</v>
      </c>
      <c r="B2255">
        <v>1830197</v>
      </c>
      <c r="C2255" s="5">
        <v>46058</v>
      </c>
      <c r="D2255" t="s">
        <v>458</v>
      </c>
      <c r="E2255">
        <v>2</v>
      </c>
    </row>
    <row r="2256" spans="1:5">
      <c r="A2256">
        <v>2787</v>
      </c>
      <c r="B2256">
        <v>1830197</v>
      </c>
      <c r="C2256" s="5">
        <v>46058</v>
      </c>
      <c r="D2256" t="s">
        <v>458</v>
      </c>
      <c r="E2256">
        <v>11</v>
      </c>
    </row>
    <row r="2257" spans="1:5">
      <c r="A2257">
        <v>2814</v>
      </c>
      <c r="B2257">
        <v>1830197</v>
      </c>
      <c r="C2257" s="5">
        <v>46058</v>
      </c>
      <c r="D2257" t="s">
        <v>458</v>
      </c>
      <c r="E2257">
        <v>0</v>
      </c>
    </row>
    <row r="2258" spans="1:5">
      <c r="A2258">
        <v>2815</v>
      </c>
      <c r="B2258">
        <v>1830197</v>
      </c>
      <c r="C2258" s="5">
        <v>46058</v>
      </c>
      <c r="D2258" t="s">
        <v>458</v>
      </c>
      <c r="E2258">
        <v>0</v>
      </c>
    </row>
    <row r="2259" spans="1:5">
      <c r="A2259">
        <v>2816</v>
      </c>
      <c r="B2259">
        <v>1830197</v>
      </c>
      <c r="C2259" s="5">
        <v>46058</v>
      </c>
      <c r="D2259" t="s">
        <v>458</v>
      </c>
      <c r="E2259">
        <v>0</v>
      </c>
    </row>
    <row r="2260" spans="1:5">
      <c r="A2260">
        <v>2817</v>
      </c>
      <c r="B2260">
        <v>1830197</v>
      </c>
      <c r="C2260" s="5">
        <v>46058</v>
      </c>
      <c r="D2260" t="s">
        <v>458</v>
      </c>
      <c r="E2260">
        <v>0</v>
      </c>
    </row>
    <row r="2261" spans="1:5">
      <c r="A2261">
        <v>2856</v>
      </c>
      <c r="B2261">
        <v>1830197</v>
      </c>
      <c r="C2261" s="5">
        <v>46058</v>
      </c>
      <c r="D2261" t="s">
        <v>458</v>
      </c>
      <c r="E2261">
        <v>0</v>
      </c>
    </row>
    <row r="2262" spans="1:5">
      <c r="A2262">
        <v>2872</v>
      </c>
      <c r="B2262">
        <v>1830197</v>
      </c>
      <c r="C2262" s="5">
        <v>46058</v>
      </c>
      <c r="D2262" t="s">
        <v>458</v>
      </c>
      <c r="E2262">
        <v>0</v>
      </c>
    </row>
    <row r="2263" spans="1:5">
      <c r="A2263">
        <v>2956</v>
      </c>
      <c r="B2263">
        <v>1830197</v>
      </c>
      <c r="C2263" s="5">
        <v>46058</v>
      </c>
      <c r="D2263" t="s">
        <v>458</v>
      </c>
      <c r="E2263">
        <v>0.05</v>
      </c>
    </row>
    <row r="2264" spans="1:5">
      <c r="A2264">
        <v>2963</v>
      </c>
      <c r="B2264">
        <v>1830197</v>
      </c>
      <c r="C2264" s="5">
        <v>46058</v>
      </c>
      <c r="D2264" t="s">
        <v>458</v>
      </c>
      <c r="E2264">
        <v>0</v>
      </c>
    </row>
    <row r="2265" spans="1:5">
      <c r="A2265">
        <v>3034</v>
      </c>
      <c r="B2265">
        <v>1830197</v>
      </c>
      <c r="C2265" s="5">
        <v>46058</v>
      </c>
      <c r="D2265" t="s">
        <v>458</v>
      </c>
      <c r="E2265">
        <v>26</v>
      </c>
    </row>
    <row r="2266" spans="1:5">
      <c r="A2266">
        <v>3087</v>
      </c>
      <c r="B2266">
        <v>1830197</v>
      </c>
      <c r="C2266" s="5">
        <v>46058</v>
      </c>
      <c r="D2266" t="s">
        <v>458</v>
      </c>
      <c r="E2266">
        <v>330</v>
      </c>
    </row>
    <row r="2267" spans="1:5">
      <c r="A2267">
        <v>3143</v>
      </c>
      <c r="B2267">
        <v>1830197</v>
      </c>
      <c r="C2267" s="5">
        <v>46058</v>
      </c>
      <c r="D2267" t="s">
        <v>458</v>
      </c>
      <c r="E2267">
        <v>0</v>
      </c>
    </row>
    <row r="2268" spans="1:5">
      <c r="A2268">
        <v>3206</v>
      </c>
      <c r="B2268">
        <v>1830197</v>
      </c>
      <c r="C2268" s="5">
        <v>46058</v>
      </c>
      <c r="D2268" t="s">
        <v>458</v>
      </c>
      <c r="E2268">
        <v>0</v>
      </c>
    </row>
    <row r="2269" spans="1:5">
      <c r="A2269">
        <v>3236</v>
      </c>
      <c r="B2269">
        <v>1830197</v>
      </c>
      <c r="C2269" s="5">
        <v>46058</v>
      </c>
      <c r="D2269" t="s">
        <v>458</v>
      </c>
      <c r="E2269">
        <v>537</v>
      </c>
    </row>
    <row r="2270" spans="1:5">
      <c r="A2270">
        <v>3278</v>
      </c>
      <c r="B2270">
        <v>1830197</v>
      </c>
      <c r="C2270" s="5">
        <v>46058</v>
      </c>
      <c r="D2270" t="s">
        <v>458</v>
      </c>
      <c r="E2270">
        <v>237</v>
      </c>
    </row>
    <row r="2271" spans="1:5">
      <c r="A2271">
        <v>3297</v>
      </c>
      <c r="B2271">
        <v>1830197</v>
      </c>
      <c r="C2271" s="5">
        <v>46058</v>
      </c>
      <c r="D2271" t="s">
        <v>458</v>
      </c>
      <c r="E2271">
        <v>0</v>
      </c>
    </row>
    <row r="2272" spans="1:5">
      <c r="A2272">
        <v>3309</v>
      </c>
      <c r="B2272">
        <v>1830197</v>
      </c>
      <c r="C2272" s="5">
        <v>46058</v>
      </c>
      <c r="D2272" t="s">
        <v>458</v>
      </c>
      <c r="E2272">
        <v>85</v>
      </c>
    </row>
    <row r="2273" spans="1:5">
      <c r="A2273">
        <v>3423</v>
      </c>
      <c r="B2273">
        <v>1830197</v>
      </c>
      <c r="C2273" s="5">
        <v>46058</v>
      </c>
      <c r="D2273" t="s">
        <v>458</v>
      </c>
      <c r="E2273">
        <v>0.4</v>
      </c>
    </row>
    <row r="2274" spans="1:5">
      <c r="A2274">
        <v>3439</v>
      </c>
      <c r="B2274">
        <v>1830197</v>
      </c>
      <c r="C2274" s="5">
        <v>46058</v>
      </c>
      <c r="D2274" t="s">
        <v>458</v>
      </c>
      <c r="E2274">
        <v>0</v>
      </c>
    </row>
    <row r="2275" spans="1:5">
      <c r="A2275">
        <v>3471</v>
      </c>
      <c r="B2275">
        <v>1830197</v>
      </c>
      <c r="C2275" s="5">
        <v>46058</v>
      </c>
      <c r="D2275" t="s">
        <v>458</v>
      </c>
      <c r="E2275">
        <v>1.64</v>
      </c>
    </row>
    <row r="2276" spans="1:5">
      <c r="A2276">
        <v>3488</v>
      </c>
      <c r="B2276">
        <v>1830197</v>
      </c>
      <c r="C2276" s="5">
        <v>46058</v>
      </c>
      <c r="D2276" t="s">
        <v>458</v>
      </c>
      <c r="E2276">
        <v>0</v>
      </c>
    </row>
    <row r="2277" spans="1:5">
      <c r="A2277">
        <v>3496</v>
      </c>
      <c r="B2277">
        <v>1830197</v>
      </c>
      <c r="C2277" s="5">
        <v>46058</v>
      </c>
      <c r="D2277" t="s">
        <v>458</v>
      </c>
      <c r="E2277">
        <v>0</v>
      </c>
    </row>
    <row r="2278" spans="1:5">
      <c r="A2278">
        <v>3557</v>
      </c>
      <c r="B2278">
        <v>1830197</v>
      </c>
      <c r="C2278" s="5">
        <v>46058</v>
      </c>
      <c r="D2278" t="s">
        <v>458</v>
      </c>
      <c r="E2278">
        <v>0</v>
      </c>
    </row>
    <row r="2279" spans="1:5">
      <c r="A2279">
        <v>3584</v>
      </c>
      <c r="B2279">
        <v>1830197</v>
      </c>
      <c r="C2279" s="5">
        <v>46058</v>
      </c>
      <c r="D2279" t="s">
        <v>458</v>
      </c>
      <c r="E2279">
        <v>41</v>
      </c>
    </row>
    <row r="2280" spans="1:5">
      <c r="A2280">
        <v>3593</v>
      </c>
      <c r="B2280">
        <v>1830197</v>
      </c>
      <c r="C2280" s="5">
        <v>46058</v>
      </c>
      <c r="D2280" t="s">
        <v>458</v>
      </c>
      <c r="E2280">
        <v>83</v>
      </c>
    </row>
    <row r="2281" spans="1:5">
      <c r="A2281">
        <v>3594</v>
      </c>
      <c r="B2281">
        <v>1830197</v>
      </c>
      <c r="C2281" s="5">
        <v>46058</v>
      </c>
      <c r="D2281" t="s">
        <v>458</v>
      </c>
      <c r="E2281">
        <v>241</v>
      </c>
    </row>
    <row r="2282" spans="1:5">
      <c r="A2282">
        <v>3595</v>
      </c>
      <c r="B2282">
        <v>1830197</v>
      </c>
      <c r="C2282" s="5">
        <v>46058</v>
      </c>
      <c r="D2282" t="s">
        <v>458</v>
      </c>
      <c r="E2282">
        <v>0</v>
      </c>
    </row>
    <row r="2283" spans="1:5">
      <c r="A2283">
        <v>3596</v>
      </c>
      <c r="B2283">
        <v>1830197</v>
      </c>
      <c r="C2283" s="5">
        <v>46058</v>
      </c>
      <c r="D2283" t="s">
        <v>458</v>
      </c>
      <c r="E2283">
        <v>0</v>
      </c>
    </row>
    <row r="2284" spans="1:5">
      <c r="A2284">
        <v>3597</v>
      </c>
      <c r="B2284">
        <v>1830197</v>
      </c>
      <c r="C2284" s="5">
        <v>46058</v>
      </c>
      <c r="D2284" t="s">
        <v>458</v>
      </c>
      <c r="E2284">
        <v>16</v>
      </c>
    </row>
    <row r="2285" spans="1:5">
      <c r="A2285">
        <v>3617</v>
      </c>
      <c r="B2285">
        <v>1830197</v>
      </c>
      <c r="C2285" s="5">
        <v>46058</v>
      </c>
      <c r="D2285" t="s">
        <v>458</v>
      </c>
      <c r="E2285">
        <v>3.97</v>
      </c>
    </row>
    <row r="2286" spans="1:5">
      <c r="A2286">
        <v>3636</v>
      </c>
      <c r="B2286">
        <v>1830197</v>
      </c>
      <c r="C2286" s="5">
        <v>46058</v>
      </c>
      <c r="D2286" t="s">
        <v>458</v>
      </c>
      <c r="E2286">
        <v>0</v>
      </c>
    </row>
    <row r="2287" spans="1:5">
      <c r="A2287">
        <v>3646</v>
      </c>
      <c r="B2287">
        <v>1830197</v>
      </c>
      <c r="C2287" s="5">
        <v>46058</v>
      </c>
      <c r="D2287" t="s">
        <v>458</v>
      </c>
      <c r="E2287">
        <v>0</v>
      </c>
    </row>
    <row r="2288" spans="1:5">
      <c r="A2288">
        <v>3647</v>
      </c>
      <c r="B2288">
        <v>1830197</v>
      </c>
      <c r="C2288" s="5">
        <v>46058</v>
      </c>
      <c r="D2288" t="s">
        <v>458</v>
      </c>
      <c r="E2288">
        <v>0</v>
      </c>
    </row>
    <row r="2289" spans="1:5">
      <c r="A2289">
        <v>3648</v>
      </c>
      <c r="B2289">
        <v>1830197</v>
      </c>
      <c r="C2289" s="5">
        <v>46058</v>
      </c>
      <c r="D2289" t="s">
        <v>458</v>
      </c>
      <c r="E2289">
        <v>0</v>
      </c>
    </row>
    <row r="2290" spans="1:5">
      <c r="A2290">
        <v>3735</v>
      </c>
      <c r="B2290">
        <v>1830197</v>
      </c>
      <c r="C2290" s="5">
        <v>46058</v>
      </c>
      <c r="D2290" t="s">
        <v>458</v>
      </c>
      <c r="E2290">
        <v>0</v>
      </c>
    </row>
    <row r="2291" spans="1:5">
      <c r="A2291">
        <v>3761</v>
      </c>
      <c r="B2291">
        <v>1830197</v>
      </c>
      <c r="C2291" s="5">
        <v>46058</v>
      </c>
      <c r="D2291" t="s">
        <v>458</v>
      </c>
      <c r="E2291">
        <v>283</v>
      </c>
    </row>
    <row r="2292" spans="1:5">
      <c r="A2292">
        <v>3815</v>
      </c>
      <c r="B2292">
        <v>1830197</v>
      </c>
      <c r="C2292" s="5">
        <v>46058</v>
      </c>
      <c r="D2292" t="s">
        <v>458</v>
      </c>
      <c r="E2292">
        <v>0</v>
      </c>
    </row>
    <row r="2293" spans="1:5">
      <c r="A2293">
        <v>3866</v>
      </c>
      <c r="B2293">
        <v>1830197</v>
      </c>
      <c r="C2293" s="5">
        <v>46058</v>
      </c>
      <c r="D2293" t="s">
        <v>458</v>
      </c>
      <c r="E2293">
        <v>0</v>
      </c>
    </row>
    <row r="2294" spans="1:5">
      <c r="A2294">
        <v>3867</v>
      </c>
      <c r="B2294">
        <v>1830197</v>
      </c>
      <c r="C2294" s="5">
        <v>46058</v>
      </c>
      <c r="D2294" t="s">
        <v>458</v>
      </c>
      <c r="E2294">
        <v>0</v>
      </c>
    </row>
    <row r="2295" spans="1:5">
      <c r="A2295">
        <v>3868</v>
      </c>
      <c r="B2295">
        <v>1830197</v>
      </c>
      <c r="C2295" s="5">
        <v>46058</v>
      </c>
      <c r="D2295" t="s">
        <v>458</v>
      </c>
      <c r="E2295">
        <v>0</v>
      </c>
    </row>
    <row r="2296" spans="1:5">
      <c r="A2296">
        <v>4027</v>
      </c>
      <c r="B2296">
        <v>1830197</v>
      </c>
      <c r="C2296" s="5">
        <v>46058</v>
      </c>
      <c r="D2296" t="s">
        <v>458</v>
      </c>
      <c r="E2296">
        <v>0</v>
      </c>
    </row>
    <row r="2297" spans="1:5">
      <c r="A2297">
        <v>4111</v>
      </c>
      <c r="B2297">
        <v>1830197</v>
      </c>
      <c r="C2297" s="5">
        <v>46058</v>
      </c>
      <c r="D2297" t="s">
        <v>458</v>
      </c>
      <c r="E2297">
        <v>11</v>
      </c>
    </row>
    <row r="2298" spans="1:5">
      <c r="A2298">
        <v>4209</v>
      </c>
      <c r="B2298">
        <v>1830197</v>
      </c>
      <c r="C2298" s="5">
        <v>46058</v>
      </c>
      <c r="D2298" t="s">
        <v>458</v>
      </c>
      <c r="E2298">
        <v>0.11</v>
      </c>
    </row>
    <row r="2299" spans="1:5">
      <c r="A2299">
        <v>4334</v>
      </c>
      <c r="B2299">
        <v>1830197</v>
      </c>
      <c r="C2299" s="5">
        <v>46058</v>
      </c>
      <c r="D2299" t="s">
        <v>458</v>
      </c>
      <c r="E2299">
        <v>0</v>
      </c>
    </row>
    <row r="2300" spans="1:5">
      <c r="A2300">
        <v>4422</v>
      </c>
      <c r="B2300">
        <v>1830197</v>
      </c>
      <c r="C2300" s="5">
        <v>46058</v>
      </c>
      <c r="D2300" t="s">
        <v>458</v>
      </c>
      <c r="E2300">
        <v>0</v>
      </c>
    </row>
    <row r="2301" spans="1:5">
      <c r="A2301">
        <v>4551</v>
      </c>
      <c r="B2301">
        <v>1830197</v>
      </c>
      <c r="C2301" s="5">
        <v>46058</v>
      </c>
      <c r="D2301" t="s">
        <v>458</v>
      </c>
      <c r="E2301">
        <v>61</v>
      </c>
    </row>
    <row r="2302" spans="1:5">
      <c r="A2302">
        <v>4596</v>
      </c>
      <c r="B2302">
        <v>1830197</v>
      </c>
      <c r="C2302" s="5">
        <v>46058</v>
      </c>
      <c r="D2302" t="s">
        <v>458</v>
      </c>
      <c r="E2302">
        <v>0</v>
      </c>
    </row>
    <row r="2303" spans="1:5">
      <c r="A2303">
        <v>4607</v>
      </c>
      <c r="B2303">
        <v>1830197</v>
      </c>
      <c r="C2303" s="5">
        <v>46058</v>
      </c>
      <c r="D2303" t="s">
        <v>458</v>
      </c>
      <c r="E2303">
        <v>24</v>
      </c>
    </row>
    <row r="2304" spans="1:5">
      <c r="A2304">
        <v>4703</v>
      </c>
      <c r="B2304">
        <v>1830197</v>
      </c>
      <c r="C2304" s="5">
        <v>46058</v>
      </c>
      <c r="D2304" t="s">
        <v>458</v>
      </c>
      <c r="E2304">
        <v>0</v>
      </c>
    </row>
    <row r="2305" spans="1:5">
      <c r="A2305">
        <v>4704</v>
      </c>
      <c r="B2305">
        <v>1830197</v>
      </c>
      <c r="C2305" s="5">
        <v>46058</v>
      </c>
      <c r="D2305" t="s">
        <v>458</v>
      </c>
      <c r="E2305">
        <v>0</v>
      </c>
    </row>
    <row r="2306" spans="1:5">
      <c r="A2306">
        <v>4853</v>
      </c>
      <c r="B2306">
        <v>1830197</v>
      </c>
      <c r="C2306" s="5">
        <v>46058</v>
      </c>
      <c r="D2306" t="s">
        <v>458</v>
      </c>
      <c r="E2306">
        <v>147</v>
      </c>
    </row>
    <row r="2307" spans="1:5">
      <c r="A2307">
        <v>4887</v>
      </c>
      <c r="B2307">
        <v>1830197</v>
      </c>
      <c r="C2307" s="5">
        <v>46058</v>
      </c>
      <c r="D2307" t="s">
        <v>458</v>
      </c>
      <c r="E2307">
        <v>0</v>
      </c>
    </row>
    <row r="2308" spans="1:5">
      <c r="A2308">
        <v>4926</v>
      </c>
      <c r="B2308">
        <v>1830197</v>
      </c>
      <c r="C2308" s="5">
        <v>46058</v>
      </c>
      <c r="D2308" t="s">
        <v>458</v>
      </c>
      <c r="E2308">
        <v>0</v>
      </c>
    </row>
    <row r="2309" spans="1:5">
      <c r="A2309">
        <v>4954</v>
      </c>
      <c r="B2309">
        <v>1830197</v>
      </c>
      <c r="C2309" s="5">
        <v>46058</v>
      </c>
      <c r="D2309" t="s">
        <v>458</v>
      </c>
      <c r="E2309">
        <v>0</v>
      </c>
    </row>
    <row r="2310" spans="1:5">
      <c r="A2310">
        <v>4970</v>
      </c>
      <c r="B2310">
        <v>1830197</v>
      </c>
      <c r="C2310" s="5">
        <v>46058</v>
      </c>
      <c r="D2310" t="s">
        <v>458</v>
      </c>
      <c r="E2310">
        <v>0</v>
      </c>
    </row>
    <row r="2311" spans="1:5">
      <c r="A2311">
        <v>4980</v>
      </c>
      <c r="B2311">
        <v>1830197</v>
      </c>
      <c r="C2311" s="5">
        <v>46058</v>
      </c>
      <c r="D2311" t="s">
        <v>458</v>
      </c>
      <c r="E2311">
        <v>0</v>
      </c>
    </row>
    <row r="2312" spans="1:5">
      <c r="A2312">
        <v>4995</v>
      </c>
      <c r="B2312">
        <v>1830197</v>
      </c>
      <c r="C2312" s="5">
        <v>46058</v>
      </c>
      <c r="D2312" t="s">
        <v>458</v>
      </c>
      <c r="E2312">
        <v>0</v>
      </c>
    </row>
    <row r="2313" spans="1:5">
      <c r="A2313">
        <v>4996</v>
      </c>
      <c r="B2313">
        <v>1830197</v>
      </c>
      <c r="C2313" s="5">
        <v>46058</v>
      </c>
      <c r="D2313" t="s">
        <v>458</v>
      </c>
      <c r="E2313">
        <v>0</v>
      </c>
    </row>
    <row r="2314" spans="1:5">
      <c r="A2314">
        <v>4997</v>
      </c>
      <c r="B2314">
        <v>1830197</v>
      </c>
      <c r="C2314" s="5">
        <v>46058</v>
      </c>
      <c r="D2314" t="s">
        <v>458</v>
      </c>
      <c r="E2314">
        <v>20</v>
      </c>
    </row>
    <row r="2315" spans="1:5">
      <c r="A2315">
        <v>4998</v>
      </c>
      <c r="B2315">
        <v>1830197</v>
      </c>
      <c r="C2315" s="5">
        <v>46058</v>
      </c>
      <c r="D2315" t="s">
        <v>458</v>
      </c>
      <c r="E2315">
        <v>20</v>
      </c>
    </row>
    <row r="2316" spans="1:5">
      <c r="A2316">
        <v>4999</v>
      </c>
      <c r="B2316">
        <v>1830197</v>
      </c>
      <c r="C2316" s="5">
        <v>46058</v>
      </c>
      <c r="D2316" t="s">
        <v>458</v>
      </c>
      <c r="E2316">
        <v>491</v>
      </c>
    </row>
    <row r="2317" spans="1:5">
      <c r="A2317">
        <v>5012</v>
      </c>
      <c r="B2317">
        <v>1830197</v>
      </c>
      <c r="C2317" s="5">
        <v>46058</v>
      </c>
      <c r="D2317" t="s">
        <v>458</v>
      </c>
      <c r="E2317">
        <v>4.16</v>
      </c>
    </row>
    <row r="2318" spans="1:5">
      <c r="A2318">
        <v>5054</v>
      </c>
      <c r="B2318">
        <v>1830197</v>
      </c>
      <c r="C2318" s="5">
        <v>46058</v>
      </c>
      <c r="D2318" t="s">
        <v>458</v>
      </c>
      <c r="E2318">
        <v>16.39</v>
      </c>
    </row>
    <row r="2319" spans="1:5">
      <c r="A2319">
        <v>5163</v>
      </c>
      <c r="B2319">
        <v>1830197</v>
      </c>
      <c r="C2319" s="5">
        <v>46058</v>
      </c>
      <c r="D2319" t="s">
        <v>458</v>
      </c>
      <c r="E2319">
        <v>0</v>
      </c>
    </row>
    <row r="2320" spans="1:5">
      <c r="A2320">
        <v>5209</v>
      </c>
      <c r="B2320">
        <v>1830197</v>
      </c>
      <c r="C2320" s="5">
        <v>46058</v>
      </c>
      <c r="D2320" t="s">
        <v>458</v>
      </c>
      <c r="E2320">
        <v>2.1</v>
      </c>
    </row>
    <row r="2321" spans="1:5">
      <c r="A2321">
        <v>5349</v>
      </c>
      <c r="B2321">
        <v>1830197</v>
      </c>
      <c r="C2321" s="5">
        <v>46058</v>
      </c>
      <c r="D2321" t="s">
        <v>458</v>
      </c>
      <c r="E2321">
        <v>0</v>
      </c>
    </row>
    <row r="2322" spans="1:5">
      <c r="A2322">
        <v>5351</v>
      </c>
      <c r="B2322">
        <v>1830197</v>
      </c>
      <c r="C2322" s="5">
        <v>46058</v>
      </c>
      <c r="D2322" t="s">
        <v>458</v>
      </c>
      <c r="E2322">
        <v>0</v>
      </c>
    </row>
    <row r="2323" spans="1:5">
      <c r="A2323">
        <v>5358</v>
      </c>
      <c r="B2323">
        <v>1830197</v>
      </c>
      <c r="C2323" s="5">
        <v>46058</v>
      </c>
      <c r="D2323" t="s">
        <v>458</v>
      </c>
      <c r="E2323">
        <v>0</v>
      </c>
    </row>
    <row r="2324" spans="1:5">
      <c r="A2324">
        <v>5378</v>
      </c>
      <c r="B2324">
        <v>1830197</v>
      </c>
      <c r="C2324" s="5">
        <v>46058</v>
      </c>
      <c r="D2324" t="s">
        <v>458</v>
      </c>
      <c r="E2324">
        <v>0</v>
      </c>
    </row>
    <row r="2325" spans="1:5">
      <c r="A2325">
        <v>5391</v>
      </c>
      <c r="B2325">
        <v>1830197</v>
      </c>
      <c r="C2325" s="5">
        <v>46058</v>
      </c>
      <c r="D2325" t="s">
        <v>458</v>
      </c>
      <c r="E2325">
        <v>0</v>
      </c>
    </row>
    <row r="2326" spans="1:5">
      <c r="A2326">
        <v>5429</v>
      </c>
      <c r="B2326">
        <v>1830197</v>
      </c>
      <c r="C2326" s="5">
        <v>46058</v>
      </c>
      <c r="D2326" t="s">
        <v>458</v>
      </c>
      <c r="E2326">
        <v>9</v>
      </c>
    </row>
    <row r="2327" spans="1:5">
      <c r="A2327">
        <v>5430</v>
      </c>
      <c r="B2327">
        <v>1830197</v>
      </c>
      <c r="C2327" s="5">
        <v>46058</v>
      </c>
      <c r="D2327" t="s">
        <v>458</v>
      </c>
      <c r="E2327">
        <v>0</v>
      </c>
    </row>
    <row r="2328" spans="1:5">
      <c r="A2328">
        <v>5431</v>
      </c>
      <c r="B2328">
        <v>1830197</v>
      </c>
      <c r="C2328" s="5">
        <v>46058</v>
      </c>
      <c r="D2328" t="s">
        <v>458</v>
      </c>
      <c r="E2328">
        <v>0</v>
      </c>
    </row>
    <row r="2329" spans="1:5">
      <c r="A2329">
        <v>5432</v>
      </c>
      <c r="B2329">
        <v>1830197</v>
      </c>
      <c r="C2329" s="5">
        <v>46058</v>
      </c>
      <c r="D2329" t="s">
        <v>458</v>
      </c>
      <c r="E2329">
        <v>0</v>
      </c>
    </row>
    <row r="2330" spans="1:5">
      <c r="A2330">
        <v>5444</v>
      </c>
      <c r="B2330">
        <v>1830197</v>
      </c>
      <c r="C2330" s="5">
        <v>46058</v>
      </c>
      <c r="D2330" t="s">
        <v>458</v>
      </c>
      <c r="E2330">
        <v>0</v>
      </c>
    </row>
    <row r="2331" spans="1:5">
      <c r="A2331">
        <v>5478</v>
      </c>
      <c r="B2331">
        <v>1830197</v>
      </c>
      <c r="C2331" s="5">
        <v>46058</v>
      </c>
      <c r="D2331" t="s">
        <v>458</v>
      </c>
      <c r="E2331">
        <v>0</v>
      </c>
    </row>
    <row r="2332" spans="1:5">
      <c r="A2332">
        <v>5481</v>
      </c>
      <c r="B2332">
        <v>1830197</v>
      </c>
      <c r="C2332" s="5">
        <v>46058</v>
      </c>
      <c r="D2332" t="s">
        <v>458</v>
      </c>
      <c r="E2332">
        <v>0</v>
      </c>
    </row>
    <row r="2333" spans="1:5">
      <c r="A2333">
        <v>5551</v>
      </c>
      <c r="B2333">
        <v>1830197</v>
      </c>
      <c r="C2333" s="5">
        <v>46058</v>
      </c>
      <c r="D2333" t="s">
        <v>458</v>
      </c>
      <c r="E2333">
        <v>0</v>
      </c>
    </row>
    <row r="2334" spans="1:5">
      <c r="A2334">
        <v>5552</v>
      </c>
      <c r="B2334">
        <v>1830197</v>
      </c>
      <c r="C2334" s="5">
        <v>46058</v>
      </c>
      <c r="D2334" t="s">
        <v>458</v>
      </c>
      <c r="E2334">
        <v>26</v>
      </c>
    </row>
    <row r="2335" spans="1:5">
      <c r="A2335">
        <v>5565</v>
      </c>
      <c r="B2335">
        <v>1830197</v>
      </c>
      <c r="C2335" s="5">
        <v>46058</v>
      </c>
      <c r="D2335" t="s">
        <v>458</v>
      </c>
      <c r="E2335">
        <v>0</v>
      </c>
    </row>
    <row r="2336" spans="1:5">
      <c r="A2336">
        <v>5664</v>
      </c>
      <c r="B2336">
        <v>1830197</v>
      </c>
      <c r="C2336" s="5">
        <v>46058</v>
      </c>
      <c r="D2336" t="s">
        <v>458</v>
      </c>
      <c r="E2336">
        <v>3</v>
      </c>
    </row>
    <row r="2337" spans="1:5">
      <c r="A2337">
        <v>5876</v>
      </c>
      <c r="B2337">
        <v>1830197</v>
      </c>
      <c r="C2337" s="5">
        <v>46058</v>
      </c>
      <c r="D2337" t="s">
        <v>458</v>
      </c>
      <c r="E2337">
        <v>0</v>
      </c>
    </row>
    <row r="2338" spans="1:5">
      <c r="A2338">
        <v>5935</v>
      </c>
      <c r="B2338">
        <v>1830197</v>
      </c>
      <c r="C2338" s="5">
        <v>46058</v>
      </c>
      <c r="D2338" t="s">
        <v>458</v>
      </c>
      <c r="E2338">
        <v>0</v>
      </c>
    </row>
    <row r="2339" spans="1:5">
      <c r="A2339">
        <v>5939</v>
      </c>
      <c r="B2339">
        <v>1830197</v>
      </c>
      <c r="C2339" s="5">
        <v>46058</v>
      </c>
      <c r="D2339" t="s">
        <v>458</v>
      </c>
      <c r="E2339">
        <v>0</v>
      </c>
    </row>
    <row r="2340" spans="1:5">
      <c r="A2340">
        <v>5983</v>
      </c>
      <c r="B2340">
        <v>1830197</v>
      </c>
      <c r="C2340" s="5">
        <v>46058</v>
      </c>
      <c r="D2340" t="s">
        <v>458</v>
      </c>
      <c r="E2340">
        <v>12</v>
      </c>
    </row>
    <row r="2341" spans="1:5">
      <c r="A2341">
        <v>6053</v>
      </c>
      <c r="B2341">
        <v>1830197</v>
      </c>
      <c r="C2341" s="5">
        <v>46058</v>
      </c>
      <c r="D2341" t="s">
        <v>458</v>
      </c>
      <c r="E2341">
        <v>0</v>
      </c>
    </row>
    <row r="2342" spans="1:5">
      <c r="A2342">
        <v>6094</v>
      </c>
      <c r="B2342">
        <v>1830197</v>
      </c>
      <c r="C2342" s="5">
        <v>46058</v>
      </c>
      <c r="D2342" t="s">
        <v>458</v>
      </c>
      <c r="E2342">
        <v>17</v>
      </c>
    </row>
    <row r="2343" spans="1:5">
      <c r="A2343">
        <v>6373</v>
      </c>
      <c r="B2343">
        <v>1830197</v>
      </c>
      <c r="C2343" s="5">
        <v>46058</v>
      </c>
      <c r="D2343" t="s">
        <v>458</v>
      </c>
      <c r="E2343">
        <v>0</v>
      </c>
    </row>
    <row r="2344" spans="1:5">
      <c r="A2344">
        <v>6374</v>
      </c>
      <c r="B2344">
        <v>1830197</v>
      </c>
      <c r="C2344" s="5">
        <v>46058</v>
      </c>
      <c r="D2344" t="s">
        <v>458</v>
      </c>
      <c r="E2344">
        <v>0</v>
      </c>
    </row>
    <row r="2345" spans="1:5">
      <c r="A2345">
        <v>6375</v>
      </c>
      <c r="B2345">
        <v>1830197</v>
      </c>
      <c r="C2345" s="5">
        <v>46058</v>
      </c>
      <c r="D2345" t="s">
        <v>458</v>
      </c>
      <c r="E2345">
        <v>0</v>
      </c>
    </row>
    <row r="2346" spans="1:5">
      <c r="A2346">
        <v>6376</v>
      </c>
      <c r="B2346">
        <v>1830197</v>
      </c>
      <c r="C2346" s="5">
        <v>46058</v>
      </c>
      <c r="D2346" t="s">
        <v>458</v>
      </c>
      <c r="E2346">
        <v>0</v>
      </c>
    </row>
    <row r="2347" spans="1:5">
      <c r="A2347">
        <v>6472</v>
      </c>
      <c r="B2347">
        <v>1830197</v>
      </c>
      <c r="C2347" s="5">
        <v>46058</v>
      </c>
      <c r="D2347" t="s">
        <v>458</v>
      </c>
      <c r="E2347">
        <v>0</v>
      </c>
    </row>
    <row r="2348" spans="1:5">
      <c r="A2348">
        <v>6477</v>
      </c>
      <c r="B2348">
        <v>1830197</v>
      </c>
      <c r="C2348" s="5">
        <v>46058</v>
      </c>
      <c r="D2348" t="s">
        <v>458</v>
      </c>
      <c r="E2348">
        <v>0</v>
      </c>
    </row>
    <row r="2349" spans="1:5">
      <c r="A2349">
        <v>6724</v>
      </c>
      <c r="B2349">
        <v>1830197</v>
      </c>
      <c r="C2349" s="5">
        <v>46058</v>
      </c>
      <c r="D2349" t="s">
        <v>458</v>
      </c>
      <c r="E2349">
        <v>0</v>
      </c>
    </row>
    <row r="2350" spans="1:5">
      <c r="A2350">
        <v>6757</v>
      </c>
      <c r="B2350">
        <v>1830197</v>
      </c>
      <c r="C2350" s="5">
        <v>46058</v>
      </c>
      <c r="D2350" t="s">
        <v>458</v>
      </c>
      <c r="E2350">
        <v>0</v>
      </c>
    </row>
    <row r="2351" spans="1:5">
      <c r="A2351">
        <v>6761</v>
      </c>
      <c r="B2351">
        <v>1830197</v>
      </c>
      <c r="C2351" s="5">
        <v>46058</v>
      </c>
      <c r="D2351" t="s">
        <v>458</v>
      </c>
      <c r="E2351">
        <v>0</v>
      </c>
    </row>
    <row r="2352" spans="1:5">
      <c r="A2352">
        <v>6776</v>
      </c>
      <c r="B2352">
        <v>1830197</v>
      </c>
      <c r="C2352" s="5">
        <v>46058</v>
      </c>
      <c r="D2352" t="s">
        <v>458</v>
      </c>
      <c r="E2352">
        <v>0</v>
      </c>
    </row>
    <row r="2353" spans="1:5">
      <c r="A2353">
        <v>6810</v>
      </c>
      <c r="B2353">
        <v>1830197</v>
      </c>
      <c r="C2353" s="5">
        <v>46058</v>
      </c>
      <c r="D2353" t="s">
        <v>458</v>
      </c>
      <c r="E2353">
        <v>0</v>
      </c>
    </row>
    <row r="2354" spans="1:5">
      <c r="A2354">
        <v>6811</v>
      </c>
      <c r="B2354">
        <v>1830197</v>
      </c>
      <c r="C2354" s="5">
        <v>46058</v>
      </c>
      <c r="D2354" t="s">
        <v>458</v>
      </c>
      <c r="E2354">
        <v>346</v>
      </c>
    </row>
    <row r="2355" spans="1:5">
      <c r="A2355">
        <v>6880</v>
      </c>
      <c r="B2355">
        <v>1830197</v>
      </c>
      <c r="C2355" s="5">
        <v>46058</v>
      </c>
      <c r="D2355" t="s">
        <v>458</v>
      </c>
      <c r="E2355">
        <v>0</v>
      </c>
    </row>
    <row r="2356" spans="1:5">
      <c r="A2356">
        <v>6928</v>
      </c>
      <c r="B2356">
        <v>1830197</v>
      </c>
      <c r="C2356" s="5">
        <v>46058</v>
      </c>
      <c r="D2356" t="s">
        <v>458</v>
      </c>
      <c r="E2356">
        <v>1.07</v>
      </c>
    </row>
    <row r="2357" spans="1:5">
      <c r="A2357">
        <v>7034</v>
      </c>
      <c r="B2357">
        <v>1830197</v>
      </c>
      <c r="C2357" s="5">
        <v>46058</v>
      </c>
      <c r="D2357" t="s">
        <v>458</v>
      </c>
      <c r="E2357">
        <v>0</v>
      </c>
    </row>
    <row r="2358" spans="1:5">
      <c r="A2358">
        <v>7127</v>
      </c>
      <c r="B2358">
        <v>1830197</v>
      </c>
      <c r="C2358" s="5">
        <v>46058</v>
      </c>
      <c r="D2358" t="s">
        <v>458</v>
      </c>
      <c r="E2358">
        <v>0</v>
      </c>
    </row>
    <row r="2359" spans="1:5">
      <c r="A2359">
        <v>7205</v>
      </c>
      <c r="B2359">
        <v>1830197</v>
      </c>
      <c r="C2359" s="5">
        <v>46058</v>
      </c>
      <c r="D2359" t="s">
        <v>458</v>
      </c>
      <c r="E2359">
        <v>170</v>
      </c>
    </row>
    <row r="2360" spans="1:5">
      <c r="A2360">
        <v>7206</v>
      </c>
      <c r="B2360">
        <v>1830197</v>
      </c>
      <c r="C2360" s="5">
        <v>46058</v>
      </c>
      <c r="D2360" t="s">
        <v>458</v>
      </c>
      <c r="E2360">
        <v>95</v>
      </c>
    </row>
    <row r="2361" spans="1:5">
      <c r="A2361">
        <v>7223</v>
      </c>
      <c r="B2361">
        <v>1830197</v>
      </c>
      <c r="C2361" s="5">
        <v>46058</v>
      </c>
      <c r="D2361" t="s">
        <v>458</v>
      </c>
      <c r="E2361">
        <v>0</v>
      </c>
    </row>
    <row r="2362" spans="1:5">
      <c r="A2362">
        <v>7301</v>
      </c>
      <c r="B2362">
        <v>1830197</v>
      </c>
      <c r="C2362" s="5">
        <v>46058</v>
      </c>
      <c r="D2362" t="s">
        <v>458</v>
      </c>
      <c r="E2362">
        <v>131</v>
      </c>
    </row>
    <row r="2363" spans="1:5">
      <c r="A2363">
        <v>7311</v>
      </c>
      <c r="B2363">
        <v>1830197</v>
      </c>
      <c r="C2363" s="5">
        <v>46058</v>
      </c>
      <c r="D2363" t="s">
        <v>458</v>
      </c>
      <c r="E2363">
        <v>0</v>
      </c>
    </row>
    <row r="2364" spans="1:5">
      <c r="A2364">
        <v>7312</v>
      </c>
      <c r="B2364">
        <v>1830197</v>
      </c>
      <c r="C2364" s="5">
        <v>46058</v>
      </c>
      <c r="D2364" t="s">
        <v>458</v>
      </c>
      <c r="E2364">
        <v>0</v>
      </c>
    </row>
    <row r="2365" spans="1:5">
      <c r="A2365">
        <v>7313</v>
      </c>
      <c r="B2365">
        <v>1830197</v>
      </c>
      <c r="C2365" s="5">
        <v>46058</v>
      </c>
      <c r="D2365" t="s">
        <v>458</v>
      </c>
      <c r="E2365">
        <v>1</v>
      </c>
    </row>
    <row r="2366" spans="1:5">
      <c r="A2366">
        <v>7326</v>
      </c>
      <c r="B2366">
        <v>1830197</v>
      </c>
      <c r="C2366" s="5">
        <v>46058</v>
      </c>
      <c r="D2366" t="s">
        <v>458</v>
      </c>
      <c r="E2366">
        <v>0</v>
      </c>
    </row>
    <row r="2367" spans="1:5">
      <c r="A2367">
        <v>7333</v>
      </c>
      <c r="B2367">
        <v>1830197</v>
      </c>
      <c r="C2367" s="5">
        <v>46058</v>
      </c>
      <c r="D2367" t="s">
        <v>458</v>
      </c>
      <c r="E2367">
        <v>349</v>
      </c>
    </row>
    <row r="2368" spans="1:5">
      <c r="A2368">
        <v>7421</v>
      </c>
      <c r="B2368">
        <v>1830197</v>
      </c>
      <c r="C2368" s="5">
        <v>46058</v>
      </c>
      <c r="D2368" t="s">
        <v>458</v>
      </c>
      <c r="E2368">
        <v>0</v>
      </c>
    </row>
    <row r="2369" spans="1:5">
      <c r="A2369">
        <v>7422</v>
      </c>
      <c r="B2369">
        <v>1830197</v>
      </c>
      <c r="C2369" s="5">
        <v>46058</v>
      </c>
      <c r="D2369" t="s">
        <v>458</v>
      </c>
      <c r="E2369">
        <v>0.15</v>
      </c>
    </row>
    <row r="2370" spans="1:5">
      <c r="A2370">
        <v>7634</v>
      </c>
      <c r="B2370">
        <v>1830197</v>
      </c>
      <c r="C2370" s="5">
        <v>46058</v>
      </c>
      <c r="D2370" t="s">
        <v>458</v>
      </c>
      <c r="E2370">
        <v>8</v>
      </c>
    </row>
    <row r="2371" spans="1:5">
      <c r="A2371">
        <v>7919</v>
      </c>
      <c r="B2371">
        <v>1830197</v>
      </c>
      <c r="C2371" s="5">
        <v>46058</v>
      </c>
      <c r="D2371" t="s">
        <v>458</v>
      </c>
      <c r="E2371">
        <v>2.0299999999999998</v>
      </c>
    </row>
    <row r="2372" spans="1:5">
      <c r="A2372">
        <v>7920</v>
      </c>
      <c r="B2372">
        <v>1830197</v>
      </c>
      <c r="C2372" s="5">
        <v>46058</v>
      </c>
      <c r="D2372" t="s">
        <v>458</v>
      </c>
      <c r="E2372">
        <v>225</v>
      </c>
    </row>
    <row r="2373" spans="1:5">
      <c r="A2373">
        <v>7969</v>
      </c>
      <c r="B2373">
        <v>1830197</v>
      </c>
      <c r="C2373" s="5">
        <v>46058</v>
      </c>
      <c r="D2373" t="s">
        <v>458</v>
      </c>
      <c r="E2373">
        <v>0</v>
      </c>
    </row>
    <row r="2374" spans="1:5">
      <c r="A2374">
        <v>8159</v>
      </c>
      <c r="B2374">
        <v>1830197</v>
      </c>
      <c r="C2374" s="5">
        <v>46058</v>
      </c>
      <c r="D2374" t="s">
        <v>458</v>
      </c>
      <c r="E2374">
        <v>0</v>
      </c>
    </row>
    <row r="2375" spans="1:5">
      <c r="A2375">
        <v>8201</v>
      </c>
      <c r="B2375">
        <v>1830197</v>
      </c>
      <c r="C2375" s="5">
        <v>46058</v>
      </c>
      <c r="D2375" t="s">
        <v>458</v>
      </c>
      <c r="E2375">
        <v>97</v>
      </c>
    </row>
    <row r="2376" spans="1:5">
      <c r="A2376">
        <v>8207</v>
      </c>
      <c r="B2376">
        <v>1830197</v>
      </c>
      <c r="C2376" s="5">
        <v>46058</v>
      </c>
      <c r="D2376" t="s">
        <v>458</v>
      </c>
      <c r="E2376">
        <v>0</v>
      </c>
    </row>
    <row r="2377" spans="1:5">
      <c r="A2377">
        <v>8322</v>
      </c>
      <c r="B2377">
        <v>1830197</v>
      </c>
      <c r="C2377" s="5">
        <v>46058</v>
      </c>
      <c r="D2377" t="s">
        <v>458</v>
      </c>
      <c r="E2377">
        <v>0</v>
      </c>
    </row>
    <row r="2378" spans="1:5">
      <c r="A2378">
        <v>8541</v>
      </c>
      <c r="B2378">
        <v>1830197</v>
      </c>
      <c r="C2378" s="5">
        <v>46058</v>
      </c>
      <c r="D2378" t="s">
        <v>458</v>
      </c>
      <c r="E2378">
        <v>10</v>
      </c>
    </row>
    <row r="2379" spans="1:5">
      <c r="A2379">
        <v>8800</v>
      </c>
      <c r="B2379">
        <v>1830197</v>
      </c>
      <c r="C2379" s="5">
        <v>46058</v>
      </c>
      <c r="D2379" t="s">
        <v>458</v>
      </c>
      <c r="E2379">
        <v>0</v>
      </c>
    </row>
    <row r="2380" spans="1:5">
      <c r="A2380">
        <v>8801</v>
      </c>
      <c r="B2380">
        <v>1830197</v>
      </c>
      <c r="C2380" s="5">
        <v>46058</v>
      </c>
      <c r="D2380" t="s">
        <v>458</v>
      </c>
      <c r="E2380">
        <v>0</v>
      </c>
    </row>
    <row r="2381" spans="1:5">
      <c r="A2381">
        <v>8886</v>
      </c>
      <c r="B2381">
        <v>1830197</v>
      </c>
      <c r="C2381" s="5">
        <v>46058</v>
      </c>
      <c r="D2381" t="s">
        <v>458</v>
      </c>
      <c r="E2381">
        <v>0</v>
      </c>
    </row>
    <row r="2382" spans="1:5">
      <c r="A2382">
        <v>8951</v>
      </c>
      <c r="B2382">
        <v>1830197</v>
      </c>
      <c r="C2382" s="5">
        <v>46058</v>
      </c>
      <c r="D2382" t="s">
        <v>458</v>
      </c>
      <c r="E2382">
        <v>0</v>
      </c>
    </row>
    <row r="2383" spans="1:5">
      <c r="A2383">
        <v>8970</v>
      </c>
      <c r="B2383">
        <v>1830197</v>
      </c>
      <c r="C2383" s="5">
        <v>46058</v>
      </c>
      <c r="D2383" t="s">
        <v>458</v>
      </c>
      <c r="E2383">
        <v>0</v>
      </c>
    </row>
    <row r="2384" spans="1:5">
      <c r="A2384">
        <v>9110</v>
      </c>
      <c r="B2384">
        <v>1830197</v>
      </c>
      <c r="C2384" s="5">
        <v>46058</v>
      </c>
      <c r="D2384" t="s">
        <v>458</v>
      </c>
      <c r="E2384">
        <v>84</v>
      </c>
    </row>
    <row r="2385" spans="1:5">
      <c r="A2385">
        <v>9456</v>
      </c>
      <c r="B2385">
        <v>1830197</v>
      </c>
      <c r="C2385" s="5">
        <v>46058</v>
      </c>
      <c r="D2385" t="s">
        <v>458</v>
      </c>
      <c r="E2385">
        <v>0</v>
      </c>
    </row>
    <row r="2386" spans="1:5">
      <c r="A2386">
        <v>9903</v>
      </c>
      <c r="B2386">
        <v>1830197</v>
      </c>
      <c r="C2386" s="5">
        <v>46058</v>
      </c>
      <c r="D2386" t="s">
        <v>458</v>
      </c>
      <c r="E2386">
        <v>0</v>
      </c>
    </row>
    <row r="2387" spans="1:5">
      <c r="A2387">
        <v>9920</v>
      </c>
      <c r="B2387">
        <v>1830197</v>
      </c>
      <c r="C2387" s="5">
        <v>46058</v>
      </c>
      <c r="D2387" t="s">
        <v>458</v>
      </c>
      <c r="E2387">
        <v>0</v>
      </c>
    </row>
    <row r="2388" spans="1:5">
      <c r="A2388">
        <v>9930</v>
      </c>
      <c r="B2388">
        <v>1830197</v>
      </c>
      <c r="C2388" s="5">
        <v>46058</v>
      </c>
      <c r="D2388" t="s">
        <v>458</v>
      </c>
      <c r="E2388">
        <v>0</v>
      </c>
    </row>
    <row r="2389" spans="1:5">
      <c r="A2389">
        <v>9931</v>
      </c>
      <c r="B2389">
        <v>1830197</v>
      </c>
      <c r="C2389" s="5">
        <v>46058</v>
      </c>
      <c r="D2389" t="s">
        <v>458</v>
      </c>
      <c r="E2389">
        <v>0</v>
      </c>
    </row>
    <row r="2390" spans="1:5">
      <c r="A2390">
        <v>9972</v>
      </c>
      <c r="B2390">
        <v>1830197</v>
      </c>
      <c r="C2390" s="5">
        <v>46058</v>
      </c>
      <c r="D2390" t="s">
        <v>458</v>
      </c>
      <c r="E2390">
        <v>0.44</v>
      </c>
    </row>
    <row r="2391" spans="1:5">
      <c r="A2391">
        <v>10010</v>
      </c>
      <c r="B2391">
        <v>1830197</v>
      </c>
      <c r="C2391" s="5">
        <v>46058</v>
      </c>
      <c r="D2391" t="s">
        <v>458</v>
      </c>
      <c r="E2391">
        <v>0</v>
      </c>
    </row>
    <row r="2392" spans="1:5">
      <c r="A2392">
        <v>10264</v>
      </c>
      <c r="B2392">
        <v>1830197</v>
      </c>
      <c r="C2392" s="5">
        <v>46058</v>
      </c>
      <c r="D2392" t="s">
        <v>458</v>
      </c>
      <c r="E2392">
        <v>0.39</v>
      </c>
    </row>
    <row r="2393" spans="1:5">
      <c r="A2393">
        <v>10294</v>
      </c>
      <c r="B2393">
        <v>1830197</v>
      </c>
      <c r="C2393" s="5">
        <v>46058</v>
      </c>
      <c r="D2393" t="s">
        <v>458</v>
      </c>
      <c r="E2393">
        <v>0</v>
      </c>
    </row>
    <row r="2394" spans="1:5">
      <c r="A2394">
        <v>10295</v>
      </c>
      <c r="B2394">
        <v>1830197</v>
      </c>
      <c r="C2394" s="5">
        <v>46058</v>
      </c>
      <c r="D2394" t="s">
        <v>458</v>
      </c>
      <c r="E2394">
        <v>0</v>
      </c>
    </row>
    <row r="2395" spans="1:5">
      <c r="A2395">
        <v>10296</v>
      </c>
      <c r="B2395">
        <v>1830197</v>
      </c>
      <c r="C2395" s="5">
        <v>46058</v>
      </c>
      <c r="D2395" t="s">
        <v>458</v>
      </c>
      <c r="E2395">
        <v>0</v>
      </c>
    </row>
    <row r="2396" spans="1:5">
      <c r="A2396">
        <v>10297</v>
      </c>
      <c r="B2396">
        <v>1830197</v>
      </c>
      <c r="C2396" s="5">
        <v>46058</v>
      </c>
      <c r="D2396" t="s">
        <v>458</v>
      </c>
      <c r="E2396">
        <v>0</v>
      </c>
    </row>
    <row r="2397" spans="1:5">
      <c r="A2397">
        <v>10298</v>
      </c>
      <c r="B2397">
        <v>1830197</v>
      </c>
      <c r="C2397" s="5">
        <v>46058</v>
      </c>
      <c r="D2397" t="s">
        <v>458</v>
      </c>
      <c r="E2397">
        <v>0</v>
      </c>
    </row>
    <row r="2398" spans="1:5">
      <c r="A2398">
        <v>10299</v>
      </c>
      <c r="B2398">
        <v>1830197</v>
      </c>
      <c r="C2398" s="5">
        <v>46058</v>
      </c>
      <c r="D2398" t="s">
        <v>458</v>
      </c>
      <c r="E2398">
        <v>0</v>
      </c>
    </row>
    <row r="2399" spans="1:5">
      <c r="A2399">
        <v>10458</v>
      </c>
      <c r="B2399">
        <v>1830197</v>
      </c>
      <c r="C2399" s="5">
        <v>46058</v>
      </c>
      <c r="D2399" t="s">
        <v>458</v>
      </c>
      <c r="E2399">
        <v>0</v>
      </c>
    </row>
    <row r="2400" spans="1:5">
      <c r="A2400">
        <v>10550</v>
      </c>
      <c r="B2400">
        <v>1830197</v>
      </c>
      <c r="C2400" s="5">
        <v>46058</v>
      </c>
      <c r="D2400" t="s">
        <v>458</v>
      </c>
      <c r="E2400">
        <v>114</v>
      </c>
    </row>
    <row r="2401" spans="1:5">
      <c r="A2401">
        <v>10594</v>
      </c>
      <c r="B2401">
        <v>1830197</v>
      </c>
      <c r="C2401" s="5">
        <v>46058</v>
      </c>
      <c r="D2401" t="s">
        <v>458</v>
      </c>
      <c r="E2401">
        <v>0.28999999999999998</v>
      </c>
    </row>
    <row r="2402" spans="1:5">
      <c r="A2402">
        <v>10595</v>
      </c>
      <c r="B2402">
        <v>1830197</v>
      </c>
      <c r="C2402" s="5">
        <v>46058</v>
      </c>
      <c r="D2402" t="s">
        <v>458</v>
      </c>
      <c r="E2402">
        <v>0.47</v>
      </c>
    </row>
    <row r="2403" spans="1:5">
      <c r="A2403">
        <v>10596</v>
      </c>
      <c r="B2403">
        <v>1830197</v>
      </c>
      <c r="C2403" s="5">
        <v>46058</v>
      </c>
      <c r="D2403" t="s">
        <v>458</v>
      </c>
      <c r="E2403">
        <v>0.74</v>
      </c>
    </row>
    <row r="2404" spans="1:5">
      <c r="A2404">
        <v>10597</v>
      </c>
      <c r="B2404">
        <v>1830197</v>
      </c>
      <c r="C2404" s="5">
        <v>46058</v>
      </c>
      <c r="D2404" t="s">
        <v>458</v>
      </c>
      <c r="E2404">
        <v>0.54</v>
      </c>
    </row>
    <row r="2405" spans="1:5">
      <c r="A2405">
        <v>10598</v>
      </c>
      <c r="B2405">
        <v>1830197</v>
      </c>
      <c r="C2405" s="5">
        <v>46058</v>
      </c>
      <c r="D2405" t="s">
        <v>458</v>
      </c>
      <c r="E2405">
        <v>15.26</v>
      </c>
    </row>
    <row r="2406" spans="1:5">
      <c r="A2406">
        <v>10599</v>
      </c>
      <c r="B2406">
        <v>1830197</v>
      </c>
      <c r="C2406" s="5">
        <v>46058</v>
      </c>
      <c r="D2406" t="s">
        <v>458</v>
      </c>
      <c r="E2406">
        <v>0</v>
      </c>
    </row>
    <row r="2407" spans="1:5">
      <c r="A2407">
        <v>10629</v>
      </c>
      <c r="B2407">
        <v>1830197</v>
      </c>
      <c r="C2407" s="5">
        <v>46058</v>
      </c>
      <c r="D2407" t="s">
        <v>458</v>
      </c>
      <c r="E2407">
        <v>14</v>
      </c>
    </row>
    <row r="2408" spans="1:5">
      <c r="A2408">
        <v>10683</v>
      </c>
      <c r="B2408">
        <v>1830197</v>
      </c>
      <c r="C2408" s="5">
        <v>46058</v>
      </c>
      <c r="D2408" t="s">
        <v>458</v>
      </c>
      <c r="E2408">
        <v>0</v>
      </c>
    </row>
    <row r="2409" spans="1:5">
      <c r="A2409">
        <v>10685</v>
      </c>
      <c r="B2409">
        <v>1830197</v>
      </c>
      <c r="C2409" s="5">
        <v>46058</v>
      </c>
      <c r="D2409" t="s">
        <v>458</v>
      </c>
      <c r="E2409">
        <v>0</v>
      </c>
    </row>
    <row r="2410" spans="1:5">
      <c r="A2410">
        <v>10754</v>
      </c>
      <c r="B2410">
        <v>1830197</v>
      </c>
      <c r="C2410" s="5">
        <v>46058</v>
      </c>
      <c r="D2410" t="s">
        <v>458</v>
      </c>
      <c r="E2410">
        <v>0</v>
      </c>
    </row>
    <row r="2411" spans="1:5">
      <c r="A2411">
        <v>10958</v>
      </c>
      <c r="B2411">
        <v>1830197</v>
      </c>
      <c r="C2411" s="5">
        <v>46058</v>
      </c>
      <c r="D2411" t="s">
        <v>458</v>
      </c>
      <c r="E2411">
        <v>14</v>
      </c>
    </row>
    <row r="2412" spans="1:5">
      <c r="A2412">
        <v>11056</v>
      </c>
      <c r="B2412">
        <v>1830197</v>
      </c>
      <c r="C2412" s="5">
        <v>46058</v>
      </c>
      <c r="D2412" t="s">
        <v>458</v>
      </c>
      <c r="E2412">
        <v>0</v>
      </c>
    </row>
    <row r="2413" spans="1:5">
      <c r="A2413">
        <v>11162</v>
      </c>
      <c r="B2413">
        <v>1830197</v>
      </c>
      <c r="C2413" s="5">
        <v>46058</v>
      </c>
      <c r="D2413" t="s">
        <v>458</v>
      </c>
      <c r="E2413">
        <v>0</v>
      </c>
    </row>
    <row r="2414" spans="1:5">
      <c r="A2414">
        <v>11172</v>
      </c>
      <c r="B2414">
        <v>1830197</v>
      </c>
      <c r="C2414" s="5">
        <v>46058</v>
      </c>
      <c r="D2414" t="s">
        <v>458</v>
      </c>
      <c r="E2414">
        <v>0</v>
      </c>
    </row>
    <row r="2415" spans="1:5">
      <c r="A2415">
        <v>11312</v>
      </c>
      <c r="B2415">
        <v>1830197</v>
      </c>
      <c r="C2415" s="5">
        <v>46058</v>
      </c>
      <c r="D2415" t="s">
        <v>458</v>
      </c>
      <c r="E2415">
        <v>48</v>
      </c>
    </row>
    <row r="2416" spans="1:5">
      <c r="A2416">
        <v>11313</v>
      </c>
      <c r="B2416">
        <v>1830197</v>
      </c>
      <c r="C2416" s="5">
        <v>46058</v>
      </c>
      <c r="D2416" t="s">
        <v>458</v>
      </c>
      <c r="E2416">
        <v>0</v>
      </c>
    </row>
    <row r="2417" spans="1:5">
      <c r="A2417">
        <v>11322</v>
      </c>
      <c r="B2417">
        <v>1830197</v>
      </c>
      <c r="C2417" s="5">
        <v>46058</v>
      </c>
      <c r="D2417" t="s">
        <v>458</v>
      </c>
      <c r="E2417">
        <v>0</v>
      </c>
    </row>
    <row r="2418" spans="1:5">
      <c r="A2418">
        <v>11323</v>
      </c>
      <c r="B2418">
        <v>1830197</v>
      </c>
      <c r="C2418" s="5">
        <v>46058</v>
      </c>
      <c r="D2418" t="s">
        <v>458</v>
      </c>
      <c r="E2418">
        <v>0</v>
      </c>
    </row>
    <row r="2419" spans="1:5">
      <c r="A2419">
        <v>11588</v>
      </c>
      <c r="B2419">
        <v>1830197</v>
      </c>
      <c r="C2419" s="5">
        <v>46058</v>
      </c>
      <c r="D2419" t="s">
        <v>458</v>
      </c>
      <c r="E2419">
        <v>0</v>
      </c>
    </row>
    <row r="2420" spans="1:5">
      <c r="A2420">
        <v>11597</v>
      </c>
      <c r="B2420">
        <v>1830197</v>
      </c>
      <c r="C2420" s="5">
        <v>46058</v>
      </c>
      <c r="D2420" t="s">
        <v>458</v>
      </c>
      <c r="E2420">
        <v>0</v>
      </c>
    </row>
    <row r="2421" spans="1:5">
      <c r="A2421">
        <v>11662</v>
      </c>
      <c r="B2421">
        <v>1830197</v>
      </c>
      <c r="C2421" s="5">
        <v>46058</v>
      </c>
      <c r="D2421" t="s">
        <v>458</v>
      </c>
      <c r="E2421">
        <v>0</v>
      </c>
    </row>
    <row r="2422" spans="1:5">
      <c r="A2422">
        <v>11663</v>
      </c>
      <c r="B2422">
        <v>1830197</v>
      </c>
      <c r="C2422" s="5">
        <v>46058</v>
      </c>
      <c r="D2422" t="s">
        <v>458</v>
      </c>
      <c r="E2422">
        <v>0</v>
      </c>
    </row>
    <row r="2423" spans="1:5">
      <c r="A2423">
        <v>11676</v>
      </c>
      <c r="B2423">
        <v>1830197</v>
      </c>
      <c r="C2423" s="5">
        <v>46058</v>
      </c>
      <c r="D2423" t="s">
        <v>458</v>
      </c>
      <c r="E2423">
        <v>0</v>
      </c>
    </row>
    <row r="2424" spans="1:5">
      <c r="A2424">
        <v>11720</v>
      </c>
      <c r="B2424">
        <v>1830197</v>
      </c>
      <c r="C2424" s="5">
        <v>46058</v>
      </c>
      <c r="D2424" t="s">
        <v>458</v>
      </c>
      <c r="E2424">
        <v>0</v>
      </c>
    </row>
    <row r="2425" spans="1:5">
      <c r="A2425">
        <v>11883</v>
      </c>
      <c r="B2425">
        <v>1830197</v>
      </c>
      <c r="C2425" s="5">
        <v>46058</v>
      </c>
      <c r="D2425" t="s">
        <v>458</v>
      </c>
      <c r="E2425">
        <v>10</v>
      </c>
    </row>
    <row r="2426" spans="1:5">
      <c r="A2426">
        <v>12037</v>
      </c>
      <c r="B2426">
        <v>1830197</v>
      </c>
      <c r="C2426" s="5">
        <v>46058</v>
      </c>
      <c r="D2426" t="s">
        <v>458</v>
      </c>
      <c r="E2426">
        <v>0</v>
      </c>
    </row>
    <row r="2427" spans="1:5">
      <c r="A2427">
        <v>12063</v>
      </c>
      <c r="B2427">
        <v>1830197</v>
      </c>
      <c r="C2427" s="5">
        <v>46058</v>
      </c>
      <c r="D2427" t="s">
        <v>458</v>
      </c>
      <c r="E2427">
        <v>0</v>
      </c>
    </row>
    <row r="2428" spans="1:5">
      <c r="A2428">
        <v>12234</v>
      </c>
      <c r="B2428">
        <v>1830197</v>
      </c>
      <c r="C2428" s="5">
        <v>46058</v>
      </c>
      <c r="D2428" t="s">
        <v>458</v>
      </c>
      <c r="E2428">
        <v>15</v>
      </c>
    </row>
    <row r="2429" spans="1:5">
      <c r="A2429">
        <v>12244</v>
      </c>
      <c r="B2429">
        <v>1830197</v>
      </c>
      <c r="C2429" s="5">
        <v>46058</v>
      </c>
      <c r="D2429" t="s">
        <v>458</v>
      </c>
      <c r="E2429">
        <v>0</v>
      </c>
    </row>
    <row r="2430" spans="1:5">
      <c r="A2430">
        <v>12245</v>
      </c>
      <c r="B2430">
        <v>1830197</v>
      </c>
      <c r="C2430" s="5">
        <v>46058</v>
      </c>
      <c r="D2430" t="s">
        <v>458</v>
      </c>
      <c r="E2430">
        <v>0</v>
      </c>
    </row>
    <row r="2431" spans="1:5">
      <c r="A2431">
        <v>12322</v>
      </c>
      <c r="B2431">
        <v>1830197</v>
      </c>
      <c r="C2431" s="5">
        <v>46058</v>
      </c>
      <c r="D2431" t="s">
        <v>458</v>
      </c>
      <c r="E2431">
        <v>0</v>
      </c>
    </row>
    <row r="2432" spans="1:5">
      <c r="A2432">
        <v>12713</v>
      </c>
      <c r="B2432">
        <v>1830197</v>
      </c>
      <c r="C2432" s="5">
        <v>46058</v>
      </c>
      <c r="D2432" t="s">
        <v>458</v>
      </c>
      <c r="E2432">
        <v>38</v>
      </c>
    </row>
    <row r="2433" spans="1:5">
      <c r="A2433">
        <v>13201</v>
      </c>
      <c r="B2433">
        <v>1830197</v>
      </c>
      <c r="C2433" s="5">
        <v>46058</v>
      </c>
      <c r="D2433" t="s">
        <v>458</v>
      </c>
      <c r="E2433">
        <v>9</v>
      </c>
    </row>
    <row r="2434" spans="1:5">
      <c r="A2434">
        <v>13229</v>
      </c>
      <c r="B2434">
        <v>1830197</v>
      </c>
      <c r="C2434" s="5">
        <v>46058</v>
      </c>
      <c r="D2434" t="s">
        <v>458</v>
      </c>
      <c r="E2434">
        <v>0</v>
      </c>
    </row>
    <row r="2435" spans="1:5">
      <c r="A2435">
        <v>13322</v>
      </c>
      <c r="B2435">
        <v>1830197</v>
      </c>
      <c r="C2435" s="5">
        <v>46058</v>
      </c>
      <c r="D2435" t="s">
        <v>458</v>
      </c>
      <c r="E2435">
        <v>0</v>
      </c>
    </row>
    <row r="2436" spans="1:5">
      <c r="A2436">
        <v>13450</v>
      </c>
      <c r="B2436">
        <v>1830197</v>
      </c>
      <c r="C2436" s="5">
        <v>46058</v>
      </c>
      <c r="D2436" t="s">
        <v>458</v>
      </c>
      <c r="E2436">
        <v>0</v>
      </c>
    </row>
    <row r="2437" spans="1:5">
      <c r="A2437">
        <v>13451</v>
      </c>
      <c r="B2437">
        <v>1830197</v>
      </c>
      <c r="C2437" s="5">
        <v>46058</v>
      </c>
      <c r="D2437" t="s">
        <v>458</v>
      </c>
      <c r="E2437">
        <v>0</v>
      </c>
    </row>
    <row r="2438" spans="1:5">
      <c r="A2438">
        <v>13537</v>
      </c>
      <c r="B2438">
        <v>1830197</v>
      </c>
      <c r="C2438" s="5">
        <v>46058</v>
      </c>
      <c r="D2438" t="s">
        <v>458</v>
      </c>
      <c r="E2438">
        <v>0</v>
      </c>
    </row>
    <row r="2439" spans="1:5">
      <c r="A2439">
        <v>13539</v>
      </c>
      <c r="B2439">
        <v>1830197</v>
      </c>
      <c r="C2439" s="5">
        <v>46058</v>
      </c>
      <c r="D2439" t="s">
        <v>458</v>
      </c>
      <c r="E2439">
        <v>0</v>
      </c>
    </row>
    <row r="2440" spans="1:5">
      <c r="A2440">
        <v>13540</v>
      </c>
      <c r="B2440">
        <v>1830197</v>
      </c>
      <c r="C2440" s="5">
        <v>46058</v>
      </c>
      <c r="D2440" t="s">
        <v>458</v>
      </c>
      <c r="E2440">
        <v>0</v>
      </c>
    </row>
    <row r="2441" spans="1:5">
      <c r="A2441">
        <v>13541</v>
      </c>
      <c r="B2441">
        <v>1830197</v>
      </c>
      <c r="C2441" s="5">
        <v>46058</v>
      </c>
      <c r="D2441" t="s">
        <v>458</v>
      </c>
      <c r="E2441">
        <v>0</v>
      </c>
    </row>
    <row r="2442" spans="1:5">
      <c r="A2442">
        <v>13542</v>
      </c>
      <c r="B2442">
        <v>1830197</v>
      </c>
      <c r="C2442" s="5">
        <v>46058</v>
      </c>
      <c r="D2442" t="s">
        <v>458</v>
      </c>
      <c r="E2442">
        <v>0</v>
      </c>
    </row>
    <row r="2443" spans="1:5">
      <c r="A2443">
        <v>13837</v>
      </c>
      <c r="B2443">
        <v>1830197</v>
      </c>
      <c r="C2443" s="5">
        <v>46058</v>
      </c>
      <c r="D2443" t="s">
        <v>458</v>
      </c>
      <c r="E2443">
        <v>0</v>
      </c>
    </row>
    <row r="2444" spans="1:5">
      <c r="A2444">
        <v>13874</v>
      </c>
      <c r="B2444">
        <v>1830197</v>
      </c>
      <c r="C2444" s="5">
        <v>46058</v>
      </c>
      <c r="D2444" t="s">
        <v>458</v>
      </c>
      <c r="E2444">
        <v>0</v>
      </c>
    </row>
    <row r="2445" spans="1:5">
      <c r="A2445">
        <v>14069</v>
      </c>
      <c r="B2445">
        <v>1830197</v>
      </c>
      <c r="C2445" s="5">
        <v>46058</v>
      </c>
      <c r="D2445" t="s">
        <v>458</v>
      </c>
      <c r="E2445">
        <v>0</v>
      </c>
    </row>
    <row r="2446" spans="1:5">
      <c r="A2446">
        <v>14165</v>
      </c>
      <c r="B2446">
        <v>1830197</v>
      </c>
      <c r="C2446" s="5">
        <v>46058</v>
      </c>
      <c r="D2446" t="s">
        <v>458</v>
      </c>
      <c r="E2446">
        <v>68</v>
      </c>
    </row>
    <row r="2447" spans="1:5">
      <c r="A2447">
        <v>14186</v>
      </c>
      <c r="B2447">
        <v>1830197</v>
      </c>
      <c r="C2447" s="5">
        <v>46058</v>
      </c>
      <c r="D2447" t="s">
        <v>458</v>
      </c>
      <c r="E2447">
        <v>0</v>
      </c>
    </row>
    <row r="2448" spans="1:5">
      <c r="A2448">
        <v>14198</v>
      </c>
      <c r="B2448">
        <v>1830197</v>
      </c>
      <c r="C2448" s="5">
        <v>46058</v>
      </c>
      <c r="D2448" t="s">
        <v>458</v>
      </c>
      <c r="E2448">
        <v>10</v>
      </c>
    </row>
    <row r="2449" spans="1:5">
      <c r="A2449">
        <v>14265</v>
      </c>
      <c r="B2449">
        <v>1830197</v>
      </c>
      <c r="C2449" s="5">
        <v>46058</v>
      </c>
      <c r="D2449" t="s">
        <v>458</v>
      </c>
      <c r="E2449">
        <v>0</v>
      </c>
    </row>
    <row r="2450" spans="1:5">
      <c r="A2450">
        <v>14410</v>
      </c>
      <c r="B2450">
        <v>1830197</v>
      </c>
      <c r="C2450" s="5">
        <v>46058</v>
      </c>
      <c r="D2450" t="s">
        <v>458</v>
      </c>
      <c r="E2450">
        <v>0</v>
      </c>
    </row>
    <row r="2451" spans="1:5">
      <c r="A2451">
        <v>14430</v>
      </c>
      <c r="B2451">
        <v>1830197</v>
      </c>
      <c r="C2451" s="5">
        <v>46058</v>
      </c>
      <c r="D2451" t="s">
        <v>458</v>
      </c>
      <c r="E2451">
        <v>0.14000000000000001</v>
      </c>
    </row>
    <row r="2452" spans="1:5">
      <c r="A2452">
        <v>14540</v>
      </c>
      <c r="B2452">
        <v>1830197</v>
      </c>
      <c r="C2452" s="5">
        <v>46058</v>
      </c>
      <c r="D2452" t="s">
        <v>458</v>
      </c>
      <c r="E2452">
        <v>0</v>
      </c>
    </row>
    <row r="2453" spans="1:5">
      <c r="A2453">
        <v>14587</v>
      </c>
      <c r="B2453">
        <v>1830197</v>
      </c>
      <c r="C2453" s="5">
        <v>46058</v>
      </c>
      <c r="D2453" t="s">
        <v>458</v>
      </c>
      <c r="E2453">
        <v>0</v>
      </c>
    </row>
    <row r="2454" spans="1:5">
      <c r="A2454">
        <v>14707</v>
      </c>
      <c r="B2454">
        <v>1830197</v>
      </c>
      <c r="C2454" s="5">
        <v>46058</v>
      </c>
      <c r="D2454" t="s">
        <v>458</v>
      </c>
      <c r="E2454">
        <v>0</v>
      </c>
    </row>
    <row r="2455" spans="1:5">
      <c r="A2455">
        <v>14752</v>
      </c>
      <c r="B2455">
        <v>1830197</v>
      </c>
      <c r="C2455" s="5">
        <v>46058</v>
      </c>
      <c r="D2455" t="s">
        <v>458</v>
      </c>
      <c r="E2455">
        <v>0</v>
      </c>
    </row>
    <row r="2456" spans="1:5">
      <c r="A2456">
        <v>14838</v>
      </c>
      <c r="B2456">
        <v>1830197</v>
      </c>
      <c r="C2456" s="5">
        <v>46058</v>
      </c>
      <c r="D2456" t="s">
        <v>458</v>
      </c>
      <c r="E2456">
        <v>0</v>
      </c>
    </row>
    <row r="2457" spans="1:5">
      <c r="A2457">
        <v>15065</v>
      </c>
      <c r="B2457">
        <v>1830197</v>
      </c>
      <c r="C2457" s="5">
        <v>46058</v>
      </c>
      <c r="D2457" t="s">
        <v>458</v>
      </c>
      <c r="E2457">
        <v>0</v>
      </c>
    </row>
    <row r="2458" spans="1:5">
      <c r="A2458">
        <v>15114</v>
      </c>
      <c r="B2458">
        <v>1830197</v>
      </c>
      <c r="C2458" s="5">
        <v>46058</v>
      </c>
      <c r="D2458" t="s">
        <v>458</v>
      </c>
      <c r="E2458">
        <v>0</v>
      </c>
    </row>
    <row r="2459" spans="1:5">
      <c r="A2459">
        <v>15196</v>
      </c>
      <c r="B2459">
        <v>1830197</v>
      </c>
      <c r="C2459" s="5">
        <v>46058</v>
      </c>
      <c r="D2459" t="s">
        <v>458</v>
      </c>
      <c r="E2459">
        <v>0</v>
      </c>
    </row>
    <row r="2460" spans="1:5">
      <c r="A2460">
        <v>15306</v>
      </c>
      <c r="B2460">
        <v>1830197</v>
      </c>
      <c r="C2460" s="5">
        <v>46058</v>
      </c>
      <c r="D2460" t="s">
        <v>458</v>
      </c>
      <c r="E2460">
        <v>0</v>
      </c>
    </row>
    <row r="2461" spans="1:5">
      <c r="A2461">
        <v>15339</v>
      </c>
      <c r="B2461">
        <v>1830197</v>
      </c>
      <c r="C2461" s="5">
        <v>46058</v>
      </c>
      <c r="D2461" t="s">
        <v>458</v>
      </c>
      <c r="E2461">
        <v>0</v>
      </c>
    </row>
    <row r="2462" spans="1:5">
      <c r="A2462">
        <v>15394</v>
      </c>
      <c r="B2462">
        <v>1830197</v>
      </c>
      <c r="C2462" s="5">
        <v>46058</v>
      </c>
      <c r="D2462" t="s">
        <v>458</v>
      </c>
      <c r="E2462">
        <v>0</v>
      </c>
    </row>
    <row r="2463" spans="1:5">
      <c r="A2463">
        <v>15395</v>
      </c>
      <c r="B2463">
        <v>1830197</v>
      </c>
      <c r="C2463" s="5">
        <v>46058</v>
      </c>
      <c r="D2463" t="s">
        <v>458</v>
      </c>
      <c r="E2463">
        <v>0</v>
      </c>
    </row>
    <row r="2464" spans="1:5">
      <c r="A2464">
        <v>15652</v>
      </c>
      <c r="B2464">
        <v>1830197</v>
      </c>
      <c r="C2464" s="5">
        <v>46058</v>
      </c>
      <c r="D2464" t="s">
        <v>458</v>
      </c>
      <c r="E2464">
        <v>0</v>
      </c>
    </row>
    <row r="2465" spans="1:5">
      <c r="A2465">
        <v>15653</v>
      </c>
      <c r="B2465">
        <v>1830197</v>
      </c>
      <c r="C2465" s="5">
        <v>46058</v>
      </c>
      <c r="D2465" t="s">
        <v>458</v>
      </c>
      <c r="E2465">
        <v>0</v>
      </c>
    </row>
    <row r="2466" spans="1:5">
      <c r="A2466">
        <v>15678</v>
      </c>
      <c r="B2466">
        <v>1830197</v>
      </c>
      <c r="C2466" s="5">
        <v>46058</v>
      </c>
      <c r="D2466" t="s">
        <v>458</v>
      </c>
      <c r="E2466">
        <v>45</v>
      </c>
    </row>
    <row r="2467" spans="1:5">
      <c r="A2467">
        <v>15825</v>
      </c>
      <c r="B2467">
        <v>1830197</v>
      </c>
      <c r="C2467" s="5">
        <v>46058</v>
      </c>
      <c r="D2467" t="s">
        <v>458</v>
      </c>
      <c r="E2467">
        <v>3</v>
      </c>
    </row>
    <row r="2468" spans="1:5">
      <c r="A2468">
        <v>15982</v>
      </c>
      <c r="B2468">
        <v>1830197</v>
      </c>
      <c r="C2468" s="5">
        <v>46058</v>
      </c>
      <c r="D2468" t="s">
        <v>458</v>
      </c>
      <c r="E2468">
        <v>4.4400000000000004</v>
      </c>
    </row>
    <row r="2469" spans="1:5">
      <c r="A2469">
        <v>16033</v>
      </c>
      <c r="B2469">
        <v>1830197</v>
      </c>
      <c r="C2469" s="5">
        <v>46058</v>
      </c>
      <c r="D2469" t="s">
        <v>458</v>
      </c>
      <c r="E2469">
        <v>0</v>
      </c>
    </row>
    <row r="2470" spans="1:5">
      <c r="A2470">
        <v>16045</v>
      </c>
      <c r="B2470">
        <v>1830197</v>
      </c>
      <c r="C2470" s="5">
        <v>46058</v>
      </c>
      <c r="D2470" t="s">
        <v>458</v>
      </c>
      <c r="E2470">
        <v>0</v>
      </c>
    </row>
    <row r="2471" spans="1:5">
      <c r="A2471">
        <v>16381</v>
      </c>
      <c r="B2471">
        <v>1830197</v>
      </c>
      <c r="C2471" s="5">
        <v>46058</v>
      </c>
      <c r="D2471" t="s">
        <v>458</v>
      </c>
      <c r="E2471">
        <v>0</v>
      </c>
    </row>
    <row r="2472" spans="1:5">
      <c r="A2472">
        <v>16387</v>
      </c>
      <c r="B2472">
        <v>1830197</v>
      </c>
      <c r="C2472" s="5">
        <v>46058</v>
      </c>
      <c r="D2472" t="s">
        <v>458</v>
      </c>
      <c r="E2472">
        <v>2</v>
      </c>
    </row>
    <row r="2473" spans="1:5">
      <c r="A2473">
        <v>16564</v>
      </c>
      <c r="B2473">
        <v>1830197</v>
      </c>
      <c r="C2473" s="5">
        <v>46058</v>
      </c>
      <c r="D2473" t="s">
        <v>458</v>
      </c>
      <c r="E2473">
        <v>0</v>
      </c>
    </row>
    <row r="2474" spans="1:5">
      <c r="A2474">
        <v>16565</v>
      </c>
      <c r="B2474">
        <v>1830197</v>
      </c>
      <c r="C2474" s="5">
        <v>46058</v>
      </c>
      <c r="D2474" t="s">
        <v>458</v>
      </c>
      <c r="E2474">
        <v>0</v>
      </c>
    </row>
    <row r="2475" spans="1:5">
      <c r="A2475">
        <v>16569</v>
      </c>
      <c r="B2475">
        <v>1830197</v>
      </c>
      <c r="C2475" s="5">
        <v>46058</v>
      </c>
      <c r="D2475" t="s">
        <v>458</v>
      </c>
      <c r="E2475">
        <v>0</v>
      </c>
    </row>
    <row r="2476" spans="1:5">
      <c r="A2476">
        <v>17091</v>
      </c>
      <c r="B2476">
        <v>1830197</v>
      </c>
      <c r="C2476" s="5">
        <v>46058</v>
      </c>
      <c r="D2476" t="s">
        <v>458</v>
      </c>
      <c r="E2476">
        <v>0</v>
      </c>
    </row>
    <row r="2477" spans="1:5">
      <c r="A2477">
        <v>17113</v>
      </c>
      <c r="B2477">
        <v>1830197</v>
      </c>
      <c r="C2477" s="5">
        <v>46058</v>
      </c>
      <c r="D2477" t="s">
        <v>458</v>
      </c>
      <c r="E2477">
        <v>0</v>
      </c>
    </row>
    <row r="2478" spans="1:5">
      <c r="A2478">
        <v>17362</v>
      </c>
      <c r="B2478">
        <v>1830197</v>
      </c>
      <c r="C2478" s="5">
        <v>46058</v>
      </c>
      <c r="D2478" t="s">
        <v>458</v>
      </c>
      <c r="E2478">
        <v>0</v>
      </c>
    </row>
    <row r="2479" spans="1:5">
      <c r="A2479">
        <v>17363</v>
      </c>
      <c r="B2479">
        <v>1830197</v>
      </c>
      <c r="C2479" s="5">
        <v>46058</v>
      </c>
      <c r="D2479" t="s">
        <v>458</v>
      </c>
      <c r="E2479">
        <v>0</v>
      </c>
    </row>
    <row r="2480" spans="1:5">
      <c r="A2480">
        <v>17383</v>
      </c>
      <c r="B2480">
        <v>1830197</v>
      </c>
      <c r="C2480" s="5">
        <v>46058</v>
      </c>
      <c r="D2480" t="s">
        <v>458</v>
      </c>
      <c r="E2480">
        <v>0</v>
      </c>
    </row>
    <row r="2481" spans="1:5">
      <c r="A2481">
        <v>17384</v>
      </c>
      <c r="B2481">
        <v>1830197</v>
      </c>
      <c r="C2481" s="5">
        <v>46058</v>
      </c>
      <c r="D2481" t="s">
        <v>458</v>
      </c>
      <c r="E2481">
        <v>0</v>
      </c>
    </row>
    <row r="2482" spans="1:5">
      <c r="A2482">
        <v>17385</v>
      </c>
      <c r="B2482">
        <v>1830197</v>
      </c>
      <c r="C2482" s="5">
        <v>46058</v>
      </c>
      <c r="D2482" t="s">
        <v>458</v>
      </c>
      <c r="E2482">
        <v>0</v>
      </c>
    </row>
    <row r="2483" spans="1:5">
      <c r="A2483">
        <v>17482</v>
      </c>
      <c r="B2483">
        <v>1830197</v>
      </c>
      <c r="C2483" s="5">
        <v>46058</v>
      </c>
      <c r="D2483" t="s">
        <v>458</v>
      </c>
      <c r="E2483">
        <v>0</v>
      </c>
    </row>
    <row r="2484" spans="1:5">
      <c r="A2484">
        <v>17515</v>
      </c>
      <c r="B2484">
        <v>1830197</v>
      </c>
      <c r="C2484" s="5">
        <v>46058</v>
      </c>
      <c r="D2484" t="s">
        <v>458</v>
      </c>
      <c r="E2484">
        <v>1</v>
      </c>
    </row>
    <row r="2485" spans="1:5">
      <c r="A2485">
        <v>17581</v>
      </c>
      <c r="B2485">
        <v>1830197</v>
      </c>
      <c r="C2485" s="5">
        <v>46058</v>
      </c>
      <c r="D2485" t="s">
        <v>458</v>
      </c>
      <c r="E2485">
        <v>110</v>
      </c>
    </row>
    <row r="2486" spans="1:5">
      <c r="A2486">
        <v>17588</v>
      </c>
      <c r="B2486">
        <v>1830197</v>
      </c>
      <c r="C2486" s="5">
        <v>46058</v>
      </c>
      <c r="D2486" t="s">
        <v>458</v>
      </c>
      <c r="E2486">
        <v>0</v>
      </c>
    </row>
    <row r="2487" spans="1:5">
      <c r="A2487">
        <v>17639</v>
      </c>
      <c r="B2487">
        <v>1830197</v>
      </c>
      <c r="C2487" s="5">
        <v>46058</v>
      </c>
      <c r="D2487" t="s">
        <v>458</v>
      </c>
      <c r="E2487">
        <v>0</v>
      </c>
    </row>
    <row r="2488" spans="1:5">
      <c r="A2488">
        <v>17771</v>
      </c>
      <c r="B2488">
        <v>1830197</v>
      </c>
      <c r="C2488" s="5">
        <v>46058</v>
      </c>
      <c r="D2488" t="s">
        <v>458</v>
      </c>
      <c r="E2488">
        <v>0.1</v>
      </c>
    </row>
    <row r="2489" spans="1:5">
      <c r="A2489">
        <v>17774</v>
      </c>
      <c r="B2489">
        <v>1830197</v>
      </c>
      <c r="C2489" s="5">
        <v>46058</v>
      </c>
      <c r="D2489" t="s">
        <v>458</v>
      </c>
      <c r="E2489">
        <v>0</v>
      </c>
    </row>
    <row r="2490" spans="1:5">
      <c r="A2490">
        <v>17775</v>
      </c>
      <c r="B2490">
        <v>1830197</v>
      </c>
      <c r="C2490" s="5">
        <v>46058</v>
      </c>
      <c r="D2490" t="s">
        <v>458</v>
      </c>
      <c r="E2490">
        <v>0</v>
      </c>
    </row>
    <row r="2491" spans="1:5">
      <c r="A2491">
        <v>17849</v>
      </c>
      <c r="B2491">
        <v>1830197</v>
      </c>
      <c r="C2491" s="5">
        <v>46058</v>
      </c>
      <c r="D2491" t="s">
        <v>458</v>
      </c>
      <c r="E2491">
        <v>0</v>
      </c>
    </row>
    <row r="2492" spans="1:5">
      <c r="A2492">
        <v>17947</v>
      </c>
      <c r="B2492">
        <v>1830197</v>
      </c>
      <c r="C2492" s="5">
        <v>46058</v>
      </c>
      <c r="D2492" t="s">
        <v>458</v>
      </c>
      <c r="E2492">
        <v>0</v>
      </c>
    </row>
    <row r="2493" spans="1:5">
      <c r="A2493">
        <v>18087</v>
      </c>
      <c r="B2493">
        <v>1830197</v>
      </c>
      <c r="C2493" s="5">
        <v>46058</v>
      </c>
      <c r="D2493" t="s">
        <v>458</v>
      </c>
      <c r="E2493">
        <v>0</v>
      </c>
    </row>
    <row r="2494" spans="1:5">
      <c r="A2494">
        <v>18088</v>
      </c>
      <c r="B2494">
        <v>1830197</v>
      </c>
      <c r="C2494" s="5">
        <v>46058</v>
      </c>
      <c r="D2494" t="s">
        <v>458</v>
      </c>
      <c r="E2494">
        <v>0</v>
      </c>
    </row>
    <row r="2495" spans="1:5">
      <c r="A2495">
        <v>18161</v>
      </c>
      <c r="B2495">
        <v>1830197</v>
      </c>
      <c r="C2495" s="5">
        <v>46058</v>
      </c>
      <c r="D2495" t="s">
        <v>458</v>
      </c>
      <c r="E2495">
        <v>0</v>
      </c>
    </row>
    <row r="2496" spans="1:5">
      <c r="A2496">
        <v>18229</v>
      </c>
      <c r="B2496">
        <v>1830197</v>
      </c>
      <c r="C2496" s="5">
        <v>46058</v>
      </c>
      <c r="D2496" t="s">
        <v>458</v>
      </c>
      <c r="E2496">
        <v>0</v>
      </c>
    </row>
    <row r="2497" spans="1:5">
      <c r="A2497">
        <v>18309</v>
      </c>
      <c r="B2497">
        <v>1830197</v>
      </c>
      <c r="C2497" s="5">
        <v>46058</v>
      </c>
      <c r="D2497" t="s">
        <v>458</v>
      </c>
      <c r="E2497">
        <v>0</v>
      </c>
    </row>
    <row r="2498" spans="1:5">
      <c r="A2498">
        <v>18310</v>
      </c>
      <c r="B2498">
        <v>1830197</v>
      </c>
      <c r="C2498" s="5">
        <v>46058</v>
      </c>
      <c r="D2498" t="s">
        <v>458</v>
      </c>
      <c r="E2498">
        <v>0</v>
      </c>
    </row>
    <row r="2499" spans="1:5">
      <c r="A2499">
        <v>18342</v>
      </c>
      <c r="B2499">
        <v>1830197</v>
      </c>
      <c r="C2499" s="5">
        <v>46058</v>
      </c>
      <c r="D2499" t="s">
        <v>458</v>
      </c>
      <c r="E2499">
        <v>36</v>
      </c>
    </row>
    <row r="2500" spans="1:5">
      <c r="A2500">
        <v>18471</v>
      </c>
      <c r="B2500">
        <v>1830197</v>
      </c>
      <c r="C2500" s="5">
        <v>46058</v>
      </c>
      <c r="D2500" t="s">
        <v>458</v>
      </c>
      <c r="E2500">
        <v>0</v>
      </c>
    </row>
    <row r="2501" spans="1:5">
      <c r="A2501">
        <v>18472</v>
      </c>
      <c r="B2501">
        <v>1830197</v>
      </c>
      <c r="C2501" s="5">
        <v>46058</v>
      </c>
      <c r="D2501" t="s">
        <v>458</v>
      </c>
      <c r="E2501">
        <v>0</v>
      </c>
    </row>
    <row r="2502" spans="1:5">
      <c r="A2502">
        <v>18626</v>
      </c>
      <c r="B2502">
        <v>1830197</v>
      </c>
      <c r="C2502" s="5">
        <v>46058</v>
      </c>
      <c r="D2502" t="s">
        <v>458</v>
      </c>
      <c r="E2502">
        <v>0</v>
      </c>
    </row>
    <row r="2503" spans="1:5">
      <c r="A2503">
        <v>18640</v>
      </c>
      <c r="B2503">
        <v>1830197</v>
      </c>
      <c r="C2503" s="5">
        <v>46058</v>
      </c>
      <c r="D2503" t="s">
        <v>458</v>
      </c>
      <c r="E2503">
        <v>0</v>
      </c>
    </row>
    <row r="2504" spans="1:5">
      <c r="A2504">
        <v>18649</v>
      </c>
      <c r="B2504">
        <v>1830197</v>
      </c>
      <c r="C2504" s="5">
        <v>46058</v>
      </c>
      <c r="D2504" t="s">
        <v>458</v>
      </c>
      <c r="E2504">
        <v>47</v>
      </c>
    </row>
    <row r="2505" spans="1:5">
      <c r="A2505">
        <v>19050</v>
      </c>
      <c r="B2505">
        <v>1830197</v>
      </c>
      <c r="C2505" s="5">
        <v>46058</v>
      </c>
      <c r="D2505" t="s">
        <v>458</v>
      </c>
      <c r="E2505">
        <v>0</v>
      </c>
    </row>
    <row r="2506" spans="1:5">
      <c r="A2506">
        <v>19051</v>
      </c>
      <c r="B2506">
        <v>1830197</v>
      </c>
      <c r="C2506" s="5">
        <v>46058</v>
      </c>
      <c r="D2506" t="s">
        <v>458</v>
      </c>
      <c r="E2506">
        <v>0</v>
      </c>
    </row>
    <row r="2507" spans="1:5">
      <c r="A2507">
        <v>19060</v>
      </c>
      <c r="B2507">
        <v>1830197</v>
      </c>
      <c r="C2507" s="5">
        <v>46058</v>
      </c>
      <c r="D2507" t="s">
        <v>458</v>
      </c>
      <c r="E2507">
        <v>0</v>
      </c>
    </row>
    <row r="2508" spans="1:5">
      <c r="A2508">
        <v>19235</v>
      </c>
      <c r="B2508">
        <v>1830197</v>
      </c>
      <c r="C2508" s="5">
        <v>46058</v>
      </c>
      <c r="D2508" t="s">
        <v>458</v>
      </c>
      <c r="E2508">
        <v>0</v>
      </c>
    </row>
    <row r="2509" spans="1:5">
      <c r="A2509">
        <v>19236</v>
      </c>
      <c r="B2509">
        <v>1830197</v>
      </c>
      <c r="C2509" s="5">
        <v>46058</v>
      </c>
      <c r="D2509" t="s">
        <v>458</v>
      </c>
      <c r="E2509">
        <v>0</v>
      </c>
    </row>
    <row r="2510" spans="1:5">
      <c r="A2510">
        <v>19346</v>
      </c>
      <c r="B2510">
        <v>1830197</v>
      </c>
      <c r="C2510" s="5">
        <v>46058</v>
      </c>
      <c r="D2510" t="s">
        <v>458</v>
      </c>
      <c r="E2510">
        <v>0</v>
      </c>
    </row>
    <row r="2511" spans="1:5">
      <c r="A2511">
        <v>19500</v>
      </c>
      <c r="B2511">
        <v>1830197</v>
      </c>
      <c r="C2511" s="5">
        <v>46058</v>
      </c>
      <c r="D2511" t="s">
        <v>458</v>
      </c>
      <c r="E2511">
        <v>0</v>
      </c>
    </row>
    <row r="2512" spans="1:5">
      <c r="A2512">
        <v>19541</v>
      </c>
      <c r="B2512">
        <v>1830197</v>
      </c>
      <c r="C2512" s="5">
        <v>46058</v>
      </c>
      <c r="D2512" t="s">
        <v>458</v>
      </c>
      <c r="E2512">
        <v>0</v>
      </c>
    </row>
    <row r="2513" spans="1:5">
      <c r="A2513">
        <v>19670</v>
      </c>
      <c r="B2513">
        <v>1830197</v>
      </c>
      <c r="C2513" s="5">
        <v>46058</v>
      </c>
      <c r="D2513" t="s">
        <v>458</v>
      </c>
      <c r="E2513">
        <v>0</v>
      </c>
    </row>
    <row r="2514" spans="1:5">
      <c r="A2514">
        <v>19701</v>
      </c>
      <c r="B2514">
        <v>1830197</v>
      </c>
      <c r="C2514" s="5">
        <v>46058</v>
      </c>
      <c r="D2514" t="s">
        <v>458</v>
      </c>
      <c r="E2514">
        <v>0</v>
      </c>
    </row>
    <row r="2515" spans="1:5">
      <c r="A2515">
        <v>20091</v>
      </c>
      <c r="B2515">
        <v>1830197</v>
      </c>
      <c r="C2515" s="5">
        <v>46058</v>
      </c>
      <c r="D2515" t="s">
        <v>458</v>
      </c>
      <c r="E2515">
        <v>1.62</v>
      </c>
    </row>
    <row r="2516" spans="1:5">
      <c r="A2516">
        <v>20096</v>
      </c>
      <c r="B2516">
        <v>1830197</v>
      </c>
      <c r="C2516" s="5">
        <v>46058</v>
      </c>
      <c r="D2516" t="s">
        <v>458</v>
      </c>
      <c r="E2516">
        <v>-1.1299999999999999</v>
      </c>
    </row>
    <row r="2517" spans="1:5">
      <c r="A2517">
        <v>20124</v>
      </c>
      <c r="B2517">
        <v>1830197</v>
      </c>
      <c r="C2517" s="5">
        <v>46058</v>
      </c>
      <c r="D2517" t="s">
        <v>458</v>
      </c>
      <c r="E2517">
        <v>-1</v>
      </c>
    </row>
    <row r="2518" spans="1:5">
      <c r="A2518">
        <v>20245</v>
      </c>
      <c r="B2518">
        <v>1830197</v>
      </c>
      <c r="C2518" s="5">
        <v>46058</v>
      </c>
      <c r="D2518" t="s">
        <v>458</v>
      </c>
      <c r="E2518">
        <v>0</v>
      </c>
    </row>
    <row r="2519" spans="1:5">
      <c r="A2519">
        <v>22061</v>
      </c>
      <c r="B2519">
        <v>1830197</v>
      </c>
      <c r="C2519" s="5">
        <v>46058</v>
      </c>
      <c r="D2519" t="s">
        <v>458</v>
      </c>
      <c r="E2519">
        <v>0</v>
      </c>
    </row>
    <row r="2520" spans="1:5">
      <c r="A2520">
        <v>22070</v>
      </c>
      <c r="B2520">
        <v>1830197</v>
      </c>
      <c r="C2520" s="5">
        <v>46058</v>
      </c>
      <c r="D2520" t="s">
        <v>458</v>
      </c>
      <c r="E2520">
        <v>0</v>
      </c>
    </row>
    <row r="2521" spans="1:5">
      <c r="A2521">
        <v>22388</v>
      </c>
      <c r="B2521">
        <v>1830197</v>
      </c>
      <c r="C2521" s="5">
        <v>46058</v>
      </c>
      <c r="D2521" t="s">
        <v>458</v>
      </c>
      <c r="E2521">
        <v>25</v>
      </c>
    </row>
    <row r="2522" spans="1:5">
      <c r="A2522">
        <v>23991</v>
      </c>
      <c r="B2522">
        <v>1830197</v>
      </c>
      <c r="C2522" s="5">
        <v>46058</v>
      </c>
      <c r="D2522" t="s">
        <v>458</v>
      </c>
      <c r="E2522">
        <v>1</v>
      </c>
    </row>
    <row r="2523" spans="1:5">
      <c r="A2523">
        <v>24276</v>
      </c>
      <c r="B2523">
        <v>1830197</v>
      </c>
      <c r="C2523" s="5">
        <v>46058</v>
      </c>
      <c r="D2523" t="s">
        <v>458</v>
      </c>
      <c r="E2523">
        <v>0</v>
      </c>
    </row>
    <row r="2524" spans="1:5">
      <c r="A2524">
        <v>24737</v>
      </c>
      <c r="B2524">
        <v>1830197</v>
      </c>
      <c r="C2524" s="5">
        <v>46058</v>
      </c>
      <c r="D2524" t="s">
        <v>458</v>
      </c>
      <c r="E2524">
        <v>0</v>
      </c>
    </row>
    <row r="2525" spans="1:5">
      <c r="A2525">
        <v>24738</v>
      </c>
      <c r="B2525">
        <v>1830197</v>
      </c>
      <c r="C2525" s="5">
        <v>46058</v>
      </c>
      <c r="D2525" t="s">
        <v>458</v>
      </c>
      <c r="E2525">
        <v>0</v>
      </c>
    </row>
    <row r="2526" spans="1:5">
      <c r="A2526">
        <v>30139</v>
      </c>
      <c r="B2526">
        <v>1830197</v>
      </c>
      <c r="C2526" s="5">
        <v>46058</v>
      </c>
      <c r="D2526" t="s">
        <v>458</v>
      </c>
      <c r="E2526">
        <v>2</v>
      </c>
    </row>
    <row r="2527" spans="1:5">
      <c r="A2527">
        <v>30140</v>
      </c>
      <c r="B2527">
        <v>1830197</v>
      </c>
      <c r="C2527" s="5">
        <v>46058</v>
      </c>
      <c r="D2527" t="s">
        <v>458</v>
      </c>
      <c r="E2527">
        <v>2</v>
      </c>
    </row>
    <row r="2528" spans="1:5">
      <c r="A2528">
        <v>30154</v>
      </c>
      <c r="B2528">
        <v>1830197</v>
      </c>
      <c r="C2528" s="5">
        <v>46058</v>
      </c>
      <c r="D2528" t="s">
        <v>458</v>
      </c>
      <c r="E2528">
        <v>0.47</v>
      </c>
    </row>
    <row r="2529" spans="1:5">
      <c r="A2529">
        <v>34120</v>
      </c>
      <c r="B2529">
        <v>1830197</v>
      </c>
      <c r="C2529" s="5">
        <v>46058</v>
      </c>
      <c r="D2529" t="s">
        <v>458</v>
      </c>
      <c r="E2529">
        <v>0</v>
      </c>
    </row>
    <row r="2530" spans="1:5">
      <c r="A2530">
        <v>36055</v>
      </c>
      <c r="B2530">
        <v>1830197</v>
      </c>
      <c r="C2530" s="5">
        <v>46058</v>
      </c>
      <c r="D2530" t="s">
        <v>458</v>
      </c>
      <c r="E2530">
        <v>0</v>
      </c>
    </row>
    <row r="2531" spans="1:5">
      <c r="A2531">
        <v>36061</v>
      </c>
      <c r="B2531">
        <v>1830197</v>
      </c>
      <c r="C2531" s="5">
        <v>46058</v>
      </c>
      <c r="D2531" t="s">
        <v>458</v>
      </c>
      <c r="E2531">
        <v>0</v>
      </c>
    </row>
    <row r="2532" spans="1:5">
      <c r="A2532">
        <v>37089</v>
      </c>
      <c r="B2532">
        <v>1830197</v>
      </c>
      <c r="C2532" s="5">
        <v>46058</v>
      </c>
      <c r="D2532" t="s">
        <v>458</v>
      </c>
      <c r="E2532">
        <v>0</v>
      </c>
    </row>
    <row r="2533" spans="1:5">
      <c r="A2533">
        <v>39852</v>
      </c>
      <c r="B2533">
        <v>1830197</v>
      </c>
      <c r="C2533" s="5">
        <v>46058</v>
      </c>
      <c r="D2533" t="s">
        <v>458</v>
      </c>
      <c r="E2533">
        <v>0</v>
      </c>
    </row>
    <row r="2534" spans="1:5">
      <c r="A2534">
        <v>40076</v>
      </c>
      <c r="B2534">
        <v>1830197</v>
      </c>
      <c r="C2534" s="5">
        <v>46058</v>
      </c>
      <c r="D2534" t="s">
        <v>458</v>
      </c>
      <c r="E2534">
        <v>308</v>
      </c>
    </row>
    <row r="2535" spans="1:5">
      <c r="A2535">
        <v>40077</v>
      </c>
      <c r="B2535">
        <v>1830197</v>
      </c>
      <c r="C2535" s="5">
        <v>46058</v>
      </c>
      <c r="D2535" t="s">
        <v>458</v>
      </c>
      <c r="E2535">
        <v>18</v>
      </c>
    </row>
    <row r="2536" spans="1:5">
      <c r="A2536">
        <v>40078</v>
      </c>
      <c r="B2536">
        <v>1830197</v>
      </c>
      <c r="C2536" s="5">
        <v>46058</v>
      </c>
      <c r="D2536" t="s">
        <v>458</v>
      </c>
      <c r="E2536">
        <v>3</v>
      </c>
    </row>
    <row r="2537" spans="1:5">
      <c r="A2537">
        <v>40079</v>
      </c>
      <c r="B2537">
        <v>1830197</v>
      </c>
      <c r="C2537" s="5">
        <v>46058</v>
      </c>
      <c r="D2537" t="s">
        <v>458</v>
      </c>
      <c r="E2537">
        <v>0</v>
      </c>
    </row>
    <row r="2538" spans="1:5">
      <c r="A2538">
        <v>45695</v>
      </c>
      <c r="B2538">
        <v>1830197</v>
      </c>
      <c r="C2538" s="5">
        <v>46058</v>
      </c>
      <c r="D2538" t="s">
        <v>458</v>
      </c>
      <c r="E2538">
        <v>25</v>
      </c>
    </row>
    <row r="2539" spans="1:5">
      <c r="A2539">
        <v>80174</v>
      </c>
      <c r="B2539">
        <v>1830197</v>
      </c>
      <c r="C2539" s="5">
        <v>46058</v>
      </c>
      <c r="D2539" t="s">
        <v>458</v>
      </c>
      <c r="E2539">
        <v>0</v>
      </c>
    </row>
    <row r="2540" spans="1:5">
      <c r="A2540">
        <v>84522</v>
      </c>
      <c r="B2540">
        <v>1830197</v>
      </c>
      <c r="C2540" s="5">
        <v>46058</v>
      </c>
      <c r="D2540" t="s">
        <v>458</v>
      </c>
      <c r="E2540">
        <v>4</v>
      </c>
    </row>
    <row r="2541" spans="1:5">
      <c r="A2541">
        <v>84523</v>
      </c>
      <c r="B2541">
        <v>1830197</v>
      </c>
      <c r="C2541" s="5">
        <v>46058</v>
      </c>
      <c r="D2541" t="s">
        <v>458</v>
      </c>
      <c r="E2541">
        <v>2</v>
      </c>
    </row>
    <row r="2542" spans="1:5">
      <c r="A2542">
        <v>87096</v>
      </c>
      <c r="B2542">
        <v>1830197</v>
      </c>
      <c r="C2542" s="5">
        <v>46058</v>
      </c>
      <c r="D2542" t="s">
        <v>458</v>
      </c>
      <c r="E2542">
        <v>0</v>
      </c>
    </row>
    <row r="2543" spans="1:5">
      <c r="A2543">
        <v>87098</v>
      </c>
      <c r="B2543">
        <v>1830197</v>
      </c>
      <c r="C2543" s="5">
        <v>46058</v>
      </c>
      <c r="D2543" t="s">
        <v>458</v>
      </c>
      <c r="E2543">
        <v>0</v>
      </c>
    </row>
    <row r="2544" spans="1:5">
      <c r="A2544">
        <v>91426</v>
      </c>
      <c r="B2544">
        <v>1830197</v>
      </c>
      <c r="C2544" s="5">
        <v>46058</v>
      </c>
      <c r="D2544" t="s">
        <v>458</v>
      </c>
      <c r="E2544">
        <v>0</v>
      </c>
    </row>
    <row r="2545" spans="1:5">
      <c r="A2545">
        <v>91427</v>
      </c>
      <c r="B2545">
        <v>1830197</v>
      </c>
      <c r="C2545" s="5">
        <v>46058</v>
      </c>
      <c r="D2545" t="s">
        <v>458</v>
      </c>
      <c r="E2545">
        <v>0</v>
      </c>
    </row>
    <row r="2546" spans="1:5">
      <c r="A2546">
        <v>91428</v>
      </c>
      <c r="B2546">
        <v>1830197</v>
      </c>
      <c r="C2546" s="5">
        <v>46058</v>
      </c>
      <c r="D2546" t="s">
        <v>458</v>
      </c>
      <c r="E2546">
        <v>0</v>
      </c>
    </row>
    <row r="2547" spans="1:5">
      <c r="A2547">
        <v>91429</v>
      </c>
      <c r="B2547">
        <v>1830197</v>
      </c>
      <c r="C2547" s="5">
        <v>46058</v>
      </c>
      <c r="D2547" t="s">
        <v>458</v>
      </c>
      <c r="E2547">
        <v>0</v>
      </c>
    </row>
    <row r="2548" spans="1:5">
      <c r="A2548">
        <v>91430</v>
      </c>
      <c r="B2548">
        <v>1830197</v>
      </c>
      <c r="C2548" s="5">
        <v>46058</v>
      </c>
      <c r="D2548" t="s">
        <v>458</v>
      </c>
      <c r="E2548">
        <v>0</v>
      </c>
    </row>
    <row r="2549" spans="1:5">
      <c r="A2549">
        <v>91431</v>
      </c>
      <c r="B2549">
        <v>1830197</v>
      </c>
      <c r="C2549" s="5">
        <v>46058</v>
      </c>
      <c r="D2549" t="s">
        <v>458</v>
      </c>
      <c r="E2549">
        <v>0</v>
      </c>
    </row>
    <row r="2550" spans="1:5">
      <c r="A2550">
        <v>91432</v>
      </c>
      <c r="B2550">
        <v>1830197</v>
      </c>
      <c r="C2550" s="5">
        <v>46058</v>
      </c>
      <c r="D2550" t="s">
        <v>458</v>
      </c>
      <c r="E2550">
        <v>0</v>
      </c>
    </row>
    <row r="2551" spans="1:5">
      <c r="A2551">
        <v>91433</v>
      </c>
      <c r="B2551">
        <v>1830197</v>
      </c>
      <c r="C2551" s="5">
        <v>46058</v>
      </c>
      <c r="D2551" t="s">
        <v>458</v>
      </c>
      <c r="E2551">
        <v>0</v>
      </c>
    </row>
    <row r="2552" spans="1:5">
      <c r="A2552">
        <v>92009</v>
      </c>
      <c r="B2552">
        <v>1830197</v>
      </c>
      <c r="C2552" s="5">
        <v>46058</v>
      </c>
      <c r="D2552" t="s">
        <v>458</v>
      </c>
      <c r="E2552">
        <v>0</v>
      </c>
    </row>
    <row r="2553" spans="1:5">
      <c r="A2553">
        <v>92084</v>
      </c>
      <c r="B2553">
        <v>1830197</v>
      </c>
      <c r="C2553" s="5">
        <v>46058</v>
      </c>
      <c r="D2553" t="s">
        <v>458</v>
      </c>
      <c r="E2553">
        <v>0</v>
      </c>
    </row>
    <row r="2554" spans="1:5">
      <c r="A2554">
        <v>93111</v>
      </c>
      <c r="B2554">
        <v>1830197</v>
      </c>
      <c r="C2554" s="5">
        <v>46058</v>
      </c>
      <c r="D2554" t="s">
        <v>458</v>
      </c>
      <c r="E2554">
        <v>0</v>
      </c>
    </row>
    <row r="2555" spans="1:5">
      <c r="A2555">
        <v>94827</v>
      </c>
      <c r="B2555">
        <v>1830197</v>
      </c>
      <c r="C2555" s="5">
        <v>46058</v>
      </c>
      <c r="D2555" t="s">
        <v>458</v>
      </c>
      <c r="E2555">
        <v>0</v>
      </c>
    </row>
    <row r="2556" spans="1:5">
      <c r="A2556">
        <v>94830</v>
      </c>
      <c r="B2556">
        <v>1830197</v>
      </c>
      <c r="C2556" s="5">
        <v>46058</v>
      </c>
      <c r="D2556" t="s">
        <v>458</v>
      </c>
      <c r="E2556">
        <v>0</v>
      </c>
    </row>
    <row r="2557" spans="1:5">
      <c r="A2557">
        <v>94833</v>
      </c>
      <c r="B2557">
        <v>1830197</v>
      </c>
      <c r="C2557" s="5">
        <v>46058</v>
      </c>
      <c r="D2557" t="s">
        <v>458</v>
      </c>
      <c r="E2557">
        <v>0</v>
      </c>
    </row>
    <row r="2558" spans="1:5">
      <c r="A2558">
        <v>94836</v>
      </c>
      <c r="B2558">
        <v>1830197</v>
      </c>
      <c r="C2558" s="5">
        <v>46058</v>
      </c>
      <c r="D2558" t="s">
        <v>458</v>
      </c>
      <c r="E2558">
        <v>0</v>
      </c>
    </row>
    <row r="2559" spans="1:5">
      <c r="A2559">
        <v>94839</v>
      </c>
      <c r="B2559">
        <v>1830197</v>
      </c>
      <c r="C2559" s="5">
        <v>46058</v>
      </c>
      <c r="D2559" t="s">
        <v>458</v>
      </c>
      <c r="E2559">
        <v>0</v>
      </c>
    </row>
    <row r="2560" spans="1:5">
      <c r="A2560">
        <v>94842</v>
      </c>
      <c r="B2560">
        <v>1830197</v>
      </c>
      <c r="C2560" s="5">
        <v>46058</v>
      </c>
      <c r="D2560" t="s">
        <v>458</v>
      </c>
      <c r="E2560">
        <v>0</v>
      </c>
    </row>
    <row r="2561" spans="1:5">
      <c r="A2561">
        <v>94845</v>
      </c>
      <c r="B2561">
        <v>1830197</v>
      </c>
      <c r="C2561" s="5">
        <v>46058</v>
      </c>
      <c r="D2561" t="s">
        <v>458</v>
      </c>
      <c r="E2561">
        <v>0</v>
      </c>
    </row>
    <row r="2562" spans="1:5">
      <c r="A2562">
        <v>94848</v>
      </c>
      <c r="B2562">
        <v>1830197</v>
      </c>
      <c r="C2562" s="5">
        <v>46058</v>
      </c>
      <c r="D2562" t="s">
        <v>458</v>
      </c>
      <c r="E2562">
        <v>0</v>
      </c>
    </row>
    <row r="2563" spans="1:5">
      <c r="A2563">
        <v>94872</v>
      </c>
      <c r="B2563">
        <v>1830197</v>
      </c>
      <c r="C2563" s="5">
        <v>46058</v>
      </c>
      <c r="D2563" t="s">
        <v>458</v>
      </c>
      <c r="E2563">
        <v>0</v>
      </c>
    </row>
    <row r="2564" spans="1:5">
      <c r="A2564">
        <v>99078</v>
      </c>
      <c r="B2564">
        <v>1830197</v>
      </c>
      <c r="C2564" s="5">
        <v>46058</v>
      </c>
      <c r="D2564" t="s">
        <v>458</v>
      </c>
      <c r="E2564">
        <v>0</v>
      </c>
    </row>
    <row r="2565" spans="1:5">
      <c r="A2565">
        <v>99165</v>
      </c>
      <c r="B2565">
        <v>1830197</v>
      </c>
      <c r="C2565" s="5">
        <v>46058</v>
      </c>
      <c r="D2565" t="s">
        <v>458</v>
      </c>
      <c r="E2565">
        <v>0</v>
      </c>
    </row>
    <row r="2566" spans="1:5">
      <c r="A2566">
        <v>99166</v>
      </c>
      <c r="B2566">
        <v>1830197</v>
      </c>
      <c r="C2566" s="5">
        <v>46058</v>
      </c>
      <c r="D2566" t="s">
        <v>458</v>
      </c>
      <c r="E2566">
        <v>0</v>
      </c>
    </row>
    <row r="2567" spans="1:5">
      <c r="A2567">
        <v>99168</v>
      </c>
      <c r="B2567">
        <v>1830197</v>
      </c>
      <c r="C2567" s="5">
        <v>46058</v>
      </c>
      <c r="D2567" t="s">
        <v>458</v>
      </c>
      <c r="E2567">
        <v>0</v>
      </c>
    </row>
    <row r="2568" spans="1:5">
      <c r="A2568">
        <v>99169</v>
      </c>
      <c r="B2568">
        <v>1830197</v>
      </c>
      <c r="C2568" s="5">
        <v>46058</v>
      </c>
      <c r="D2568" t="s">
        <v>458</v>
      </c>
      <c r="E2568">
        <v>0</v>
      </c>
    </row>
    <row r="2569" spans="1:5">
      <c r="A2569">
        <v>99170</v>
      </c>
      <c r="B2569">
        <v>1830197</v>
      </c>
      <c r="C2569" s="5">
        <v>46058</v>
      </c>
      <c r="D2569" t="s">
        <v>458</v>
      </c>
      <c r="E2569">
        <v>0</v>
      </c>
    </row>
    <row r="2570" spans="1:5">
      <c r="A2570">
        <v>99216</v>
      </c>
      <c r="B2570">
        <v>1830197</v>
      </c>
      <c r="C2570" s="5">
        <v>46058</v>
      </c>
      <c r="D2570" t="s">
        <v>458</v>
      </c>
      <c r="E2570">
        <v>0</v>
      </c>
    </row>
    <row r="2571" spans="1:5">
      <c r="A2571">
        <v>99249</v>
      </c>
      <c r="B2571">
        <v>1830197</v>
      </c>
      <c r="C2571" s="5">
        <v>46058</v>
      </c>
      <c r="D2571" t="s">
        <v>458</v>
      </c>
      <c r="E2571">
        <v>0</v>
      </c>
    </row>
    <row r="2572" spans="1:5">
      <c r="A2572">
        <v>99305</v>
      </c>
      <c r="B2572">
        <v>1830197</v>
      </c>
      <c r="C2572" s="5">
        <v>46058</v>
      </c>
      <c r="D2572" t="s">
        <v>458</v>
      </c>
      <c r="E2572">
        <v>0</v>
      </c>
    </row>
    <row r="2573" spans="1:5">
      <c r="A2573">
        <v>99378</v>
      </c>
      <c r="B2573">
        <v>1830197</v>
      </c>
      <c r="C2573" s="5">
        <v>46058</v>
      </c>
      <c r="D2573" t="s">
        <v>458</v>
      </c>
      <c r="E2573">
        <v>0.06</v>
      </c>
    </row>
    <row r="2574" spans="1:5">
      <c r="A2574">
        <v>99422</v>
      </c>
      <c r="B2574">
        <v>1830197</v>
      </c>
      <c r="C2574" s="5">
        <v>46058</v>
      </c>
      <c r="D2574" t="s">
        <v>458</v>
      </c>
      <c r="E2574">
        <v>0</v>
      </c>
    </row>
    <row r="2575" spans="1:5">
      <c r="A2575">
        <v>99903</v>
      </c>
      <c r="B2575">
        <v>1830197</v>
      </c>
      <c r="C2575" s="5">
        <v>46058</v>
      </c>
      <c r="D2575" t="s">
        <v>458</v>
      </c>
      <c r="E2575">
        <v>0</v>
      </c>
    </row>
    <row r="2576" spans="1:5">
      <c r="A2576">
        <v>99906</v>
      </c>
      <c r="B2576">
        <v>1830197</v>
      </c>
      <c r="C2576" s="5">
        <v>46058</v>
      </c>
      <c r="D2576" t="s">
        <v>458</v>
      </c>
      <c r="E2576">
        <v>8</v>
      </c>
    </row>
    <row r="2577" spans="1:5">
      <c r="A2577">
        <v>99907</v>
      </c>
      <c r="B2577">
        <v>1830197</v>
      </c>
      <c r="C2577" s="5">
        <v>46058</v>
      </c>
      <c r="D2577" t="s">
        <v>458</v>
      </c>
      <c r="E2577">
        <v>4</v>
      </c>
    </row>
    <row r="2578" spans="1:5">
      <c r="A2578">
        <v>99908</v>
      </c>
      <c r="B2578">
        <v>1830197</v>
      </c>
      <c r="C2578" s="5">
        <v>46058</v>
      </c>
      <c r="D2578" t="s">
        <v>458</v>
      </c>
      <c r="E2578">
        <v>0</v>
      </c>
    </row>
    <row r="2579" spans="1:5">
      <c r="A2579">
        <v>99912</v>
      </c>
      <c r="B2579">
        <v>1830197</v>
      </c>
      <c r="C2579" s="5">
        <v>46058</v>
      </c>
      <c r="D2579" t="s">
        <v>458</v>
      </c>
      <c r="E2579">
        <v>0</v>
      </c>
    </row>
    <row r="2580" spans="1:5">
      <c r="A2580">
        <v>99913</v>
      </c>
      <c r="B2580">
        <v>1830197</v>
      </c>
      <c r="C2580" s="5">
        <v>46058</v>
      </c>
      <c r="D2580" t="s">
        <v>458</v>
      </c>
      <c r="E2580">
        <v>0</v>
      </c>
    </row>
    <row r="2581" spans="1:5">
      <c r="A2581">
        <v>99914</v>
      </c>
      <c r="B2581">
        <v>1830197</v>
      </c>
      <c r="C2581" s="5">
        <v>46058</v>
      </c>
      <c r="D2581" t="s">
        <v>458</v>
      </c>
      <c r="E2581">
        <v>4</v>
      </c>
    </row>
    <row r="2582" spans="1:5">
      <c r="A2582">
        <v>99915</v>
      </c>
      <c r="B2582">
        <v>1830197</v>
      </c>
      <c r="C2582" s="5">
        <v>46058</v>
      </c>
      <c r="D2582" t="s">
        <v>458</v>
      </c>
      <c r="E2582">
        <v>0</v>
      </c>
    </row>
    <row r="2583" spans="1:5">
      <c r="A2583">
        <v>99916</v>
      </c>
      <c r="B2583">
        <v>1830197</v>
      </c>
      <c r="C2583" s="5">
        <v>46058</v>
      </c>
      <c r="D2583" t="s">
        <v>458</v>
      </c>
      <c r="E2583">
        <v>2</v>
      </c>
    </row>
    <row r="2584" spans="1:5">
      <c r="A2584">
        <v>99917</v>
      </c>
      <c r="B2584">
        <v>1830197</v>
      </c>
      <c r="C2584" s="5">
        <v>46058</v>
      </c>
      <c r="D2584" t="s">
        <v>458</v>
      </c>
      <c r="E2584">
        <v>0</v>
      </c>
    </row>
    <row r="2585" spans="1:5">
      <c r="A2585">
        <v>99920</v>
      </c>
      <c r="B2585">
        <v>1830197</v>
      </c>
      <c r="C2585" s="5">
        <v>46058</v>
      </c>
      <c r="D2585" t="s">
        <v>458</v>
      </c>
      <c r="E2585">
        <v>0</v>
      </c>
    </row>
    <row r="2586" spans="1:5">
      <c r="A2586">
        <v>99929</v>
      </c>
      <c r="B2586">
        <v>1830197</v>
      </c>
      <c r="C2586" s="5">
        <v>46058</v>
      </c>
      <c r="D2586" t="s">
        <v>458</v>
      </c>
      <c r="E2586">
        <v>0</v>
      </c>
    </row>
    <row r="2587" spans="1:5">
      <c r="A2587">
        <v>99931</v>
      </c>
      <c r="B2587">
        <v>1830197</v>
      </c>
      <c r="C2587" s="5">
        <v>46058</v>
      </c>
      <c r="D2587" t="s">
        <v>458</v>
      </c>
      <c r="E2587">
        <v>0</v>
      </c>
    </row>
    <row r="2588" spans="1:5">
      <c r="A2588">
        <v>99932</v>
      </c>
      <c r="B2588">
        <v>1830197</v>
      </c>
      <c r="C2588" s="5">
        <v>46058</v>
      </c>
      <c r="D2588" t="s">
        <v>458</v>
      </c>
      <c r="E2588">
        <v>0</v>
      </c>
    </row>
    <row r="2589" spans="1:5">
      <c r="A2589">
        <v>99946</v>
      </c>
      <c r="B2589">
        <v>1830197</v>
      </c>
      <c r="C2589" s="5">
        <v>46058</v>
      </c>
      <c r="D2589" t="s">
        <v>458</v>
      </c>
      <c r="E2589">
        <v>0</v>
      </c>
    </row>
    <row r="2590" spans="1:5">
      <c r="A2590">
        <v>99967</v>
      </c>
      <c r="B2590">
        <v>1830197</v>
      </c>
      <c r="C2590" s="5">
        <v>46058</v>
      </c>
      <c r="D2590" t="s">
        <v>458</v>
      </c>
      <c r="E2590">
        <v>0</v>
      </c>
    </row>
    <row r="2591" spans="1:5">
      <c r="A2591">
        <v>99968</v>
      </c>
      <c r="B2591">
        <v>1830197</v>
      </c>
      <c r="C2591" s="5">
        <v>46058</v>
      </c>
      <c r="D2591" t="s">
        <v>458</v>
      </c>
      <c r="E2591">
        <v>0</v>
      </c>
    </row>
    <row r="2592" spans="1:5">
      <c r="A2592">
        <v>99969</v>
      </c>
      <c r="B2592">
        <v>1830197</v>
      </c>
      <c r="C2592" s="5">
        <v>46058</v>
      </c>
      <c r="D2592" t="s">
        <v>458</v>
      </c>
      <c r="E2592">
        <v>0</v>
      </c>
    </row>
    <row r="2593" spans="1:5">
      <c r="A2593">
        <v>99970</v>
      </c>
      <c r="B2593">
        <v>1830197</v>
      </c>
      <c r="C2593" s="5">
        <v>46058</v>
      </c>
      <c r="D2593" t="s">
        <v>458</v>
      </c>
      <c r="E2593">
        <v>1</v>
      </c>
    </row>
    <row r="2594" spans="1:5">
      <c r="A2594">
        <v>99971</v>
      </c>
      <c r="B2594">
        <v>1830197</v>
      </c>
      <c r="C2594" s="5">
        <v>46058</v>
      </c>
      <c r="D2594" t="s">
        <v>458</v>
      </c>
      <c r="E2594">
        <v>4</v>
      </c>
    </row>
    <row r="2595" spans="1:5">
      <c r="A2595">
        <v>99972</v>
      </c>
      <c r="B2595">
        <v>1830197</v>
      </c>
      <c r="C2595" s="5">
        <v>46058</v>
      </c>
      <c r="D2595" t="s">
        <v>458</v>
      </c>
      <c r="E2595">
        <v>0</v>
      </c>
    </row>
    <row r="2596" spans="1:5">
      <c r="A2596">
        <v>99973</v>
      </c>
      <c r="B2596">
        <v>1830197</v>
      </c>
      <c r="C2596" s="5">
        <v>46058</v>
      </c>
      <c r="D2596" t="s">
        <v>458</v>
      </c>
      <c r="E2596">
        <v>0</v>
      </c>
    </row>
    <row r="2597" spans="1:5">
      <c r="A2597">
        <v>99974</v>
      </c>
      <c r="B2597">
        <v>1830197</v>
      </c>
      <c r="C2597" s="5">
        <v>46058</v>
      </c>
      <c r="D2597" t="s">
        <v>458</v>
      </c>
      <c r="E2597">
        <v>0.1</v>
      </c>
    </row>
    <row r="2598" spans="1:5">
      <c r="A2598">
        <v>99977</v>
      </c>
      <c r="B2598">
        <v>1830197</v>
      </c>
      <c r="C2598" s="5">
        <v>46058</v>
      </c>
      <c r="D2598" t="s">
        <v>458</v>
      </c>
      <c r="E2598">
        <v>0</v>
      </c>
    </row>
    <row r="2599" spans="1:5">
      <c r="A2599">
        <v>99978</v>
      </c>
      <c r="B2599">
        <v>1830197</v>
      </c>
      <c r="C2599" s="5">
        <v>46058</v>
      </c>
      <c r="D2599" t="s">
        <v>458</v>
      </c>
      <c r="E2599">
        <v>0</v>
      </c>
    </row>
    <row r="2600" spans="1:5">
      <c r="A2600">
        <v>99979</v>
      </c>
      <c r="B2600">
        <v>1830197</v>
      </c>
      <c r="C2600" s="5">
        <v>46058</v>
      </c>
      <c r="D2600" t="s">
        <v>458</v>
      </c>
      <c r="E2600">
        <v>0</v>
      </c>
    </row>
    <row r="2601" spans="1:5">
      <c r="A2601">
        <v>99980</v>
      </c>
      <c r="B2601">
        <v>1830197</v>
      </c>
      <c r="C2601" s="5">
        <v>46058</v>
      </c>
      <c r="D2601" t="s">
        <v>458</v>
      </c>
      <c r="E2601">
        <v>0</v>
      </c>
    </row>
    <row r="2602" spans="1:5">
      <c r="A2602">
        <v>99981</v>
      </c>
      <c r="B2602">
        <v>1830197</v>
      </c>
      <c r="C2602" s="5">
        <v>46058</v>
      </c>
      <c r="D2602" t="s">
        <v>458</v>
      </c>
      <c r="E2602">
        <v>0</v>
      </c>
    </row>
    <row r="2603" spans="1:5">
      <c r="A2603">
        <v>99982</v>
      </c>
      <c r="B2603">
        <v>1830197</v>
      </c>
      <c r="C2603" s="5">
        <v>46058</v>
      </c>
      <c r="D2603" t="s">
        <v>458</v>
      </c>
      <c r="E2603">
        <v>0</v>
      </c>
    </row>
    <row r="2604" spans="1:5">
      <c r="A2604">
        <v>99983</v>
      </c>
      <c r="B2604">
        <v>1830197</v>
      </c>
      <c r="C2604" s="5">
        <v>46058</v>
      </c>
      <c r="D2604" t="s">
        <v>458</v>
      </c>
      <c r="E2604">
        <v>0</v>
      </c>
    </row>
    <row r="2605" spans="1:5">
      <c r="A2605">
        <v>99984</v>
      </c>
      <c r="B2605">
        <v>1830197</v>
      </c>
      <c r="C2605" s="5">
        <v>46058</v>
      </c>
      <c r="D2605" t="s">
        <v>458</v>
      </c>
      <c r="E2605">
        <v>0</v>
      </c>
    </row>
    <row r="2606" spans="1:5">
      <c r="A2606">
        <v>99985</v>
      </c>
      <c r="B2606">
        <v>1830197</v>
      </c>
      <c r="C2606" s="5">
        <v>46058</v>
      </c>
      <c r="D2606" t="s">
        <v>458</v>
      </c>
      <c r="E2606">
        <v>0</v>
      </c>
    </row>
    <row r="2607" spans="1:5">
      <c r="A2607">
        <v>99988</v>
      </c>
      <c r="B2607">
        <v>1830197</v>
      </c>
      <c r="C2607" s="5">
        <v>46058</v>
      </c>
      <c r="D2607" t="s">
        <v>458</v>
      </c>
      <c r="E2607">
        <v>0</v>
      </c>
    </row>
    <row r="2608" spans="1:5">
      <c r="A2608">
        <v>99989</v>
      </c>
      <c r="B2608">
        <v>1830197</v>
      </c>
      <c r="C2608" s="5">
        <v>46058</v>
      </c>
      <c r="D2608" t="s">
        <v>458</v>
      </c>
      <c r="E2608">
        <v>0</v>
      </c>
    </row>
    <row r="2609" spans="1:5">
      <c r="A2609">
        <v>99990</v>
      </c>
      <c r="B2609">
        <v>1830197</v>
      </c>
      <c r="C2609" s="5">
        <v>46058</v>
      </c>
      <c r="D2609" t="s">
        <v>458</v>
      </c>
      <c r="E2609">
        <v>0</v>
      </c>
    </row>
    <row r="2610" spans="1:5">
      <c r="A2610">
        <v>99991</v>
      </c>
      <c r="B2610">
        <v>1830197</v>
      </c>
      <c r="C2610" s="5">
        <v>46058</v>
      </c>
      <c r="D2610" t="s">
        <v>458</v>
      </c>
      <c r="E2610">
        <v>0</v>
      </c>
    </row>
    <row r="2611" spans="1:5">
      <c r="A2611">
        <v>99992</v>
      </c>
      <c r="B2611">
        <v>1830197</v>
      </c>
      <c r="C2611" s="5">
        <v>46058</v>
      </c>
      <c r="D2611" t="s">
        <v>458</v>
      </c>
      <c r="E2611">
        <v>0</v>
      </c>
    </row>
    <row r="2612" spans="1:5">
      <c r="A2612">
        <v>99993</v>
      </c>
      <c r="B2612">
        <v>1830197</v>
      </c>
      <c r="C2612" s="5">
        <v>46058</v>
      </c>
      <c r="D2612" t="s">
        <v>458</v>
      </c>
      <c r="E2612">
        <v>0</v>
      </c>
    </row>
    <row r="2613" spans="1:5">
      <c r="A2613">
        <v>99994</v>
      </c>
      <c r="B2613">
        <v>1830197</v>
      </c>
      <c r="C2613" s="5">
        <v>46058</v>
      </c>
      <c r="D2613" t="s">
        <v>458</v>
      </c>
      <c r="E2613">
        <v>0</v>
      </c>
    </row>
    <row r="2614" spans="1:5">
      <c r="A2614">
        <v>99995</v>
      </c>
      <c r="B2614">
        <v>1830197</v>
      </c>
      <c r="C2614" s="5">
        <v>46058</v>
      </c>
      <c r="D2614" t="s">
        <v>458</v>
      </c>
      <c r="E2614">
        <v>0</v>
      </c>
    </row>
    <row r="2615" spans="1:5">
      <c r="A2615">
        <v>99996</v>
      </c>
      <c r="B2615">
        <v>1830197</v>
      </c>
      <c r="C2615" s="5">
        <v>46058</v>
      </c>
      <c r="D2615" t="s">
        <v>458</v>
      </c>
      <c r="E2615">
        <v>0</v>
      </c>
    </row>
    <row r="2616" spans="1:5">
      <c r="A2616">
        <v>99999</v>
      </c>
      <c r="B2616">
        <v>1830197</v>
      </c>
      <c r="C2616" s="5">
        <v>46058</v>
      </c>
      <c r="D2616" t="s">
        <v>458</v>
      </c>
      <c r="E2616">
        <v>0</v>
      </c>
    </row>
    <row r="2617" spans="1:5">
      <c r="A2617">
        <v>1</v>
      </c>
      <c r="B2617">
        <v>1830197</v>
      </c>
      <c r="C2617" s="5">
        <v>46059</v>
      </c>
      <c r="D2617" t="s">
        <v>458</v>
      </c>
      <c r="E2617">
        <v>580</v>
      </c>
    </row>
    <row r="2618" spans="1:5">
      <c r="A2618">
        <v>2</v>
      </c>
      <c r="B2618">
        <v>1830197</v>
      </c>
      <c r="C2618" s="5">
        <v>46059</v>
      </c>
      <c r="D2618" t="s">
        <v>458</v>
      </c>
      <c r="E2618">
        <v>109</v>
      </c>
    </row>
    <row r="2619" spans="1:5">
      <c r="A2619">
        <v>3</v>
      </c>
      <c r="B2619">
        <v>1830197</v>
      </c>
      <c r="C2619" s="5">
        <v>46059</v>
      </c>
      <c r="D2619" t="s">
        <v>458</v>
      </c>
      <c r="E2619">
        <v>168</v>
      </c>
    </row>
    <row r="2620" spans="1:5">
      <c r="A2620">
        <v>4</v>
      </c>
      <c r="B2620">
        <v>1830197</v>
      </c>
      <c r="C2620" s="5">
        <v>46059</v>
      </c>
      <c r="D2620" t="s">
        <v>458</v>
      </c>
      <c r="E2620">
        <v>628</v>
      </c>
    </row>
    <row r="2621" spans="1:5">
      <c r="A2621">
        <v>5</v>
      </c>
      <c r="B2621">
        <v>1830197</v>
      </c>
      <c r="C2621" s="5">
        <v>46059</v>
      </c>
      <c r="D2621" t="s">
        <v>458</v>
      </c>
      <c r="E2621">
        <v>248</v>
      </c>
    </row>
    <row r="2622" spans="1:5">
      <c r="A2622">
        <v>6</v>
      </c>
      <c r="B2622">
        <v>1830197</v>
      </c>
      <c r="C2622" s="5">
        <v>46059</v>
      </c>
      <c r="D2622" t="s">
        <v>458</v>
      </c>
      <c r="E2622">
        <v>18</v>
      </c>
    </row>
    <row r="2623" spans="1:5">
      <c r="A2623">
        <v>7</v>
      </c>
      <c r="B2623">
        <v>1830197</v>
      </c>
      <c r="C2623" s="5">
        <v>46059</v>
      </c>
      <c r="D2623" t="s">
        <v>458</v>
      </c>
      <c r="E2623">
        <v>233</v>
      </c>
    </row>
    <row r="2624" spans="1:5">
      <c r="A2624">
        <v>8</v>
      </c>
      <c r="B2624">
        <v>1830197</v>
      </c>
      <c r="C2624" s="5">
        <v>46059</v>
      </c>
      <c r="D2624" t="s">
        <v>458</v>
      </c>
      <c r="E2624">
        <v>0</v>
      </c>
    </row>
    <row r="2625" spans="1:5">
      <c r="A2625">
        <v>9</v>
      </c>
      <c r="B2625">
        <v>1830197</v>
      </c>
      <c r="C2625" s="5">
        <v>46059</v>
      </c>
      <c r="D2625" t="s">
        <v>458</v>
      </c>
      <c r="E2625">
        <v>0</v>
      </c>
    </row>
    <row r="2626" spans="1:5">
      <c r="A2626">
        <v>10</v>
      </c>
      <c r="B2626">
        <v>1830197</v>
      </c>
      <c r="C2626" s="5">
        <v>46059</v>
      </c>
      <c r="D2626" t="s">
        <v>458</v>
      </c>
      <c r="E2626">
        <v>4.2699999999999996</v>
      </c>
    </row>
    <row r="2627" spans="1:5">
      <c r="A2627">
        <v>12</v>
      </c>
      <c r="B2627">
        <v>1830197</v>
      </c>
      <c r="C2627" s="5">
        <v>46059</v>
      </c>
      <c r="D2627" t="s">
        <v>458</v>
      </c>
      <c r="E2627">
        <v>18</v>
      </c>
    </row>
    <row r="2628" spans="1:5">
      <c r="A2628">
        <v>13</v>
      </c>
      <c r="B2628">
        <v>1830197</v>
      </c>
      <c r="C2628" s="5">
        <v>46059</v>
      </c>
      <c r="D2628" t="s">
        <v>458</v>
      </c>
      <c r="E2628">
        <v>704</v>
      </c>
    </row>
    <row r="2629" spans="1:5">
      <c r="A2629">
        <v>19</v>
      </c>
      <c r="B2629">
        <v>1830197</v>
      </c>
      <c r="C2629" s="5">
        <v>46059</v>
      </c>
      <c r="D2629" t="s">
        <v>458</v>
      </c>
      <c r="E2629">
        <v>58.79</v>
      </c>
    </row>
    <row r="2630" spans="1:5">
      <c r="A2630">
        <v>20</v>
      </c>
      <c r="B2630">
        <v>1830197</v>
      </c>
      <c r="C2630" s="5">
        <v>46059</v>
      </c>
      <c r="D2630" t="s">
        <v>458</v>
      </c>
      <c r="E2630">
        <v>378</v>
      </c>
    </row>
    <row r="2631" spans="1:5">
      <c r="A2631">
        <v>21</v>
      </c>
      <c r="B2631">
        <v>1830197</v>
      </c>
      <c r="C2631" s="5">
        <v>46059</v>
      </c>
      <c r="D2631" t="s">
        <v>458</v>
      </c>
      <c r="E2631">
        <v>7.71</v>
      </c>
    </row>
    <row r="2632" spans="1:5">
      <c r="A2632">
        <v>23</v>
      </c>
      <c r="B2632">
        <v>1830197</v>
      </c>
      <c r="C2632" s="5">
        <v>46059</v>
      </c>
      <c r="D2632" t="s">
        <v>458</v>
      </c>
      <c r="E2632">
        <v>138</v>
      </c>
    </row>
    <row r="2633" spans="1:5">
      <c r="A2633">
        <v>26</v>
      </c>
      <c r="B2633">
        <v>1830197</v>
      </c>
      <c r="C2633" s="5">
        <v>46059</v>
      </c>
      <c r="D2633" t="s">
        <v>458</v>
      </c>
      <c r="E2633">
        <v>0.02</v>
      </c>
    </row>
    <row r="2634" spans="1:5">
      <c r="A2634">
        <v>31</v>
      </c>
      <c r="B2634">
        <v>1830197</v>
      </c>
      <c r="C2634" s="5">
        <v>46059</v>
      </c>
      <c r="D2634" t="s">
        <v>458</v>
      </c>
      <c r="E2634">
        <v>0</v>
      </c>
    </row>
    <row r="2635" spans="1:5">
      <c r="A2635">
        <v>33</v>
      </c>
      <c r="B2635">
        <v>1830197</v>
      </c>
      <c r="C2635" s="5">
        <v>46059</v>
      </c>
      <c r="D2635" t="s">
        <v>458</v>
      </c>
      <c r="E2635">
        <v>0</v>
      </c>
    </row>
    <row r="2636" spans="1:5">
      <c r="A2636">
        <v>42</v>
      </c>
      <c r="B2636">
        <v>1830197</v>
      </c>
      <c r="C2636" s="5">
        <v>46059</v>
      </c>
      <c r="D2636" t="s">
        <v>458</v>
      </c>
      <c r="E2636">
        <v>0</v>
      </c>
    </row>
    <row r="2637" spans="1:5">
      <c r="A2637">
        <v>45</v>
      </c>
      <c r="B2637">
        <v>1830197</v>
      </c>
      <c r="C2637" s="5">
        <v>46059</v>
      </c>
      <c r="D2637" t="s">
        <v>458</v>
      </c>
      <c r="E2637">
        <v>4799</v>
      </c>
    </row>
    <row r="2638" spans="1:5">
      <c r="A2638">
        <v>48</v>
      </c>
      <c r="B2638">
        <v>1830197</v>
      </c>
      <c r="C2638" s="5">
        <v>46059</v>
      </c>
      <c r="D2638" t="s">
        <v>458</v>
      </c>
      <c r="E2638">
        <v>0</v>
      </c>
    </row>
    <row r="2639" spans="1:5">
      <c r="A2639">
        <v>50</v>
      </c>
      <c r="B2639">
        <v>1830197</v>
      </c>
      <c r="C2639" s="5">
        <v>46059</v>
      </c>
      <c r="D2639" t="s">
        <v>458</v>
      </c>
      <c r="E2639">
        <v>221</v>
      </c>
    </row>
    <row r="2640" spans="1:5">
      <c r="A2640">
        <v>55</v>
      </c>
      <c r="B2640">
        <v>1830197</v>
      </c>
      <c r="C2640" s="5">
        <v>46059</v>
      </c>
      <c r="D2640" t="s">
        <v>458</v>
      </c>
      <c r="E2640">
        <v>2.93</v>
      </c>
    </row>
    <row r="2641" spans="1:5">
      <c r="A2641">
        <v>56</v>
      </c>
      <c r="B2641">
        <v>1830197</v>
      </c>
      <c r="C2641" s="5">
        <v>46059</v>
      </c>
      <c r="D2641" t="s">
        <v>458</v>
      </c>
      <c r="E2641">
        <v>1.06</v>
      </c>
    </row>
    <row r="2642" spans="1:5">
      <c r="A2642">
        <v>62</v>
      </c>
      <c r="B2642">
        <v>1830197</v>
      </c>
      <c r="C2642" s="5">
        <v>46059</v>
      </c>
      <c r="D2642" t="s">
        <v>458</v>
      </c>
      <c r="E2642">
        <v>0</v>
      </c>
    </row>
    <row r="2643" spans="1:5">
      <c r="A2643">
        <v>63</v>
      </c>
      <c r="B2643">
        <v>1830197</v>
      </c>
      <c r="C2643" s="5">
        <v>46059</v>
      </c>
      <c r="D2643" t="s">
        <v>458</v>
      </c>
      <c r="E2643">
        <v>0</v>
      </c>
    </row>
    <row r="2644" spans="1:5">
      <c r="A2644">
        <v>65</v>
      </c>
      <c r="B2644">
        <v>1830197</v>
      </c>
      <c r="C2644" s="5">
        <v>46059</v>
      </c>
      <c r="D2644" t="s">
        <v>458</v>
      </c>
      <c r="E2644">
        <v>11</v>
      </c>
    </row>
    <row r="2645" spans="1:5">
      <c r="A2645">
        <v>67</v>
      </c>
      <c r="B2645">
        <v>1830197</v>
      </c>
      <c r="C2645" s="5">
        <v>46059</v>
      </c>
      <c r="D2645" t="s">
        <v>458</v>
      </c>
      <c r="E2645">
        <v>0</v>
      </c>
    </row>
    <row r="2646" spans="1:5">
      <c r="A2646">
        <v>69</v>
      </c>
      <c r="B2646">
        <v>1830197</v>
      </c>
      <c r="C2646" s="5">
        <v>46059</v>
      </c>
      <c r="D2646" t="s">
        <v>458</v>
      </c>
      <c r="E2646">
        <v>5</v>
      </c>
    </row>
    <row r="2647" spans="1:5">
      <c r="A2647">
        <v>70</v>
      </c>
      <c r="B2647">
        <v>1830197</v>
      </c>
      <c r="C2647" s="5">
        <v>46059</v>
      </c>
      <c r="D2647" t="s">
        <v>458</v>
      </c>
      <c r="E2647">
        <v>5</v>
      </c>
    </row>
    <row r="2648" spans="1:5">
      <c r="A2648">
        <v>76</v>
      </c>
      <c r="B2648">
        <v>1830197</v>
      </c>
      <c r="C2648" s="5">
        <v>46059</v>
      </c>
      <c r="D2648" t="s">
        <v>458</v>
      </c>
      <c r="E2648">
        <v>22</v>
      </c>
    </row>
    <row r="2649" spans="1:5">
      <c r="A2649">
        <v>86</v>
      </c>
      <c r="B2649">
        <v>1830197</v>
      </c>
      <c r="C2649" s="5">
        <v>46059</v>
      </c>
      <c r="D2649" t="s">
        <v>458</v>
      </c>
      <c r="E2649">
        <v>111</v>
      </c>
    </row>
    <row r="2650" spans="1:5">
      <c r="A2650">
        <v>90</v>
      </c>
      <c r="B2650">
        <v>1830197</v>
      </c>
      <c r="C2650" s="5">
        <v>46059</v>
      </c>
      <c r="D2650" t="s">
        <v>458</v>
      </c>
      <c r="E2650">
        <v>5</v>
      </c>
    </row>
    <row r="2651" spans="1:5">
      <c r="A2651">
        <v>93</v>
      </c>
      <c r="B2651">
        <v>1830197</v>
      </c>
      <c r="C2651" s="5">
        <v>46059</v>
      </c>
      <c r="D2651" t="s">
        <v>458</v>
      </c>
      <c r="E2651">
        <v>0</v>
      </c>
    </row>
    <row r="2652" spans="1:5">
      <c r="A2652">
        <v>94</v>
      </c>
      <c r="B2652">
        <v>1830197</v>
      </c>
      <c r="C2652" s="5">
        <v>46059</v>
      </c>
      <c r="D2652" t="s">
        <v>458</v>
      </c>
      <c r="E2652">
        <v>6</v>
      </c>
    </row>
    <row r="2653" spans="1:5">
      <c r="A2653">
        <v>97</v>
      </c>
      <c r="B2653">
        <v>1830197</v>
      </c>
      <c r="C2653" s="5">
        <v>46059</v>
      </c>
      <c r="D2653" t="s">
        <v>458</v>
      </c>
      <c r="E2653">
        <v>0</v>
      </c>
    </row>
    <row r="2654" spans="1:5">
      <c r="A2654">
        <v>98</v>
      </c>
      <c r="B2654">
        <v>1830197</v>
      </c>
      <c r="C2654" s="5">
        <v>46059</v>
      </c>
      <c r="D2654" t="s">
        <v>458</v>
      </c>
      <c r="E2654">
        <v>0</v>
      </c>
    </row>
    <row r="2655" spans="1:5">
      <c r="A2655">
        <v>101</v>
      </c>
      <c r="B2655">
        <v>1830197</v>
      </c>
      <c r="C2655" s="5">
        <v>46059</v>
      </c>
      <c r="D2655" t="s">
        <v>458</v>
      </c>
      <c r="E2655">
        <v>75</v>
      </c>
    </row>
    <row r="2656" spans="1:5">
      <c r="A2656">
        <v>102</v>
      </c>
      <c r="B2656">
        <v>1830197</v>
      </c>
      <c r="C2656" s="5">
        <v>46059</v>
      </c>
      <c r="D2656" t="s">
        <v>458</v>
      </c>
      <c r="E2656">
        <v>0</v>
      </c>
    </row>
    <row r="2657" spans="1:5">
      <c r="A2657">
        <v>103</v>
      </c>
      <c r="B2657">
        <v>1830197</v>
      </c>
      <c r="C2657" s="5">
        <v>46059</v>
      </c>
      <c r="D2657" t="s">
        <v>458</v>
      </c>
      <c r="E2657">
        <v>8</v>
      </c>
    </row>
    <row r="2658" spans="1:5">
      <c r="A2658">
        <v>109</v>
      </c>
      <c r="B2658">
        <v>1830197</v>
      </c>
      <c r="C2658" s="5">
        <v>46059</v>
      </c>
      <c r="D2658" t="s">
        <v>458</v>
      </c>
      <c r="E2658">
        <v>92</v>
      </c>
    </row>
    <row r="2659" spans="1:5">
      <c r="A2659">
        <v>110</v>
      </c>
      <c r="B2659">
        <v>1830197</v>
      </c>
      <c r="C2659" s="5">
        <v>46059</v>
      </c>
      <c r="D2659" t="s">
        <v>458</v>
      </c>
      <c r="E2659">
        <v>29</v>
      </c>
    </row>
    <row r="2660" spans="1:5">
      <c r="A2660">
        <v>111</v>
      </c>
      <c r="B2660">
        <v>1830197</v>
      </c>
      <c r="C2660" s="5">
        <v>46059</v>
      </c>
      <c r="D2660" t="s">
        <v>458</v>
      </c>
      <c r="E2660">
        <v>78</v>
      </c>
    </row>
    <row r="2661" spans="1:5">
      <c r="A2661">
        <v>116</v>
      </c>
      <c r="B2661">
        <v>1830197</v>
      </c>
      <c r="C2661" s="5">
        <v>46059</v>
      </c>
      <c r="D2661" t="s">
        <v>458</v>
      </c>
      <c r="E2661">
        <v>194</v>
      </c>
    </row>
    <row r="2662" spans="1:5">
      <c r="A2662">
        <v>117</v>
      </c>
      <c r="B2662">
        <v>1830197</v>
      </c>
      <c r="C2662" s="5">
        <v>46059</v>
      </c>
      <c r="D2662" t="s">
        <v>458</v>
      </c>
      <c r="E2662">
        <v>881</v>
      </c>
    </row>
    <row r="2663" spans="1:5">
      <c r="A2663">
        <v>118</v>
      </c>
      <c r="B2663">
        <v>1830197</v>
      </c>
      <c r="C2663" s="5">
        <v>46059</v>
      </c>
      <c r="D2663" t="s">
        <v>458</v>
      </c>
      <c r="E2663">
        <v>0</v>
      </c>
    </row>
    <row r="2664" spans="1:5">
      <c r="A2664">
        <v>127</v>
      </c>
      <c r="B2664">
        <v>1830197</v>
      </c>
      <c r="C2664" s="5">
        <v>46059</v>
      </c>
      <c r="D2664" t="s">
        <v>458</v>
      </c>
      <c r="E2664">
        <v>314</v>
      </c>
    </row>
    <row r="2665" spans="1:5">
      <c r="A2665">
        <v>128</v>
      </c>
      <c r="B2665">
        <v>1830197</v>
      </c>
      <c r="C2665" s="5">
        <v>46059</v>
      </c>
      <c r="D2665" t="s">
        <v>458</v>
      </c>
      <c r="E2665">
        <v>0</v>
      </c>
    </row>
    <row r="2666" spans="1:5">
      <c r="A2666">
        <v>131</v>
      </c>
      <c r="B2666">
        <v>1830197</v>
      </c>
      <c r="C2666" s="5">
        <v>46059</v>
      </c>
      <c r="D2666" t="s">
        <v>458</v>
      </c>
      <c r="E2666">
        <v>0</v>
      </c>
    </row>
    <row r="2667" spans="1:5">
      <c r="A2667">
        <v>141</v>
      </c>
      <c r="B2667">
        <v>1830197</v>
      </c>
      <c r="C2667" s="5">
        <v>46059</v>
      </c>
      <c r="D2667" t="s">
        <v>458</v>
      </c>
      <c r="E2667">
        <v>0</v>
      </c>
    </row>
    <row r="2668" spans="1:5">
      <c r="A2668">
        <v>142</v>
      </c>
      <c r="B2668">
        <v>1830197</v>
      </c>
      <c r="C2668" s="5">
        <v>46059</v>
      </c>
      <c r="D2668" t="s">
        <v>458</v>
      </c>
      <c r="E2668">
        <v>0</v>
      </c>
    </row>
    <row r="2669" spans="1:5">
      <c r="A2669">
        <v>143</v>
      </c>
      <c r="B2669">
        <v>1830197</v>
      </c>
      <c r="C2669" s="5">
        <v>46059</v>
      </c>
      <c r="D2669" t="s">
        <v>458</v>
      </c>
      <c r="E2669">
        <v>0</v>
      </c>
    </row>
    <row r="2670" spans="1:5">
      <c r="A2670">
        <v>155</v>
      </c>
      <c r="B2670">
        <v>1830197</v>
      </c>
      <c r="C2670" s="5">
        <v>46059</v>
      </c>
      <c r="D2670" t="s">
        <v>458</v>
      </c>
      <c r="E2670">
        <v>194</v>
      </c>
    </row>
    <row r="2671" spans="1:5">
      <c r="A2671">
        <v>163</v>
      </c>
      <c r="B2671">
        <v>1830197</v>
      </c>
      <c r="C2671" s="5">
        <v>46059</v>
      </c>
      <c r="D2671" t="s">
        <v>458</v>
      </c>
      <c r="E2671">
        <v>366</v>
      </c>
    </row>
    <row r="2672" spans="1:5">
      <c r="A2672">
        <v>166</v>
      </c>
      <c r="B2672">
        <v>1830197</v>
      </c>
      <c r="C2672" s="5">
        <v>46059</v>
      </c>
      <c r="D2672" t="s">
        <v>458</v>
      </c>
      <c r="E2672">
        <v>23</v>
      </c>
    </row>
    <row r="2673" spans="1:5">
      <c r="A2673">
        <v>168</v>
      </c>
      <c r="B2673">
        <v>1830197</v>
      </c>
      <c r="C2673" s="5">
        <v>46059</v>
      </c>
      <c r="D2673" t="s">
        <v>458</v>
      </c>
      <c r="E2673">
        <v>13</v>
      </c>
    </row>
    <row r="2674" spans="1:5">
      <c r="A2674">
        <v>170</v>
      </c>
      <c r="B2674">
        <v>1830197</v>
      </c>
      <c r="C2674" s="5">
        <v>46059</v>
      </c>
      <c r="D2674" t="s">
        <v>458</v>
      </c>
      <c r="E2674">
        <v>0</v>
      </c>
    </row>
    <row r="2675" spans="1:5">
      <c r="A2675">
        <v>187</v>
      </c>
      <c r="B2675">
        <v>1830197</v>
      </c>
      <c r="C2675" s="5">
        <v>46059</v>
      </c>
      <c r="D2675" t="s">
        <v>458</v>
      </c>
      <c r="E2675">
        <v>14</v>
      </c>
    </row>
    <row r="2676" spans="1:5">
      <c r="A2676">
        <v>193</v>
      </c>
      <c r="B2676">
        <v>1830197</v>
      </c>
      <c r="C2676" s="5">
        <v>46059</v>
      </c>
      <c r="D2676" t="s">
        <v>458</v>
      </c>
      <c r="E2676">
        <v>8313</v>
      </c>
    </row>
    <row r="2677" spans="1:5">
      <c r="A2677">
        <v>205</v>
      </c>
      <c r="B2677">
        <v>1830197</v>
      </c>
      <c r="C2677" s="5">
        <v>46059</v>
      </c>
      <c r="D2677" t="s">
        <v>458</v>
      </c>
      <c r="E2677">
        <v>0</v>
      </c>
    </row>
    <row r="2678" spans="1:5">
      <c r="A2678">
        <v>206</v>
      </c>
      <c r="B2678">
        <v>1830197</v>
      </c>
      <c r="C2678" s="5">
        <v>46059</v>
      </c>
      <c r="D2678" t="s">
        <v>458</v>
      </c>
      <c r="E2678">
        <v>24</v>
      </c>
    </row>
    <row r="2679" spans="1:5">
      <c r="A2679">
        <v>209</v>
      </c>
      <c r="B2679">
        <v>1830197</v>
      </c>
      <c r="C2679" s="5">
        <v>46059</v>
      </c>
      <c r="D2679" t="s">
        <v>458</v>
      </c>
      <c r="E2679">
        <v>0</v>
      </c>
    </row>
    <row r="2680" spans="1:5">
      <c r="A2680">
        <v>210</v>
      </c>
      <c r="B2680">
        <v>1830197</v>
      </c>
      <c r="C2680" s="5">
        <v>46059</v>
      </c>
      <c r="D2680" t="s">
        <v>458</v>
      </c>
      <c r="E2680">
        <v>3</v>
      </c>
    </row>
    <row r="2681" spans="1:5">
      <c r="A2681">
        <v>223</v>
      </c>
      <c r="B2681">
        <v>1830197</v>
      </c>
      <c r="C2681" s="5">
        <v>46059</v>
      </c>
      <c r="D2681" t="s">
        <v>458</v>
      </c>
      <c r="E2681">
        <v>1442</v>
      </c>
    </row>
    <row r="2682" spans="1:5">
      <c r="A2682">
        <v>247</v>
      </c>
      <c r="B2682">
        <v>1830197</v>
      </c>
      <c r="C2682" s="5">
        <v>46059</v>
      </c>
      <c r="D2682" t="s">
        <v>458</v>
      </c>
      <c r="E2682">
        <v>0</v>
      </c>
    </row>
    <row r="2683" spans="1:5">
      <c r="A2683">
        <v>253</v>
      </c>
      <c r="B2683">
        <v>1830197</v>
      </c>
      <c r="C2683" s="5">
        <v>46059</v>
      </c>
      <c r="D2683" t="s">
        <v>458</v>
      </c>
      <c r="E2683">
        <v>8.59</v>
      </c>
    </row>
    <row r="2684" spans="1:5">
      <c r="A2684">
        <v>254</v>
      </c>
      <c r="B2684">
        <v>1830197</v>
      </c>
      <c r="C2684" s="5">
        <v>46059</v>
      </c>
      <c r="D2684" t="s">
        <v>458</v>
      </c>
      <c r="E2684">
        <v>11</v>
      </c>
    </row>
    <row r="2685" spans="1:5">
      <c r="A2685">
        <v>261</v>
      </c>
      <c r="B2685">
        <v>1830197</v>
      </c>
      <c r="C2685" s="5">
        <v>46059</v>
      </c>
      <c r="D2685" t="s">
        <v>458</v>
      </c>
      <c r="E2685">
        <v>17</v>
      </c>
    </row>
    <row r="2686" spans="1:5">
      <c r="A2686">
        <v>262</v>
      </c>
      <c r="B2686">
        <v>1830197</v>
      </c>
      <c r="C2686" s="5">
        <v>46059</v>
      </c>
      <c r="D2686" t="s">
        <v>458</v>
      </c>
      <c r="E2686">
        <v>0</v>
      </c>
    </row>
    <row r="2687" spans="1:5">
      <c r="A2687">
        <v>268</v>
      </c>
      <c r="B2687">
        <v>1830197</v>
      </c>
      <c r="C2687" s="5">
        <v>46059</v>
      </c>
      <c r="D2687" t="s">
        <v>458</v>
      </c>
      <c r="E2687">
        <v>54</v>
      </c>
    </row>
    <row r="2688" spans="1:5">
      <c r="A2688">
        <v>269</v>
      </c>
      <c r="B2688">
        <v>1830197</v>
      </c>
      <c r="C2688" s="5">
        <v>46059</v>
      </c>
      <c r="D2688" t="s">
        <v>458</v>
      </c>
      <c r="E2688">
        <v>66</v>
      </c>
    </row>
    <row r="2689" spans="1:5">
      <c r="A2689">
        <v>284</v>
      </c>
      <c r="B2689">
        <v>1830197</v>
      </c>
      <c r="C2689" s="5">
        <v>46059</v>
      </c>
      <c r="D2689" t="s">
        <v>458</v>
      </c>
      <c r="E2689">
        <v>12</v>
      </c>
    </row>
    <row r="2690" spans="1:5">
      <c r="A2690">
        <v>285</v>
      </c>
      <c r="B2690">
        <v>1830197</v>
      </c>
      <c r="C2690" s="5">
        <v>46059</v>
      </c>
      <c r="D2690" t="s">
        <v>458</v>
      </c>
      <c r="E2690">
        <v>40</v>
      </c>
    </row>
    <row r="2691" spans="1:5">
      <c r="A2691">
        <v>288</v>
      </c>
      <c r="B2691">
        <v>1830197</v>
      </c>
      <c r="C2691" s="5">
        <v>46059</v>
      </c>
      <c r="D2691" t="s">
        <v>458</v>
      </c>
      <c r="E2691">
        <v>46</v>
      </c>
    </row>
    <row r="2692" spans="1:5">
      <c r="A2692">
        <v>289</v>
      </c>
      <c r="B2692">
        <v>1830197</v>
      </c>
      <c r="C2692" s="5">
        <v>46059</v>
      </c>
      <c r="D2692" t="s">
        <v>458</v>
      </c>
      <c r="E2692">
        <v>0</v>
      </c>
    </row>
    <row r="2693" spans="1:5">
      <c r="A2693">
        <v>295</v>
      </c>
      <c r="B2693">
        <v>1830197</v>
      </c>
      <c r="C2693" s="5">
        <v>46059</v>
      </c>
      <c r="D2693" t="s">
        <v>458</v>
      </c>
      <c r="E2693">
        <v>33</v>
      </c>
    </row>
    <row r="2694" spans="1:5">
      <c r="A2694">
        <v>300</v>
      </c>
      <c r="B2694">
        <v>1830197</v>
      </c>
      <c r="C2694" s="5">
        <v>46059</v>
      </c>
      <c r="D2694" t="s">
        <v>458</v>
      </c>
      <c r="E2694">
        <v>0</v>
      </c>
    </row>
    <row r="2695" spans="1:5">
      <c r="A2695">
        <v>311</v>
      </c>
      <c r="B2695">
        <v>1830197</v>
      </c>
      <c r="C2695" s="5">
        <v>46059</v>
      </c>
      <c r="D2695" t="s">
        <v>458</v>
      </c>
      <c r="E2695">
        <v>0</v>
      </c>
    </row>
    <row r="2696" spans="1:5">
      <c r="A2696">
        <v>330</v>
      </c>
      <c r="B2696">
        <v>1830197</v>
      </c>
      <c r="C2696" s="5">
        <v>46059</v>
      </c>
      <c r="D2696" t="s">
        <v>458</v>
      </c>
      <c r="E2696">
        <v>11</v>
      </c>
    </row>
    <row r="2697" spans="1:5">
      <c r="A2697">
        <v>335</v>
      </c>
      <c r="B2697">
        <v>1830197</v>
      </c>
      <c r="C2697" s="5">
        <v>46059</v>
      </c>
      <c r="D2697" t="s">
        <v>458</v>
      </c>
      <c r="E2697">
        <v>17</v>
      </c>
    </row>
    <row r="2698" spans="1:5">
      <c r="A2698">
        <v>336</v>
      </c>
      <c r="B2698">
        <v>1830197</v>
      </c>
      <c r="C2698" s="5">
        <v>46059</v>
      </c>
      <c r="D2698" t="s">
        <v>458</v>
      </c>
      <c r="E2698">
        <v>0</v>
      </c>
    </row>
    <row r="2699" spans="1:5">
      <c r="A2699">
        <v>337</v>
      </c>
      <c r="B2699">
        <v>1830197</v>
      </c>
      <c r="C2699" s="5">
        <v>46059</v>
      </c>
      <c r="D2699" t="s">
        <v>458</v>
      </c>
      <c r="E2699">
        <v>0</v>
      </c>
    </row>
    <row r="2700" spans="1:5">
      <c r="A2700">
        <v>382</v>
      </c>
      <c r="B2700">
        <v>1830197</v>
      </c>
      <c r="C2700" s="5">
        <v>46059</v>
      </c>
      <c r="D2700" t="s">
        <v>458</v>
      </c>
      <c r="E2700">
        <v>4</v>
      </c>
    </row>
    <row r="2701" spans="1:5">
      <c r="A2701">
        <v>385</v>
      </c>
      <c r="B2701">
        <v>1830197</v>
      </c>
      <c r="C2701" s="5">
        <v>46059</v>
      </c>
      <c r="D2701" t="s">
        <v>458</v>
      </c>
      <c r="E2701">
        <v>138</v>
      </c>
    </row>
    <row r="2702" spans="1:5">
      <c r="A2702">
        <v>386</v>
      </c>
      <c r="B2702">
        <v>1830197</v>
      </c>
      <c r="C2702" s="5">
        <v>46059</v>
      </c>
      <c r="D2702" t="s">
        <v>458</v>
      </c>
      <c r="E2702">
        <v>0</v>
      </c>
    </row>
    <row r="2703" spans="1:5">
      <c r="A2703">
        <v>391</v>
      </c>
      <c r="B2703">
        <v>1830197</v>
      </c>
      <c r="C2703" s="5">
        <v>46059</v>
      </c>
      <c r="D2703" t="s">
        <v>458</v>
      </c>
      <c r="E2703">
        <v>0</v>
      </c>
    </row>
    <row r="2704" spans="1:5">
      <c r="A2704">
        <v>397</v>
      </c>
      <c r="B2704">
        <v>1830197</v>
      </c>
      <c r="C2704" s="5">
        <v>46059</v>
      </c>
      <c r="D2704" t="s">
        <v>458</v>
      </c>
      <c r="E2704">
        <v>0</v>
      </c>
    </row>
    <row r="2705" spans="1:5">
      <c r="A2705">
        <v>398</v>
      </c>
      <c r="B2705">
        <v>1830197</v>
      </c>
      <c r="C2705" s="5">
        <v>46059</v>
      </c>
      <c r="D2705" t="s">
        <v>458</v>
      </c>
      <c r="E2705">
        <v>0</v>
      </c>
    </row>
    <row r="2706" spans="1:5">
      <c r="A2706">
        <v>406</v>
      </c>
      <c r="B2706">
        <v>1830197</v>
      </c>
      <c r="C2706" s="5">
        <v>46059</v>
      </c>
      <c r="D2706" t="s">
        <v>458</v>
      </c>
      <c r="E2706">
        <v>0.3</v>
      </c>
    </row>
    <row r="2707" spans="1:5">
      <c r="A2707">
        <v>407</v>
      </c>
      <c r="B2707">
        <v>1830197</v>
      </c>
      <c r="C2707" s="5">
        <v>46059</v>
      </c>
      <c r="D2707" t="s">
        <v>458</v>
      </c>
      <c r="E2707">
        <v>1697</v>
      </c>
    </row>
    <row r="2708" spans="1:5">
      <c r="A2708">
        <v>408</v>
      </c>
      <c r="B2708">
        <v>1830197</v>
      </c>
      <c r="C2708" s="5">
        <v>46059</v>
      </c>
      <c r="D2708" t="s">
        <v>458</v>
      </c>
      <c r="E2708">
        <v>181</v>
      </c>
    </row>
    <row r="2709" spans="1:5">
      <c r="A2709">
        <v>409</v>
      </c>
      <c r="B2709">
        <v>1830197</v>
      </c>
      <c r="C2709" s="5">
        <v>46059</v>
      </c>
      <c r="D2709" t="s">
        <v>458</v>
      </c>
      <c r="E2709">
        <v>0</v>
      </c>
    </row>
    <row r="2710" spans="1:5">
      <c r="A2710">
        <v>410</v>
      </c>
      <c r="B2710">
        <v>1830197</v>
      </c>
      <c r="C2710" s="5">
        <v>46059</v>
      </c>
      <c r="D2710" t="s">
        <v>458</v>
      </c>
      <c r="E2710">
        <v>0</v>
      </c>
    </row>
    <row r="2711" spans="1:5">
      <c r="A2711">
        <v>419</v>
      </c>
      <c r="B2711">
        <v>1830197</v>
      </c>
      <c r="C2711" s="5">
        <v>46059</v>
      </c>
      <c r="D2711" t="s">
        <v>458</v>
      </c>
      <c r="E2711">
        <v>500</v>
      </c>
    </row>
    <row r="2712" spans="1:5">
      <c r="A2712">
        <v>472</v>
      </c>
      <c r="B2712">
        <v>1830197</v>
      </c>
      <c r="C2712" s="5">
        <v>46059</v>
      </c>
      <c r="D2712" t="s">
        <v>458</v>
      </c>
      <c r="E2712">
        <v>0</v>
      </c>
    </row>
    <row r="2713" spans="1:5">
      <c r="A2713">
        <v>483</v>
      </c>
      <c r="B2713">
        <v>1830197</v>
      </c>
      <c r="C2713" s="5">
        <v>46059</v>
      </c>
      <c r="D2713" t="s">
        <v>458</v>
      </c>
      <c r="E2713">
        <v>212</v>
      </c>
    </row>
    <row r="2714" spans="1:5">
      <c r="A2714">
        <v>591</v>
      </c>
      <c r="B2714">
        <v>1830197</v>
      </c>
      <c r="C2714" s="5">
        <v>46059</v>
      </c>
      <c r="D2714" t="s">
        <v>458</v>
      </c>
      <c r="E2714">
        <v>45</v>
      </c>
    </row>
    <row r="2715" spans="1:5">
      <c r="A2715">
        <v>592</v>
      </c>
      <c r="B2715">
        <v>1830197</v>
      </c>
      <c r="C2715" s="5">
        <v>46059</v>
      </c>
      <c r="D2715" t="s">
        <v>458</v>
      </c>
      <c r="E2715">
        <v>115</v>
      </c>
    </row>
    <row r="2716" spans="1:5">
      <c r="A2716">
        <v>609</v>
      </c>
      <c r="B2716">
        <v>1830197</v>
      </c>
      <c r="C2716" s="5">
        <v>46059</v>
      </c>
      <c r="D2716" t="s">
        <v>458</v>
      </c>
      <c r="E2716">
        <v>262</v>
      </c>
    </row>
    <row r="2717" spans="1:5">
      <c r="A2717">
        <v>708</v>
      </c>
      <c r="B2717">
        <v>1830197</v>
      </c>
      <c r="C2717" s="5">
        <v>46059</v>
      </c>
      <c r="D2717" t="s">
        <v>458</v>
      </c>
      <c r="E2717">
        <v>6</v>
      </c>
    </row>
    <row r="2718" spans="1:5">
      <c r="A2718">
        <v>731</v>
      </c>
      <c r="B2718">
        <v>1830197</v>
      </c>
      <c r="C2718" s="5">
        <v>46059</v>
      </c>
      <c r="D2718" t="s">
        <v>458</v>
      </c>
      <c r="E2718">
        <v>0</v>
      </c>
    </row>
    <row r="2719" spans="1:5">
      <c r="A2719">
        <v>736</v>
      </c>
      <c r="B2719">
        <v>1830197</v>
      </c>
      <c r="C2719" s="5">
        <v>46059</v>
      </c>
      <c r="D2719" t="s">
        <v>458</v>
      </c>
      <c r="E2719">
        <v>91</v>
      </c>
    </row>
    <row r="2720" spans="1:5">
      <c r="A2720">
        <v>803</v>
      </c>
      <c r="B2720">
        <v>1830197</v>
      </c>
      <c r="C2720" s="5">
        <v>46059</v>
      </c>
      <c r="D2720" t="s">
        <v>458</v>
      </c>
      <c r="E2720">
        <v>0</v>
      </c>
    </row>
    <row r="2721" spans="1:5">
      <c r="A2721">
        <v>804</v>
      </c>
      <c r="B2721">
        <v>1830197</v>
      </c>
      <c r="C2721" s="5">
        <v>46059</v>
      </c>
      <c r="D2721" t="s">
        <v>458</v>
      </c>
      <c r="E2721">
        <v>0</v>
      </c>
    </row>
    <row r="2722" spans="1:5">
      <c r="A2722">
        <v>808</v>
      </c>
      <c r="B2722">
        <v>1830197</v>
      </c>
      <c r="C2722" s="5">
        <v>46059</v>
      </c>
      <c r="D2722" t="s">
        <v>458</v>
      </c>
      <c r="E2722">
        <v>24</v>
      </c>
    </row>
    <row r="2723" spans="1:5">
      <c r="A2723">
        <v>821</v>
      </c>
      <c r="B2723">
        <v>1830197</v>
      </c>
      <c r="C2723" s="5">
        <v>46059</v>
      </c>
      <c r="D2723" t="s">
        <v>458</v>
      </c>
      <c r="E2723">
        <v>524</v>
      </c>
    </row>
    <row r="2724" spans="1:5">
      <c r="A2724">
        <v>880</v>
      </c>
      <c r="B2724">
        <v>1830197</v>
      </c>
      <c r="C2724" s="5">
        <v>46059</v>
      </c>
      <c r="D2724" t="s">
        <v>458</v>
      </c>
      <c r="E2724">
        <v>0</v>
      </c>
    </row>
    <row r="2725" spans="1:5">
      <c r="A2725">
        <v>894</v>
      </c>
      <c r="B2725">
        <v>1830197</v>
      </c>
      <c r="C2725" s="5">
        <v>46059</v>
      </c>
      <c r="D2725" t="s">
        <v>458</v>
      </c>
      <c r="E2725">
        <v>0</v>
      </c>
    </row>
    <row r="2726" spans="1:5">
      <c r="A2726">
        <v>994</v>
      </c>
      <c r="B2726">
        <v>1830197</v>
      </c>
      <c r="C2726" s="5">
        <v>46059</v>
      </c>
      <c r="D2726" t="s">
        <v>458</v>
      </c>
      <c r="E2726">
        <v>0</v>
      </c>
    </row>
    <row r="2727" spans="1:5">
      <c r="A2727">
        <v>995</v>
      </c>
      <c r="B2727">
        <v>1830197</v>
      </c>
      <c r="C2727" s="5">
        <v>46059</v>
      </c>
      <c r="D2727" t="s">
        <v>458</v>
      </c>
      <c r="E2727">
        <v>0</v>
      </c>
    </row>
    <row r="2728" spans="1:5">
      <c r="A2728">
        <v>996</v>
      </c>
      <c r="B2728">
        <v>1830197</v>
      </c>
      <c r="C2728" s="5">
        <v>46059</v>
      </c>
      <c r="D2728" t="s">
        <v>458</v>
      </c>
      <c r="E2728">
        <v>0</v>
      </c>
    </row>
    <row r="2729" spans="1:5">
      <c r="A2729">
        <v>997</v>
      </c>
      <c r="B2729">
        <v>1830197</v>
      </c>
      <c r="C2729" s="5">
        <v>46059</v>
      </c>
      <c r="D2729" t="s">
        <v>458</v>
      </c>
      <c r="E2729">
        <v>0</v>
      </c>
    </row>
    <row r="2730" spans="1:5">
      <c r="A2730">
        <v>1007</v>
      </c>
      <c r="B2730">
        <v>1830197</v>
      </c>
      <c r="C2730" s="5">
        <v>46059</v>
      </c>
      <c r="D2730" t="s">
        <v>458</v>
      </c>
      <c r="E2730">
        <v>1.97</v>
      </c>
    </row>
    <row r="2731" spans="1:5">
      <c r="A2731">
        <v>1116</v>
      </c>
      <c r="B2731">
        <v>1830197</v>
      </c>
      <c r="C2731" s="5">
        <v>46059</v>
      </c>
      <c r="D2731" t="s">
        <v>458</v>
      </c>
      <c r="E2731">
        <v>35</v>
      </c>
    </row>
    <row r="2732" spans="1:5">
      <c r="A2732">
        <v>1125</v>
      </c>
      <c r="B2732">
        <v>1830197</v>
      </c>
      <c r="C2732" s="5">
        <v>46059</v>
      </c>
      <c r="D2732" t="s">
        <v>458</v>
      </c>
      <c r="E2732">
        <v>77</v>
      </c>
    </row>
    <row r="2733" spans="1:5">
      <c r="A2733">
        <v>1127</v>
      </c>
      <c r="B2733">
        <v>1830197</v>
      </c>
      <c r="C2733" s="5">
        <v>46059</v>
      </c>
      <c r="D2733" t="s">
        <v>458</v>
      </c>
      <c r="E2733">
        <v>0</v>
      </c>
    </row>
    <row r="2734" spans="1:5">
      <c r="A2734">
        <v>1131</v>
      </c>
      <c r="B2734">
        <v>1830197</v>
      </c>
      <c r="C2734" s="5">
        <v>46059</v>
      </c>
      <c r="D2734" t="s">
        <v>458</v>
      </c>
      <c r="E2734">
        <v>0</v>
      </c>
    </row>
    <row r="2735" spans="1:5">
      <c r="A2735">
        <v>1139</v>
      </c>
      <c r="B2735">
        <v>1830197</v>
      </c>
      <c r="C2735" s="5">
        <v>46059</v>
      </c>
      <c r="D2735" t="s">
        <v>458</v>
      </c>
      <c r="E2735">
        <v>565</v>
      </c>
    </row>
    <row r="2736" spans="1:5">
      <c r="A2736">
        <v>1146</v>
      </c>
      <c r="B2736">
        <v>1830197</v>
      </c>
      <c r="C2736" s="5">
        <v>46059</v>
      </c>
      <c r="D2736" t="s">
        <v>458</v>
      </c>
      <c r="E2736">
        <v>73</v>
      </c>
    </row>
    <row r="2737" spans="1:5">
      <c r="A2737">
        <v>1179</v>
      </c>
      <c r="B2737">
        <v>1830197</v>
      </c>
      <c r="C2737" s="5">
        <v>46059</v>
      </c>
      <c r="D2737" t="s">
        <v>458</v>
      </c>
      <c r="E2737">
        <v>35</v>
      </c>
    </row>
    <row r="2738" spans="1:5">
      <c r="A2738">
        <v>1224</v>
      </c>
      <c r="B2738">
        <v>1830197</v>
      </c>
      <c r="C2738" s="5">
        <v>46059</v>
      </c>
      <c r="D2738" t="s">
        <v>458</v>
      </c>
      <c r="E2738">
        <v>0</v>
      </c>
    </row>
    <row r="2739" spans="1:5">
      <c r="A2739">
        <v>1242</v>
      </c>
      <c r="B2739">
        <v>1830197</v>
      </c>
      <c r="C2739" s="5">
        <v>46059</v>
      </c>
      <c r="D2739" t="s">
        <v>458</v>
      </c>
      <c r="E2739">
        <v>237</v>
      </c>
    </row>
    <row r="2740" spans="1:5">
      <c r="A2740">
        <v>1243</v>
      </c>
      <c r="B2740">
        <v>1830197</v>
      </c>
      <c r="C2740" s="5">
        <v>46059</v>
      </c>
      <c r="D2740" t="s">
        <v>458</v>
      </c>
      <c r="E2740">
        <v>0</v>
      </c>
    </row>
    <row r="2741" spans="1:5">
      <c r="A2741">
        <v>1244</v>
      </c>
      <c r="B2741">
        <v>1830197</v>
      </c>
      <c r="C2741" s="5">
        <v>46059</v>
      </c>
      <c r="D2741" t="s">
        <v>458</v>
      </c>
      <c r="E2741">
        <v>0</v>
      </c>
    </row>
    <row r="2742" spans="1:5">
      <c r="A2742">
        <v>1245</v>
      </c>
      <c r="B2742">
        <v>1830197</v>
      </c>
      <c r="C2742" s="5">
        <v>46059</v>
      </c>
      <c r="D2742" t="s">
        <v>458</v>
      </c>
      <c r="E2742">
        <v>0</v>
      </c>
    </row>
    <row r="2743" spans="1:5">
      <c r="A2743">
        <v>1394</v>
      </c>
      <c r="B2743">
        <v>1830197</v>
      </c>
      <c r="C2743" s="5">
        <v>46059</v>
      </c>
      <c r="D2743" t="s">
        <v>458</v>
      </c>
      <c r="E2743">
        <v>0</v>
      </c>
    </row>
    <row r="2744" spans="1:5">
      <c r="A2744">
        <v>1441</v>
      </c>
      <c r="B2744">
        <v>1830197</v>
      </c>
      <c r="C2744" s="5">
        <v>46059</v>
      </c>
      <c r="D2744" t="s">
        <v>458</v>
      </c>
      <c r="E2744">
        <v>125</v>
      </c>
    </row>
    <row r="2745" spans="1:5">
      <c r="A2745">
        <v>1494</v>
      </c>
      <c r="B2745">
        <v>1830197</v>
      </c>
      <c r="C2745" s="5">
        <v>46059</v>
      </c>
      <c r="D2745" t="s">
        <v>458</v>
      </c>
      <c r="E2745">
        <v>0</v>
      </c>
    </row>
    <row r="2746" spans="1:5">
      <c r="A2746">
        <v>1503</v>
      </c>
      <c r="B2746">
        <v>1830197</v>
      </c>
      <c r="C2746" s="5">
        <v>46059</v>
      </c>
      <c r="D2746" t="s">
        <v>458</v>
      </c>
      <c r="E2746">
        <v>0.14000000000000001</v>
      </c>
    </row>
    <row r="2747" spans="1:5">
      <c r="A2747">
        <v>1541</v>
      </c>
      <c r="B2747">
        <v>1830197</v>
      </c>
      <c r="C2747" s="5">
        <v>46059</v>
      </c>
      <c r="D2747" t="s">
        <v>458</v>
      </c>
      <c r="E2747">
        <v>1</v>
      </c>
    </row>
    <row r="2748" spans="1:5">
      <c r="A2748">
        <v>1637</v>
      </c>
      <c r="B2748">
        <v>1830197</v>
      </c>
      <c r="C2748" s="5">
        <v>46059</v>
      </c>
      <c r="D2748" t="s">
        <v>458</v>
      </c>
      <c r="E2748">
        <v>875</v>
      </c>
    </row>
    <row r="2749" spans="1:5">
      <c r="A2749">
        <v>1782</v>
      </c>
      <c r="B2749">
        <v>1830197</v>
      </c>
      <c r="C2749" s="5">
        <v>46059</v>
      </c>
      <c r="D2749" t="s">
        <v>458</v>
      </c>
      <c r="E2749">
        <v>0</v>
      </c>
    </row>
    <row r="2750" spans="1:5">
      <c r="A2750">
        <v>1798</v>
      </c>
      <c r="B2750">
        <v>1830197</v>
      </c>
      <c r="C2750" s="5">
        <v>46059</v>
      </c>
      <c r="D2750" t="s">
        <v>458</v>
      </c>
      <c r="E2750">
        <v>0</v>
      </c>
    </row>
    <row r="2751" spans="1:5">
      <c r="A2751">
        <v>1799</v>
      </c>
      <c r="B2751">
        <v>1830197</v>
      </c>
      <c r="C2751" s="5">
        <v>46059</v>
      </c>
      <c r="D2751" t="s">
        <v>458</v>
      </c>
      <c r="E2751">
        <v>0</v>
      </c>
    </row>
    <row r="2752" spans="1:5">
      <c r="A2752">
        <v>1811</v>
      </c>
      <c r="B2752">
        <v>1830197</v>
      </c>
      <c r="C2752" s="5">
        <v>46059</v>
      </c>
      <c r="D2752" t="s">
        <v>458</v>
      </c>
      <c r="E2752">
        <v>0</v>
      </c>
    </row>
    <row r="2753" spans="1:5">
      <c r="A2753">
        <v>1812</v>
      </c>
      <c r="B2753">
        <v>1830197</v>
      </c>
      <c r="C2753" s="5">
        <v>46059</v>
      </c>
      <c r="D2753" t="s">
        <v>458</v>
      </c>
      <c r="E2753">
        <v>0</v>
      </c>
    </row>
    <row r="2754" spans="1:5">
      <c r="A2754">
        <v>1850</v>
      </c>
      <c r="B2754">
        <v>1830197</v>
      </c>
      <c r="C2754" s="5">
        <v>46059</v>
      </c>
      <c r="D2754" t="s">
        <v>458</v>
      </c>
      <c r="E2754">
        <v>0</v>
      </c>
    </row>
    <row r="2755" spans="1:5">
      <c r="A2755">
        <v>1863</v>
      </c>
      <c r="B2755">
        <v>1830197</v>
      </c>
      <c r="C2755" s="5">
        <v>46059</v>
      </c>
      <c r="D2755" t="s">
        <v>458</v>
      </c>
      <c r="E2755">
        <v>0</v>
      </c>
    </row>
    <row r="2756" spans="1:5">
      <c r="A2756">
        <v>1870</v>
      </c>
      <c r="B2756">
        <v>1830197</v>
      </c>
      <c r="C2756" s="5">
        <v>46059</v>
      </c>
      <c r="D2756" t="s">
        <v>458</v>
      </c>
      <c r="E2756">
        <v>0</v>
      </c>
    </row>
    <row r="2757" spans="1:5">
      <c r="A2757">
        <v>1912</v>
      </c>
      <c r="B2757">
        <v>1830197</v>
      </c>
      <c r="C2757" s="5">
        <v>46059</v>
      </c>
      <c r="D2757" t="s">
        <v>458</v>
      </c>
      <c r="E2757">
        <v>0</v>
      </c>
    </row>
    <row r="2758" spans="1:5">
      <c r="A2758">
        <v>2016</v>
      </c>
      <c r="B2758">
        <v>1830197</v>
      </c>
      <c r="C2758" s="5">
        <v>46059</v>
      </c>
      <c r="D2758" t="s">
        <v>458</v>
      </c>
      <c r="E2758">
        <v>0</v>
      </c>
    </row>
    <row r="2759" spans="1:5">
      <c r="A2759">
        <v>2254</v>
      </c>
      <c r="B2759">
        <v>1830197</v>
      </c>
      <c r="C2759" s="5">
        <v>46059</v>
      </c>
      <c r="D2759" t="s">
        <v>458</v>
      </c>
      <c r="E2759">
        <v>8</v>
      </c>
    </row>
    <row r="2760" spans="1:5">
      <c r="A2760">
        <v>2255</v>
      </c>
      <c r="B2760">
        <v>1830197</v>
      </c>
      <c r="C2760" s="5">
        <v>46059</v>
      </c>
      <c r="D2760" t="s">
        <v>458</v>
      </c>
      <c r="E2760">
        <v>10</v>
      </c>
    </row>
    <row r="2761" spans="1:5">
      <c r="A2761">
        <v>2399</v>
      </c>
      <c r="B2761">
        <v>1830197</v>
      </c>
      <c r="C2761" s="5">
        <v>46059</v>
      </c>
      <c r="D2761" t="s">
        <v>458</v>
      </c>
      <c r="E2761">
        <v>8.58</v>
      </c>
    </row>
    <row r="2762" spans="1:5">
      <c r="A2762">
        <v>2441</v>
      </c>
      <c r="B2762">
        <v>1830197</v>
      </c>
      <c r="C2762" s="5">
        <v>46059</v>
      </c>
      <c r="D2762" t="s">
        <v>458</v>
      </c>
      <c r="E2762">
        <v>0</v>
      </c>
    </row>
    <row r="2763" spans="1:5">
      <c r="A2763">
        <v>2442</v>
      </c>
      <c r="B2763">
        <v>1830197</v>
      </c>
      <c r="C2763" s="5">
        <v>46059</v>
      </c>
      <c r="D2763" t="s">
        <v>458</v>
      </c>
      <c r="E2763">
        <v>0</v>
      </c>
    </row>
    <row r="2764" spans="1:5">
      <c r="A2764">
        <v>2481</v>
      </c>
      <c r="B2764">
        <v>1830197</v>
      </c>
      <c r="C2764" s="5">
        <v>46059</v>
      </c>
      <c r="D2764" t="s">
        <v>458</v>
      </c>
      <c r="E2764">
        <v>0</v>
      </c>
    </row>
    <row r="2765" spans="1:5">
      <c r="A2765">
        <v>2540</v>
      </c>
      <c r="B2765">
        <v>1830197</v>
      </c>
      <c r="C2765" s="5">
        <v>46059</v>
      </c>
      <c r="D2765" t="s">
        <v>458</v>
      </c>
      <c r="E2765">
        <v>14</v>
      </c>
    </row>
    <row r="2766" spans="1:5">
      <c r="A2766">
        <v>2549</v>
      </c>
      <c r="B2766">
        <v>1830197</v>
      </c>
      <c r="C2766" s="5">
        <v>46059</v>
      </c>
      <c r="D2766" t="s">
        <v>458</v>
      </c>
      <c r="E2766">
        <v>308</v>
      </c>
    </row>
    <row r="2767" spans="1:5">
      <c r="A2767">
        <v>2550</v>
      </c>
      <c r="B2767">
        <v>1830197</v>
      </c>
      <c r="C2767" s="5">
        <v>46059</v>
      </c>
      <c r="D2767" t="s">
        <v>458</v>
      </c>
      <c r="E2767">
        <v>12</v>
      </c>
    </row>
    <row r="2768" spans="1:5">
      <c r="A2768">
        <v>2589</v>
      </c>
      <c r="B2768">
        <v>1830197</v>
      </c>
      <c r="C2768" s="5">
        <v>46059</v>
      </c>
      <c r="D2768" t="s">
        <v>458</v>
      </c>
      <c r="E2768">
        <v>0</v>
      </c>
    </row>
    <row r="2769" spans="1:5">
      <c r="A2769">
        <v>2590</v>
      </c>
      <c r="B2769">
        <v>1830197</v>
      </c>
      <c r="C2769" s="5">
        <v>46059</v>
      </c>
      <c r="D2769" t="s">
        <v>458</v>
      </c>
      <c r="E2769">
        <v>0</v>
      </c>
    </row>
    <row r="2770" spans="1:5">
      <c r="A2770">
        <v>2591</v>
      </c>
      <c r="B2770">
        <v>1830197</v>
      </c>
      <c r="C2770" s="5">
        <v>46059</v>
      </c>
      <c r="D2770" t="s">
        <v>458</v>
      </c>
      <c r="E2770">
        <v>10</v>
      </c>
    </row>
    <row r="2771" spans="1:5">
      <c r="A2771">
        <v>2601</v>
      </c>
      <c r="B2771">
        <v>1830197</v>
      </c>
      <c r="C2771" s="5">
        <v>46059</v>
      </c>
      <c r="D2771" t="s">
        <v>458</v>
      </c>
      <c r="E2771">
        <v>0.1</v>
      </c>
    </row>
    <row r="2772" spans="1:5">
      <c r="A2772">
        <v>2679</v>
      </c>
      <c r="B2772">
        <v>1830197</v>
      </c>
      <c r="C2772" s="5">
        <v>46059</v>
      </c>
      <c r="D2772" t="s">
        <v>458</v>
      </c>
      <c r="E2772">
        <v>-2.19</v>
      </c>
    </row>
    <row r="2773" spans="1:5">
      <c r="A2773">
        <v>2683</v>
      </c>
      <c r="B2773">
        <v>1830197</v>
      </c>
      <c r="C2773" s="5">
        <v>46059</v>
      </c>
      <c r="D2773" t="s">
        <v>458</v>
      </c>
      <c r="E2773">
        <v>0</v>
      </c>
    </row>
    <row r="2774" spans="1:5">
      <c r="A2774">
        <v>2684</v>
      </c>
      <c r="B2774">
        <v>1830197</v>
      </c>
      <c r="C2774" s="5">
        <v>46059</v>
      </c>
      <c r="D2774" t="s">
        <v>458</v>
      </c>
      <c r="E2774">
        <v>0</v>
      </c>
    </row>
    <row r="2775" spans="1:5">
      <c r="A2775">
        <v>2685</v>
      </c>
      <c r="B2775">
        <v>1830197</v>
      </c>
      <c r="C2775" s="5">
        <v>46059</v>
      </c>
      <c r="D2775" t="s">
        <v>458</v>
      </c>
      <c r="E2775">
        <v>0</v>
      </c>
    </row>
    <row r="2776" spans="1:5">
      <c r="A2776">
        <v>2784</v>
      </c>
      <c r="B2776">
        <v>1830197</v>
      </c>
      <c r="C2776" s="5">
        <v>46059</v>
      </c>
      <c r="D2776" t="s">
        <v>458</v>
      </c>
      <c r="E2776">
        <v>11.33</v>
      </c>
    </row>
    <row r="2777" spans="1:5">
      <c r="A2777">
        <v>2785</v>
      </c>
      <c r="B2777">
        <v>1830197</v>
      </c>
      <c r="C2777" s="5">
        <v>46059</v>
      </c>
      <c r="D2777" t="s">
        <v>458</v>
      </c>
      <c r="E2777">
        <v>0</v>
      </c>
    </row>
    <row r="2778" spans="1:5">
      <c r="A2778">
        <v>2786</v>
      </c>
      <c r="B2778">
        <v>1830197</v>
      </c>
      <c r="C2778" s="5">
        <v>46059</v>
      </c>
      <c r="D2778" t="s">
        <v>458</v>
      </c>
      <c r="E2778">
        <v>0</v>
      </c>
    </row>
    <row r="2779" spans="1:5">
      <c r="A2779">
        <v>2787</v>
      </c>
      <c r="B2779">
        <v>1830197</v>
      </c>
      <c r="C2779" s="5">
        <v>46059</v>
      </c>
      <c r="D2779" t="s">
        <v>458</v>
      </c>
      <c r="E2779">
        <v>6</v>
      </c>
    </row>
    <row r="2780" spans="1:5">
      <c r="A2780">
        <v>2814</v>
      </c>
      <c r="B2780">
        <v>1830197</v>
      </c>
      <c r="C2780" s="5">
        <v>46059</v>
      </c>
      <c r="D2780" t="s">
        <v>458</v>
      </c>
      <c r="E2780">
        <v>0</v>
      </c>
    </row>
    <row r="2781" spans="1:5">
      <c r="A2781">
        <v>2815</v>
      </c>
      <c r="B2781">
        <v>1830197</v>
      </c>
      <c r="C2781" s="5">
        <v>46059</v>
      </c>
      <c r="D2781" t="s">
        <v>458</v>
      </c>
      <c r="E2781">
        <v>0</v>
      </c>
    </row>
    <row r="2782" spans="1:5">
      <c r="A2782">
        <v>2816</v>
      </c>
      <c r="B2782">
        <v>1830197</v>
      </c>
      <c r="C2782" s="5">
        <v>46059</v>
      </c>
      <c r="D2782" t="s">
        <v>458</v>
      </c>
      <c r="E2782">
        <v>0</v>
      </c>
    </row>
    <row r="2783" spans="1:5">
      <c r="A2783">
        <v>2817</v>
      </c>
      <c r="B2783">
        <v>1830197</v>
      </c>
      <c r="C2783" s="5">
        <v>46059</v>
      </c>
      <c r="D2783" t="s">
        <v>458</v>
      </c>
      <c r="E2783">
        <v>0</v>
      </c>
    </row>
    <row r="2784" spans="1:5">
      <c r="A2784">
        <v>2856</v>
      </c>
      <c r="B2784">
        <v>1830197</v>
      </c>
      <c r="C2784" s="5">
        <v>46059</v>
      </c>
      <c r="D2784" t="s">
        <v>458</v>
      </c>
      <c r="E2784">
        <v>0</v>
      </c>
    </row>
    <row r="2785" spans="1:5">
      <c r="A2785">
        <v>2872</v>
      </c>
      <c r="B2785">
        <v>1830197</v>
      </c>
      <c r="C2785" s="5">
        <v>46059</v>
      </c>
      <c r="D2785" t="s">
        <v>458</v>
      </c>
      <c r="E2785">
        <v>0</v>
      </c>
    </row>
    <row r="2786" spans="1:5">
      <c r="A2786">
        <v>2956</v>
      </c>
      <c r="B2786">
        <v>1830197</v>
      </c>
      <c r="C2786" s="5">
        <v>46059</v>
      </c>
      <c r="D2786" t="s">
        <v>458</v>
      </c>
      <c r="E2786">
        <v>0.14000000000000001</v>
      </c>
    </row>
    <row r="2787" spans="1:5">
      <c r="A2787">
        <v>2963</v>
      </c>
      <c r="B2787">
        <v>1830197</v>
      </c>
      <c r="C2787" s="5">
        <v>46059</v>
      </c>
      <c r="D2787" t="s">
        <v>458</v>
      </c>
      <c r="E2787">
        <v>0</v>
      </c>
    </row>
    <row r="2788" spans="1:5">
      <c r="A2788">
        <v>3034</v>
      </c>
      <c r="B2788">
        <v>1830197</v>
      </c>
      <c r="C2788" s="5">
        <v>46059</v>
      </c>
      <c r="D2788" t="s">
        <v>458</v>
      </c>
      <c r="E2788">
        <v>43</v>
      </c>
    </row>
    <row r="2789" spans="1:5">
      <c r="A2789">
        <v>3087</v>
      </c>
      <c r="B2789">
        <v>1830197</v>
      </c>
      <c r="C2789" s="5">
        <v>46059</v>
      </c>
      <c r="D2789" t="s">
        <v>458</v>
      </c>
      <c r="E2789">
        <v>311</v>
      </c>
    </row>
    <row r="2790" spans="1:5">
      <c r="A2790">
        <v>3143</v>
      </c>
      <c r="B2790">
        <v>1830197</v>
      </c>
      <c r="C2790" s="5">
        <v>46059</v>
      </c>
      <c r="D2790" t="s">
        <v>458</v>
      </c>
      <c r="E2790">
        <v>0</v>
      </c>
    </row>
    <row r="2791" spans="1:5">
      <c r="A2791">
        <v>3206</v>
      </c>
      <c r="B2791">
        <v>1830197</v>
      </c>
      <c r="C2791" s="5">
        <v>46059</v>
      </c>
      <c r="D2791" t="s">
        <v>458</v>
      </c>
      <c r="E2791">
        <v>0</v>
      </c>
    </row>
    <row r="2792" spans="1:5">
      <c r="A2792">
        <v>3236</v>
      </c>
      <c r="B2792">
        <v>1830197</v>
      </c>
      <c r="C2792" s="5">
        <v>46059</v>
      </c>
      <c r="D2792" t="s">
        <v>458</v>
      </c>
      <c r="E2792">
        <v>155</v>
      </c>
    </row>
    <row r="2793" spans="1:5">
      <c r="A2793">
        <v>3278</v>
      </c>
      <c r="B2793">
        <v>1830197</v>
      </c>
      <c r="C2793" s="5">
        <v>46059</v>
      </c>
      <c r="D2793" t="s">
        <v>458</v>
      </c>
      <c r="E2793">
        <v>262</v>
      </c>
    </row>
    <row r="2794" spans="1:5">
      <c r="A2794">
        <v>3297</v>
      </c>
      <c r="B2794">
        <v>1830197</v>
      </c>
      <c r="C2794" s="5">
        <v>46059</v>
      </c>
      <c r="D2794" t="s">
        <v>458</v>
      </c>
      <c r="E2794">
        <v>0</v>
      </c>
    </row>
    <row r="2795" spans="1:5">
      <c r="A2795">
        <v>3309</v>
      </c>
      <c r="B2795">
        <v>1830197</v>
      </c>
      <c r="C2795" s="5">
        <v>46059</v>
      </c>
      <c r="D2795" t="s">
        <v>458</v>
      </c>
      <c r="E2795">
        <v>87</v>
      </c>
    </row>
    <row r="2796" spans="1:5">
      <c r="A2796">
        <v>3423</v>
      </c>
      <c r="B2796">
        <v>1830197</v>
      </c>
      <c r="C2796" s="5">
        <v>46059</v>
      </c>
      <c r="D2796" t="s">
        <v>458</v>
      </c>
      <c r="E2796">
        <v>0.2</v>
      </c>
    </row>
    <row r="2797" spans="1:5">
      <c r="A2797">
        <v>3439</v>
      </c>
      <c r="B2797">
        <v>1830197</v>
      </c>
      <c r="C2797" s="5">
        <v>46059</v>
      </c>
      <c r="D2797" t="s">
        <v>458</v>
      </c>
      <c r="E2797">
        <v>0</v>
      </c>
    </row>
    <row r="2798" spans="1:5">
      <c r="A2798">
        <v>3471</v>
      </c>
      <c r="B2798">
        <v>1830197</v>
      </c>
      <c r="C2798" s="5">
        <v>46059</v>
      </c>
      <c r="D2798" t="s">
        <v>458</v>
      </c>
      <c r="E2798">
        <v>1.8</v>
      </c>
    </row>
    <row r="2799" spans="1:5">
      <c r="A2799">
        <v>3488</v>
      </c>
      <c r="B2799">
        <v>1830197</v>
      </c>
      <c r="C2799" s="5">
        <v>46059</v>
      </c>
      <c r="D2799" t="s">
        <v>458</v>
      </c>
      <c r="E2799">
        <v>0</v>
      </c>
    </row>
    <row r="2800" spans="1:5">
      <c r="A2800">
        <v>3496</v>
      </c>
      <c r="B2800">
        <v>1830197</v>
      </c>
      <c r="C2800" s="5">
        <v>46059</v>
      </c>
      <c r="D2800" t="s">
        <v>458</v>
      </c>
      <c r="E2800">
        <v>0</v>
      </c>
    </row>
    <row r="2801" spans="1:5">
      <c r="A2801">
        <v>3557</v>
      </c>
      <c r="B2801">
        <v>1830197</v>
      </c>
      <c r="C2801" s="5">
        <v>46059</v>
      </c>
      <c r="D2801" t="s">
        <v>458</v>
      </c>
      <c r="E2801">
        <v>0</v>
      </c>
    </row>
    <row r="2802" spans="1:5">
      <c r="A2802">
        <v>3584</v>
      </c>
      <c r="B2802">
        <v>1830197</v>
      </c>
      <c r="C2802" s="5">
        <v>46059</v>
      </c>
      <c r="D2802" t="s">
        <v>458</v>
      </c>
      <c r="E2802">
        <v>17</v>
      </c>
    </row>
    <row r="2803" spans="1:5">
      <c r="A2803">
        <v>3593</v>
      </c>
      <c r="B2803">
        <v>1830197</v>
      </c>
      <c r="C2803" s="5">
        <v>46059</v>
      </c>
      <c r="D2803" t="s">
        <v>458</v>
      </c>
      <c r="E2803">
        <v>93</v>
      </c>
    </row>
    <row r="2804" spans="1:5">
      <c r="A2804">
        <v>3594</v>
      </c>
      <c r="B2804">
        <v>1830197</v>
      </c>
      <c r="C2804" s="5">
        <v>46059</v>
      </c>
      <c r="D2804" t="s">
        <v>458</v>
      </c>
      <c r="E2804">
        <v>225</v>
      </c>
    </row>
    <row r="2805" spans="1:5">
      <c r="A2805">
        <v>3595</v>
      </c>
      <c r="B2805">
        <v>1830197</v>
      </c>
      <c r="C2805" s="5">
        <v>46059</v>
      </c>
      <c r="D2805" t="s">
        <v>458</v>
      </c>
      <c r="E2805">
        <v>0</v>
      </c>
    </row>
    <row r="2806" spans="1:5">
      <c r="A2806">
        <v>3596</v>
      </c>
      <c r="B2806">
        <v>1830197</v>
      </c>
      <c r="C2806" s="5">
        <v>46059</v>
      </c>
      <c r="D2806" t="s">
        <v>458</v>
      </c>
      <c r="E2806">
        <v>0</v>
      </c>
    </row>
    <row r="2807" spans="1:5">
      <c r="A2807">
        <v>3597</v>
      </c>
      <c r="B2807">
        <v>1830197</v>
      </c>
      <c r="C2807" s="5">
        <v>46059</v>
      </c>
      <c r="D2807" t="s">
        <v>458</v>
      </c>
      <c r="E2807">
        <v>19</v>
      </c>
    </row>
    <row r="2808" spans="1:5">
      <c r="A2808">
        <v>3617</v>
      </c>
      <c r="B2808">
        <v>1830197</v>
      </c>
      <c r="C2808" s="5">
        <v>46059</v>
      </c>
      <c r="D2808" t="s">
        <v>458</v>
      </c>
      <c r="E2808">
        <v>1.38</v>
      </c>
    </row>
    <row r="2809" spans="1:5">
      <c r="A2809">
        <v>3636</v>
      </c>
      <c r="B2809">
        <v>1830197</v>
      </c>
      <c r="C2809" s="5">
        <v>46059</v>
      </c>
      <c r="D2809" t="s">
        <v>458</v>
      </c>
      <c r="E2809">
        <v>0</v>
      </c>
    </row>
    <row r="2810" spans="1:5">
      <c r="A2810">
        <v>3646</v>
      </c>
      <c r="B2810">
        <v>1830197</v>
      </c>
      <c r="C2810" s="5">
        <v>46059</v>
      </c>
      <c r="D2810" t="s">
        <v>458</v>
      </c>
      <c r="E2810">
        <v>0</v>
      </c>
    </row>
    <row r="2811" spans="1:5">
      <c r="A2811">
        <v>3647</v>
      </c>
      <c r="B2811">
        <v>1830197</v>
      </c>
      <c r="C2811" s="5">
        <v>46059</v>
      </c>
      <c r="D2811" t="s">
        <v>458</v>
      </c>
      <c r="E2811">
        <v>0</v>
      </c>
    </row>
    <row r="2812" spans="1:5">
      <c r="A2812">
        <v>3648</v>
      </c>
      <c r="B2812">
        <v>1830197</v>
      </c>
      <c r="C2812" s="5">
        <v>46059</v>
      </c>
      <c r="D2812" t="s">
        <v>458</v>
      </c>
      <c r="E2812">
        <v>0</v>
      </c>
    </row>
    <row r="2813" spans="1:5">
      <c r="A2813">
        <v>3735</v>
      </c>
      <c r="B2813">
        <v>1830197</v>
      </c>
      <c r="C2813" s="5">
        <v>46059</v>
      </c>
      <c r="D2813" t="s">
        <v>458</v>
      </c>
      <c r="E2813">
        <v>0</v>
      </c>
    </row>
    <row r="2814" spans="1:5">
      <c r="A2814">
        <v>3761</v>
      </c>
      <c r="B2814">
        <v>1830197</v>
      </c>
      <c r="C2814" s="5">
        <v>46059</v>
      </c>
      <c r="D2814" t="s">
        <v>458</v>
      </c>
      <c r="E2814">
        <v>319</v>
      </c>
    </row>
    <row r="2815" spans="1:5">
      <c r="A2815">
        <v>3815</v>
      </c>
      <c r="B2815">
        <v>1830197</v>
      </c>
      <c r="C2815" s="5">
        <v>46059</v>
      </c>
      <c r="D2815" t="s">
        <v>458</v>
      </c>
      <c r="E2815">
        <v>0</v>
      </c>
    </row>
    <row r="2816" spans="1:5">
      <c r="A2816">
        <v>3866</v>
      </c>
      <c r="B2816">
        <v>1830197</v>
      </c>
      <c r="C2816" s="5">
        <v>46059</v>
      </c>
      <c r="D2816" t="s">
        <v>458</v>
      </c>
      <c r="E2816">
        <v>0</v>
      </c>
    </row>
    <row r="2817" spans="1:5">
      <c r="A2817">
        <v>3867</v>
      </c>
      <c r="B2817">
        <v>1830197</v>
      </c>
      <c r="C2817" s="5">
        <v>46059</v>
      </c>
      <c r="D2817" t="s">
        <v>458</v>
      </c>
      <c r="E2817">
        <v>0</v>
      </c>
    </row>
    <row r="2818" spans="1:5">
      <c r="A2818">
        <v>3868</v>
      </c>
      <c r="B2818">
        <v>1830197</v>
      </c>
      <c r="C2818" s="5">
        <v>46059</v>
      </c>
      <c r="D2818" t="s">
        <v>458</v>
      </c>
      <c r="E2818">
        <v>0</v>
      </c>
    </row>
    <row r="2819" spans="1:5">
      <c r="A2819">
        <v>4027</v>
      </c>
      <c r="B2819">
        <v>1830197</v>
      </c>
      <c r="C2819" s="5">
        <v>46059</v>
      </c>
      <c r="D2819" t="s">
        <v>458</v>
      </c>
      <c r="E2819">
        <v>0</v>
      </c>
    </row>
    <row r="2820" spans="1:5">
      <c r="A2820">
        <v>4111</v>
      </c>
      <c r="B2820">
        <v>1830197</v>
      </c>
      <c r="C2820" s="5">
        <v>46059</v>
      </c>
      <c r="D2820" t="s">
        <v>458</v>
      </c>
      <c r="E2820">
        <v>7</v>
      </c>
    </row>
    <row r="2821" spans="1:5">
      <c r="A2821">
        <v>4209</v>
      </c>
      <c r="B2821">
        <v>1830197</v>
      </c>
      <c r="C2821" s="5">
        <v>46059</v>
      </c>
      <c r="D2821" t="s">
        <v>458</v>
      </c>
      <c r="E2821">
        <v>0.94</v>
      </c>
    </row>
    <row r="2822" spans="1:5">
      <c r="A2822">
        <v>4334</v>
      </c>
      <c r="B2822">
        <v>1830197</v>
      </c>
      <c r="C2822" s="5">
        <v>46059</v>
      </c>
      <c r="D2822" t="s">
        <v>458</v>
      </c>
      <c r="E2822">
        <v>0</v>
      </c>
    </row>
    <row r="2823" spans="1:5">
      <c r="A2823">
        <v>4422</v>
      </c>
      <c r="B2823">
        <v>1830197</v>
      </c>
      <c r="C2823" s="5">
        <v>46059</v>
      </c>
      <c r="D2823" t="s">
        <v>458</v>
      </c>
      <c r="E2823">
        <v>0</v>
      </c>
    </row>
    <row r="2824" spans="1:5">
      <c r="A2824">
        <v>4551</v>
      </c>
      <c r="B2824">
        <v>1830197</v>
      </c>
      <c r="C2824" s="5">
        <v>46059</v>
      </c>
      <c r="D2824" t="s">
        <v>458</v>
      </c>
      <c r="E2824">
        <v>78</v>
      </c>
    </row>
    <row r="2825" spans="1:5">
      <c r="A2825">
        <v>4596</v>
      </c>
      <c r="B2825">
        <v>1830197</v>
      </c>
      <c r="C2825" s="5">
        <v>46059</v>
      </c>
      <c r="D2825" t="s">
        <v>458</v>
      </c>
      <c r="E2825">
        <v>0</v>
      </c>
    </row>
    <row r="2826" spans="1:5">
      <c r="A2826">
        <v>4607</v>
      </c>
      <c r="B2826">
        <v>1830197</v>
      </c>
      <c r="C2826" s="5">
        <v>46059</v>
      </c>
      <c r="D2826" t="s">
        <v>458</v>
      </c>
      <c r="E2826">
        <v>32</v>
      </c>
    </row>
    <row r="2827" spans="1:5">
      <c r="A2827">
        <v>4703</v>
      </c>
      <c r="B2827">
        <v>1830197</v>
      </c>
      <c r="C2827" s="5">
        <v>46059</v>
      </c>
      <c r="D2827" t="s">
        <v>458</v>
      </c>
      <c r="E2827">
        <v>0</v>
      </c>
    </row>
    <row r="2828" spans="1:5">
      <c r="A2828">
        <v>4704</v>
      </c>
      <c r="B2828">
        <v>1830197</v>
      </c>
      <c r="C2828" s="5">
        <v>46059</v>
      </c>
      <c r="D2828" t="s">
        <v>458</v>
      </c>
      <c r="E2828">
        <v>0</v>
      </c>
    </row>
    <row r="2829" spans="1:5">
      <c r="A2829">
        <v>4853</v>
      </c>
      <c r="B2829">
        <v>1830197</v>
      </c>
      <c r="C2829" s="5">
        <v>46059</v>
      </c>
      <c r="D2829" t="s">
        <v>458</v>
      </c>
      <c r="E2829">
        <v>142</v>
      </c>
    </row>
    <row r="2830" spans="1:5">
      <c r="A2830">
        <v>4887</v>
      </c>
      <c r="B2830">
        <v>1830197</v>
      </c>
      <c r="C2830" s="5">
        <v>46059</v>
      </c>
      <c r="D2830" t="s">
        <v>458</v>
      </c>
      <c r="E2830">
        <v>0</v>
      </c>
    </row>
    <row r="2831" spans="1:5">
      <c r="A2831">
        <v>4926</v>
      </c>
      <c r="B2831">
        <v>1830197</v>
      </c>
      <c r="C2831" s="5">
        <v>46059</v>
      </c>
      <c r="D2831" t="s">
        <v>458</v>
      </c>
      <c r="E2831">
        <v>0</v>
      </c>
    </row>
    <row r="2832" spans="1:5">
      <c r="A2832">
        <v>4954</v>
      </c>
      <c r="B2832">
        <v>1830197</v>
      </c>
      <c r="C2832" s="5">
        <v>46059</v>
      </c>
      <c r="D2832" t="s">
        <v>458</v>
      </c>
      <c r="E2832">
        <v>0</v>
      </c>
    </row>
    <row r="2833" spans="1:5">
      <c r="A2833">
        <v>4970</v>
      </c>
      <c r="B2833">
        <v>1830197</v>
      </c>
      <c r="C2833" s="5">
        <v>46059</v>
      </c>
      <c r="D2833" t="s">
        <v>458</v>
      </c>
      <c r="E2833">
        <v>0</v>
      </c>
    </row>
    <row r="2834" spans="1:5">
      <c r="A2834">
        <v>4980</v>
      </c>
      <c r="B2834">
        <v>1830197</v>
      </c>
      <c r="C2834" s="5">
        <v>46059</v>
      </c>
      <c r="D2834" t="s">
        <v>458</v>
      </c>
      <c r="E2834">
        <v>0</v>
      </c>
    </row>
    <row r="2835" spans="1:5">
      <c r="A2835">
        <v>4995</v>
      </c>
      <c r="B2835">
        <v>1830197</v>
      </c>
      <c r="C2835" s="5">
        <v>46059</v>
      </c>
      <c r="D2835" t="s">
        <v>458</v>
      </c>
      <c r="E2835">
        <v>0</v>
      </c>
    </row>
    <row r="2836" spans="1:5">
      <c r="A2836">
        <v>4996</v>
      </c>
      <c r="B2836">
        <v>1830197</v>
      </c>
      <c r="C2836" s="5">
        <v>46059</v>
      </c>
      <c r="D2836" t="s">
        <v>458</v>
      </c>
      <c r="E2836">
        <v>0</v>
      </c>
    </row>
    <row r="2837" spans="1:5">
      <c r="A2837">
        <v>4997</v>
      </c>
      <c r="B2837">
        <v>1830197</v>
      </c>
      <c r="C2837" s="5">
        <v>46059</v>
      </c>
      <c r="D2837" t="s">
        <v>458</v>
      </c>
      <c r="E2837">
        <v>14</v>
      </c>
    </row>
    <row r="2838" spans="1:5">
      <c r="A2838">
        <v>4998</v>
      </c>
      <c r="B2838">
        <v>1830197</v>
      </c>
      <c r="C2838" s="5">
        <v>46059</v>
      </c>
      <c r="D2838" t="s">
        <v>458</v>
      </c>
      <c r="E2838">
        <v>19</v>
      </c>
    </row>
    <row r="2839" spans="1:5">
      <c r="A2839">
        <v>4999</v>
      </c>
      <c r="B2839">
        <v>1830197</v>
      </c>
      <c r="C2839" s="5">
        <v>46059</v>
      </c>
      <c r="D2839" t="s">
        <v>458</v>
      </c>
      <c r="E2839">
        <v>468</v>
      </c>
    </row>
    <row r="2840" spans="1:5">
      <c r="A2840">
        <v>5012</v>
      </c>
      <c r="B2840">
        <v>1830197</v>
      </c>
      <c r="C2840" s="5">
        <v>46059</v>
      </c>
      <c r="D2840" t="s">
        <v>458</v>
      </c>
      <c r="E2840">
        <v>3.95</v>
      </c>
    </row>
    <row r="2841" spans="1:5">
      <c r="A2841">
        <v>5054</v>
      </c>
      <c r="B2841">
        <v>1830197</v>
      </c>
      <c r="C2841" s="5">
        <v>46059</v>
      </c>
      <c r="D2841" t="s">
        <v>458</v>
      </c>
      <c r="E2841">
        <v>15.38</v>
      </c>
    </row>
    <row r="2842" spans="1:5">
      <c r="A2842">
        <v>5163</v>
      </c>
      <c r="B2842">
        <v>1830197</v>
      </c>
      <c r="C2842" s="5">
        <v>46059</v>
      </c>
      <c r="D2842" t="s">
        <v>458</v>
      </c>
      <c r="E2842">
        <v>0</v>
      </c>
    </row>
    <row r="2843" spans="1:5">
      <c r="A2843">
        <v>5209</v>
      </c>
      <c r="B2843">
        <v>1830197</v>
      </c>
      <c r="C2843" s="5">
        <v>46059</v>
      </c>
      <c r="D2843" t="s">
        <v>458</v>
      </c>
      <c r="E2843">
        <v>5</v>
      </c>
    </row>
    <row r="2844" spans="1:5">
      <c r="A2844">
        <v>5349</v>
      </c>
      <c r="B2844">
        <v>1830197</v>
      </c>
      <c r="C2844" s="5">
        <v>46059</v>
      </c>
      <c r="D2844" t="s">
        <v>458</v>
      </c>
      <c r="E2844">
        <v>0</v>
      </c>
    </row>
    <row r="2845" spans="1:5">
      <c r="A2845">
        <v>5351</v>
      </c>
      <c r="B2845">
        <v>1830197</v>
      </c>
      <c r="C2845" s="5">
        <v>46059</v>
      </c>
      <c r="D2845" t="s">
        <v>458</v>
      </c>
      <c r="E2845">
        <v>0</v>
      </c>
    </row>
    <row r="2846" spans="1:5">
      <c r="A2846">
        <v>5358</v>
      </c>
      <c r="B2846">
        <v>1830197</v>
      </c>
      <c r="C2846" s="5">
        <v>46059</v>
      </c>
      <c r="D2846" t="s">
        <v>458</v>
      </c>
      <c r="E2846">
        <v>0</v>
      </c>
    </row>
    <row r="2847" spans="1:5">
      <c r="A2847">
        <v>5378</v>
      </c>
      <c r="B2847">
        <v>1830197</v>
      </c>
      <c r="C2847" s="5">
        <v>46059</v>
      </c>
      <c r="D2847" t="s">
        <v>458</v>
      </c>
      <c r="E2847">
        <v>0</v>
      </c>
    </row>
    <row r="2848" spans="1:5">
      <c r="A2848">
        <v>5391</v>
      </c>
      <c r="B2848">
        <v>1830197</v>
      </c>
      <c r="C2848" s="5">
        <v>46059</v>
      </c>
      <c r="D2848" t="s">
        <v>458</v>
      </c>
      <c r="E2848">
        <v>0</v>
      </c>
    </row>
    <row r="2849" spans="1:5">
      <c r="A2849">
        <v>5429</v>
      </c>
      <c r="B2849">
        <v>1830197</v>
      </c>
      <c r="C2849" s="5">
        <v>46059</v>
      </c>
      <c r="D2849" t="s">
        <v>458</v>
      </c>
      <c r="E2849">
        <v>7</v>
      </c>
    </row>
    <row r="2850" spans="1:5">
      <c r="A2850">
        <v>5430</v>
      </c>
      <c r="B2850">
        <v>1830197</v>
      </c>
      <c r="C2850" s="5">
        <v>46059</v>
      </c>
      <c r="D2850" t="s">
        <v>458</v>
      </c>
      <c r="E2850">
        <v>0</v>
      </c>
    </row>
    <row r="2851" spans="1:5">
      <c r="A2851">
        <v>5431</v>
      </c>
      <c r="B2851">
        <v>1830197</v>
      </c>
      <c r="C2851" s="5">
        <v>46059</v>
      </c>
      <c r="D2851" t="s">
        <v>458</v>
      </c>
      <c r="E2851">
        <v>0</v>
      </c>
    </row>
    <row r="2852" spans="1:5">
      <c r="A2852">
        <v>5432</v>
      </c>
      <c r="B2852">
        <v>1830197</v>
      </c>
      <c r="C2852" s="5">
        <v>46059</v>
      </c>
      <c r="D2852" t="s">
        <v>458</v>
      </c>
      <c r="E2852">
        <v>0</v>
      </c>
    </row>
    <row r="2853" spans="1:5">
      <c r="A2853">
        <v>5444</v>
      </c>
      <c r="B2853">
        <v>1830197</v>
      </c>
      <c r="C2853" s="5">
        <v>46059</v>
      </c>
      <c r="D2853" t="s">
        <v>458</v>
      </c>
      <c r="E2853">
        <v>0</v>
      </c>
    </row>
    <row r="2854" spans="1:5">
      <c r="A2854">
        <v>5478</v>
      </c>
      <c r="B2854">
        <v>1830197</v>
      </c>
      <c r="C2854" s="5">
        <v>46059</v>
      </c>
      <c r="D2854" t="s">
        <v>458</v>
      </c>
      <c r="E2854">
        <v>0</v>
      </c>
    </row>
    <row r="2855" spans="1:5">
      <c r="A2855">
        <v>5481</v>
      </c>
      <c r="B2855">
        <v>1830197</v>
      </c>
      <c r="C2855" s="5">
        <v>46059</v>
      </c>
      <c r="D2855" t="s">
        <v>458</v>
      </c>
      <c r="E2855">
        <v>0</v>
      </c>
    </row>
    <row r="2856" spans="1:5">
      <c r="A2856">
        <v>5551</v>
      </c>
      <c r="B2856">
        <v>1830197</v>
      </c>
      <c r="C2856" s="5">
        <v>46059</v>
      </c>
      <c r="D2856" t="s">
        <v>458</v>
      </c>
      <c r="E2856">
        <v>0</v>
      </c>
    </row>
    <row r="2857" spans="1:5">
      <c r="A2857">
        <v>5552</v>
      </c>
      <c r="B2857">
        <v>1830197</v>
      </c>
      <c r="C2857" s="5">
        <v>46059</v>
      </c>
      <c r="D2857" t="s">
        <v>458</v>
      </c>
      <c r="E2857">
        <v>34</v>
      </c>
    </row>
    <row r="2858" spans="1:5">
      <c r="A2858">
        <v>5565</v>
      </c>
      <c r="B2858">
        <v>1830197</v>
      </c>
      <c r="C2858" s="5">
        <v>46059</v>
      </c>
      <c r="D2858" t="s">
        <v>458</v>
      </c>
      <c r="E2858">
        <v>0</v>
      </c>
    </row>
    <row r="2859" spans="1:5">
      <c r="A2859">
        <v>5664</v>
      </c>
      <c r="B2859">
        <v>1830197</v>
      </c>
      <c r="C2859" s="5">
        <v>46059</v>
      </c>
      <c r="D2859" t="s">
        <v>458</v>
      </c>
      <c r="E2859">
        <v>1</v>
      </c>
    </row>
    <row r="2860" spans="1:5">
      <c r="A2860">
        <v>5876</v>
      </c>
      <c r="B2860">
        <v>1830197</v>
      </c>
      <c r="C2860" s="5">
        <v>46059</v>
      </c>
      <c r="D2860" t="s">
        <v>458</v>
      </c>
      <c r="E2860">
        <v>0</v>
      </c>
    </row>
    <row r="2861" spans="1:5">
      <c r="A2861">
        <v>5935</v>
      </c>
      <c r="B2861">
        <v>1830197</v>
      </c>
      <c r="C2861" s="5">
        <v>46059</v>
      </c>
      <c r="D2861" t="s">
        <v>458</v>
      </c>
      <c r="E2861">
        <v>0</v>
      </c>
    </row>
    <row r="2862" spans="1:5">
      <c r="A2862">
        <v>5939</v>
      </c>
      <c r="B2862">
        <v>1830197</v>
      </c>
      <c r="C2862" s="5">
        <v>46059</v>
      </c>
      <c r="D2862" t="s">
        <v>458</v>
      </c>
      <c r="E2862">
        <v>0</v>
      </c>
    </row>
    <row r="2863" spans="1:5">
      <c r="A2863">
        <v>5983</v>
      </c>
      <c r="B2863">
        <v>1830197</v>
      </c>
      <c r="C2863" s="5">
        <v>46059</v>
      </c>
      <c r="D2863" t="s">
        <v>458</v>
      </c>
      <c r="E2863">
        <v>6.68</v>
      </c>
    </row>
    <row r="2864" spans="1:5">
      <c r="A2864">
        <v>6053</v>
      </c>
      <c r="B2864">
        <v>1830197</v>
      </c>
      <c r="C2864" s="5">
        <v>46059</v>
      </c>
      <c r="D2864" t="s">
        <v>458</v>
      </c>
      <c r="E2864">
        <v>0</v>
      </c>
    </row>
    <row r="2865" spans="1:5">
      <c r="A2865">
        <v>6094</v>
      </c>
      <c r="B2865">
        <v>1830197</v>
      </c>
      <c r="C2865" s="5">
        <v>46059</v>
      </c>
      <c r="D2865" t="s">
        <v>458</v>
      </c>
      <c r="E2865">
        <v>24</v>
      </c>
    </row>
    <row r="2866" spans="1:5">
      <c r="A2866">
        <v>6373</v>
      </c>
      <c r="B2866">
        <v>1830197</v>
      </c>
      <c r="C2866" s="5">
        <v>46059</v>
      </c>
      <c r="D2866" t="s">
        <v>458</v>
      </c>
      <c r="E2866">
        <v>0</v>
      </c>
    </row>
    <row r="2867" spans="1:5">
      <c r="A2867">
        <v>6374</v>
      </c>
      <c r="B2867">
        <v>1830197</v>
      </c>
      <c r="C2867" s="5">
        <v>46059</v>
      </c>
      <c r="D2867" t="s">
        <v>458</v>
      </c>
      <c r="E2867">
        <v>0</v>
      </c>
    </row>
    <row r="2868" spans="1:5">
      <c r="A2868">
        <v>6375</v>
      </c>
      <c r="B2868">
        <v>1830197</v>
      </c>
      <c r="C2868" s="5">
        <v>46059</v>
      </c>
      <c r="D2868" t="s">
        <v>458</v>
      </c>
      <c r="E2868">
        <v>0</v>
      </c>
    </row>
    <row r="2869" spans="1:5">
      <c r="A2869">
        <v>6376</v>
      </c>
      <c r="B2869">
        <v>1830197</v>
      </c>
      <c r="C2869" s="5">
        <v>46059</v>
      </c>
      <c r="D2869" t="s">
        <v>458</v>
      </c>
      <c r="E2869">
        <v>0</v>
      </c>
    </row>
    <row r="2870" spans="1:5">
      <c r="A2870">
        <v>6472</v>
      </c>
      <c r="B2870">
        <v>1830197</v>
      </c>
      <c r="C2870" s="5">
        <v>46059</v>
      </c>
      <c r="D2870" t="s">
        <v>458</v>
      </c>
      <c r="E2870">
        <v>0</v>
      </c>
    </row>
    <row r="2871" spans="1:5">
      <c r="A2871">
        <v>6477</v>
      </c>
      <c r="B2871">
        <v>1830197</v>
      </c>
      <c r="C2871" s="5">
        <v>46059</v>
      </c>
      <c r="D2871" t="s">
        <v>458</v>
      </c>
      <c r="E2871">
        <v>0</v>
      </c>
    </row>
    <row r="2872" spans="1:5">
      <c r="A2872">
        <v>6724</v>
      </c>
      <c r="B2872">
        <v>1830197</v>
      </c>
      <c r="C2872" s="5">
        <v>46059</v>
      </c>
      <c r="D2872" t="s">
        <v>458</v>
      </c>
      <c r="E2872">
        <v>0</v>
      </c>
    </row>
    <row r="2873" spans="1:5">
      <c r="A2873">
        <v>6757</v>
      </c>
      <c r="B2873">
        <v>1830197</v>
      </c>
      <c r="C2873" s="5">
        <v>46059</v>
      </c>
      <c r="D2873" t="s">
        <v>458</v>
      </c>
      <c r="E2873">
        <v>0</v>
      </c>
    </row>
    <row r="2874" spans="1:5">
      <c r="A2874">
        <v>6761</v>
      </c>
      <c r="B2874">
        <v>1830197</v>
      </c>
      <c r="C2874" s="5">
        <v>46059</v>
      </c>
      <c r="D2874" t="s">
        <v>458</v>
      </c>
      <c r="E2874">
        <v>0</v>
      </c>
    </row>
    <row r="2875" spans="1:5">
      <c r="A2875">
        <v>6776</v>
      </c>
      <c r="B2875">
        <v>1830197</v>
      </c>
      <c r="C2875" s="5">
        <v>46059</v>
      </c>
      <c r="D2875" t="s">
        <v>458</v>
      </c>
      <c r="E2875">
        <v>0</v>
      </c>
    </row>
    <row r="2876" spans="1:5">
      <c r="A2876">
        <v>6810</v>
      </c>
      <c r="B2876">
        <v>1830197</v>
      </c>
      <c r="C2876" s="5">
        <v>46059</v>
      </c>
      <c r="D2876" t="s">
        <v>458</v>
      </c>
      <c r="E2876">
        <v>0</v>
      </c>
    </row>
    <row r="2877" spans="1:5">
      <c r="A2877">
        <v>6811</v>
      </c>
      <c r="B2877">
        <v>1830197</v>
      </c>
      <c r="C2877" s="5">
        <v>46059</v>
      </c>
      <c r="D2877" t="s">
        <v>458</v>
      </c>
      <c r="E2877">
        <v>310</v>
      </c>
    </row>
    <row r="2878" spans="1:5">
      <c r="A2878">
        <v>6880</v>
      </c>
      <c r="B2878">
        <v>1830197</v>
      </c>
      <c r="C2878" s="5">
        <v>46059</v>
      </c>
      <c r="D2878" t="s">
        <v>458</v>
      </c>
      <c r="E2878">
        <v>0</v>
      </c>
    </row>
    <row r="2879" spans="1:5">
      <c r="A2879">
        <v>6928</v>
      </c>
      <c r="B2879">
        <v>1830197</v>
      </c>
      <c r="C2879" s="5">
        <v>46059</v>
      </c>
      <c r="D2879" t="s">
        <v>458</v>
      </c>
      <c r="E2879">
        <v>1</v>
      </c>
    </row>
    <row r="2880" spans="1:5">
      <c r="A2880">
        <v>7034</v>
      </c>
      <c r="B2880">
        <v>1830197</v>
      </c>
      <c r="C2880" s="5">
        <v>46059</v>
      </c>
      <c r="D2880" t="s">
        <v>458</v>
      </c>
      <c r="E2880">
        <v>0</v>
      </c>
    </row>
    <row r="2881" spans="1:5">
      <c r="A2881">
        <v>7127</v>
      </c>
      <c r="B2881">
        <v>1830197</v>
      </c>
      <c r="C2881" s="5">
        <v>46059</v>
      </c>
      <c r="D2881" t="s">
        <v>458</v>
      </c>
      <c r="E2881">
        <v>4</v>
      </c>
    </row>
    <row r="2882" spans="1:5">
      <c r="A2882">
        <v>7205</v>
      </c>
      <c r="B2882">
        <v>1830197</v>
      </c>
      <c r="C2882" s="5">
        <v>46059</v>
      </c>
      <c r="D2882" t="s">
        <v>458</v>
      </c>
      <c r="E2882">
        <v>178</v>
      </c>
    </row>
    <row r="2883" spans="1:5">
      <c r="A2883">
        <v>7206</v>
      </c>
      <c r="B2883">
        <v>1830197</v>
      </c>
      <c r="C2883" s="5">
        <v>46059</v>
      </c>
      <c r="D2883" t="s">
        <v>458</v>
      </c>
      <c r="E2883">
        <v>85</v>
      </c>
    </row>
    <row r="2884" spans="1:5">
      <c r="A2884">
        <v>7223</v>
      </c>
      <c r="B2884">
        <v>1830197</v>
      </c>
      <c r="C2884" s="5">
        <v>46059</v>
      </c>
      <c r="D2884" t="s">
        <v>458</v>
      </c>
      <c r="E2884">
        <v>0</v>
      </c>
    </row>
    <row r="2885" spans="1:5">
      <c r="A2885">
        <v>7301</v>
      </c>
      <c r="B2885">
        <v>1830197</v>
      </c>
      <c r="C2885" s="5">
        <v>46059</v>
      </c>
      <c r="D2885" t="s">
        <v>458</v>
      </c>
      <c r="E2885">
        <v>122</v>
      </c>
    </row>
    <row r="2886" spans="1:5">
      <c r="A2886">
        <v>7311</v>
      </c>
      <c r="B2886">
        <v>1830197</v>
      </c>
      <c r="C2886" s="5">
        <v>46059</v>
      </c>
      <c r="D2886" t="s">
        <v>458</v>
      </c>
      <c r="E2886">
        <v>0</v>
      </c>
    </row>
    <row r="2887" spans="1:5">
      <c r="A2887">
        <v>7312</v>
      </c>
      <c r="B2887">
        <v>1830197</v>
      </c>
      <c r="C2887" s="5">
        <v>46059</v>
      </c>
      <c r="D2887" t="s">
        <v>458</v>
      </c>
      <c r="E2887">
        <v>0</v>
      </c>
    </row>
    <row r="2888" spans="1:5">
      <c r="A2888">
        <v>7313</v>
      </c>
      <c r="B2888">
        <v>1830197</v>
      </c>
      <c r="C2888" s="5">
        <v>46059</v>
      </c>
      <c r="D2888" t="s">
        <v>458</v>
      </c>
      <c r="E2888">
        <v>2</v>
      </c>
    </row>
    <row r="2889" spans="1:5">
      <c r="A2889">
        <v>7326</v>
      </c>
      <c r="B2889">
        <v>1830197</v>
      </c>
      <c r="C2889" s="5">
        <v>46059</v>
      </c>
      <c r="D2889" t="s">
        <v>458</v>
      </c>
      <c r="E2889">
        <v>0</v>
      </c>
    </row>
    <row r="2890" spans="1:5">
      <c r="A2890">
        <v>7333</v>
      </c>
      <c r="B2890">
        <v>1830197</v>
      </c>
      <c r="C2890" s="5">
        <v>46059</v>
      </c>
      <c r="D2890" t="s">
        <v>458</v>
      </c>
      <c r="E2890">
        <v>357</v>
      </c>
    </row>
    <row r="2891" spans="1:5">
      <c r="A2891">
        <v>7421</v>
      </c>
      <c r="B2891">
        <v>1830197</v>
      </c>
      <c r="C2891" s="5">
        <v>46059</v>
      </c>
      <c r="D2891" t="s">
        <v>458</v>
      </c>
      <c r="E2891">
        <v>0</v>
      </c>
    </row>
    <row r="2892" spans="1:5">
      <c r="A2892">
        <v>7422</v>
      </c>
      <c r="B2892">
        <v>1830197</v>
      </c>
      <c r="C2892" s="5">
        <v>46059</v>
      </c>
      <c r="D2892" t="s">
        <v>458</v>
      </c>
      <c r="E2892">
        <v>0.15</v>
      </c>
    </row>
    <row r="2893" spans="1:5">
      <c r="A2893">
        <v>7634</v>
      </c>
      <c r="B2893">
        <v>1830197</v>
      </c>
      <c r="C2893" s="5">
        <v>46059</v>
      </c>
      <c r="D2893" t="s">
        <v>458</v>
      </c>
      <c r="E2893">
        <v>5</v>
      </c>
    </row>
    <row r="2894" spans="1:5">
      <c r="A2894">
        <v>7919</v>
      </c>
      <c r="B2894">
        <v>1830197</v>
      </c>
      <c r="C2894" s="5">
        <v>46059</v>
      </c>
      <c r="D2894" t="s">
        <v>458</v>
      </c>
      <c r="E2894">
        <v>4.9000000000000004</v>
      </c>
    </row>
    <row r="2895" spans="1:5">
      <c r="A2895">
        <v>7920</v>
      </c>
      <c r="B2895">
        <v>1830197</v>
      </c>
      <c r="C2895" s="5">
        <v>46059</v>
      </c>
      <c r="D2895" t="s">
        <v>458</v>
      </c>
      <c r="E2895">
        <v>225</v>
      </c>
    </row>
    <row r="2896" spans="1:5">
      <c r="A2896">
        <v>7969</v>
      </c>
      <c r="B2896">
        <v>1830197</v>
      </c>
      <c r="C2896" s="5">
        <v>46059</v>
      </c>
      <c r="D2896" t="s">
        <v>458</v>
      </c>
      <c r="E2896">
        <v>0</v>
      </c>
    </row>
    <row r="2897" spans="1:5">
      <c r="A2897">
        <v>8159</v>
      </c>
      <c r="B2897">
        <v>1830197</v>
      </c>
      <c r="C2897" s="5">
        <v>46059</v>
      </c>
      <c r="D2897" t="s">
        <v>458</v>
      </c>
      <c r="E2897">
        <v>0</v>
      </c>
    </row>
    <row r="2898" spans="1:5">
      <c r="A2898">
        <v>8201</v>
      </c>
      <c r="B2898">
        <v>1830197</v>
      </c>
      <c r="C2898" s="5">
        <v>46059</v>
      </c>
      <c r="D2898" t="s">
        <v>458</v>
      </c>
      <c r="E2898">
        <v>95</v>
      </c>
    </row>
    <row r="2899" spans="1:5">
      <c r="A2899">
        <v>8207</v>
      </c>
      <c r="B2899">
        <v>1830197</v>
      </c>
      <c r="C2899" s="5">
        <v>46059</v>
      </c>
      <c r="D2899" t="s">
        <v>458</v>
      </c>
      <c r="E2899">
        <v>0</v>
      </c>
    </row>
    <row r="2900" spans="1:5">
      <c r="A2900">
        <v>8322</v>
      </c>
      <c r="B2900">
        <v>1830197</v>
      </c>
      <c r="C2900" s="5">
        <v>46059</v>
      </c>
      <c r="D2900" t="s">
        <v>458</v>
      </c>
      <c r="E2900">
        <v>0</v>
      </c>
    </row>
    <row r="2901" spans="1:5">
      <c r="A2901">
        <v>8541</v>
      </c>
      <c r="B2901">
        <v>1830197</v>
      </c>
      <c r="C2901" s="5">
        <v>46059</v>
      </c>
      <c r="D2901" t="s">
        <v>458</v>
      </c>
      <c r="E2901">
        <v>4</v>
      </c>
    </row>
    <row r="2902" spans="1:5">
      <c r="A2902">
        <v>8800</v>
      </c>
      <c r="B2902">
        <v>1830197</v>
      </c>
      <c r="C2902" s="5">
        <v>46059</v>
      </c>
      <c r="D2902" t="s">
        <v>458</v>
      </c>
      <c r="E2902">
        <v>0</v>
      </c>
    </row>
    <row r="2903" spans="1:5">
      <c r="A2903">
        <v>8801</v>
      </c>
      <c r="B2903">
        <v>1830197</v>
      </c>
      <c r="C2903" s="5">
        <v>46059</v>
      </c>
      <c r="D2903" t="s">
        <v>458</v>
      </c>
      <c r="E2903">
        <v>0</v>
      </c>
    </row>
    <row r="2904" spans="1:5">
      <c r="A2904">
        <v>8886</v>
      </c>
      <c r="B2904">
        <v>1830197</v>
      </c>
      <c r="C2904" s="5">
        <v>46059</v>
      </c>
      <c r="D2904" t="s">
        <v>458</v>
      </c>
      <c r="E2904">
        <v>0</v>
      </c>
    </row>
    <row r="2905" spans="1:5">
      <c r="A2905">
        <v>8951</v>
      </c>
      <c r="B2905">
        <v>1830197</v>
      </c>
      <c r="C2905" s="5">
        <v>46059</v>
      </c>
      <c r="D2905" t="s">
        <v>458</v>
      </c>
      <c r="E2905">
        <v>0</v>
      </c>
    </row>
    <row r="2906" spans="1:5">
      <c r="A2906">
        <v>8970</v>
      </c>
      <c r="B2906">
        <v>1830197</v>
      </c>
      <c r="C2906" s="5">
        <v>46059</v>
      </c>
      <c r="D2906" t="s">
        <v>458</v>
      </c>
      <c r="E2906">
        <v>0</v>
      </c>
    </row>
    <row r="2907" spans="1:5">
      <c r="A2907">
        <v>9110</v>
      </c>
      <c r="B2907">
        <v>1830197</v>
      </c>
      <c r="C2907" s="5">
        <v>46059</v>
      </c>
      <c r="D2907" t="s">
        <v>458</v>
      </c>
      <c r="E2907">
        <v>92</v>
      </c>
    </row>
    <row r="2908" spans="1:5">
      <c r="A2908">
        <v>9456</v>
      </c>
      <c r="B2908">
        <v>1830197</v>
      </c>
      <c r="C2908" s="5">
        <v>46059</v>
      </c>
      <c r="D2908" t="s">
        <v>458</v>
      </c>
      <c r="E2908">
        <v>0</v>
      </c>
    </row>
    <row r="2909" spans="1:5">
      <c r="A2909">
        <v>9903</v>
      </c>
      <c r="B2909">
        <v>1830197</v>
      </c>
      <c r="C2909" s="5">
        <v>46059</v>
      </c>
      <c r="D2909" t="s">
        <v>458</v>
      </c>
      <c r="E2909">
        <v>0</v>
      </c>
    </row>
    <row r="2910" spans="1:5">
      <c r="A2910">
        <v>9920</v>
      </c>
      <c r="B2910">
        <v>1830197</v>
      </c>
      <c r="C2910" s="5">
        <v>46059</v>
      </c>
      <c r="D2910" t="s">
        <v>458</v>
      </c>
      <c r="E2910">
        <v>0</v>
      </c>
    </row>
    <row r="2911" spans="1:5">
      <c r="A2911">
        <v>9930</v>
      </c>
      <c r="B2911">
        <v>1830197</v>
      </c>
      <c r="C2911" s="5">
        <v>46059</v>
      </c>
      <c r="D2911" t="s">
        <v>458</v>
      </c>
      <c r="E2911">
        <v>-1</v>
      </c>
    </row>
    <row r="2912" spans="1:5">
      <c r="A2912">
        <v>9931</v>
      </c>
      <c r="B2912">
        <v>1830197</v>
      </c>
      <c r="C2912" s="5">
        <v>46059</v>
      </c>
      <c r="D2912" t="s">
        <v>458</v>
      </c>
      <c r="E2912">
        <v>0</v>
      </c>
    </row>
    <row r="2913" spans="1:5">
      <c r="A2913">
        <v>9972</v>
      </c>
      <c r="B2913">
        <v>1830197</v>
      </c>
      <c r="C2913" s="5">
        <v>46059</v>
      </c>
      <c r="D2913" t="s">
        <v>458</v>
      </c>
      <c r="E2913">
        <v>0</v>
      </c>
    </row>
    <row r="2914" spans="1:5">
      <c r="A2914">
        <v>10010</v>
      </c>
      <c r="B2914">
        <v>1830197</v>
      </c>
      <c r="C2914" s="5">
        <v>46059</v>
      </c>
      <c r="D2914" t="s">
        <v>458</v>
      </c>
      <c r="E2914">
        <v>0</v>
      </c>
    </row>
    <row r="2915" spans="1:5">
      <c r="A2915">
        <v>10264</v>
      </c>
      <c r="B2915">
        <v>1830197</v>
      </c>
      <c r="C2915" s="5">
        <v>46059</v>
      </c>
      <c r="D2915" t="s">
        <v>458</v>
      </c>
      <c r="E2915">
        <v>0.31</v>
      </c>
    </row>
    <row r="2916" spans="1:5">
      <c r="A2916">
        <v>10294</v>
      </c>
      <c r="B2916">
        <v>1830197</v>
      </c>
      <c r="C2916" s="5">
        <v>46059</v>
      </c>
      <c r="D2916" t="s">
        <v>458</v>
      </c>
      <c r="E2916">
        <v>0</v>
      </c>
    </row>
    <row r="2917" spans="1:5">
      <c r="A2917">
        <v>10295</v>
      </c>
      <c r="B2917">
        <v>1830197</v>
      </c>
      <c r="C2917" s="5">
        <v>46059</v>
      </c>
      <c r="D2917" t="s">
        <v>458</v>
      </c>
      <c r="E2917">
        <v>0</v>
      </c>
    </row>
    <row r="2918" spans="1:5">
      <c r="A2918">
        <v>10296</v>
      </c>
      <c r="B2918">
        <v>1830197</v>
      </c>
      <c r="C2918" s="5">
        <v>46059</v>
      </c>
      <c r="D2918" t="s">
        <v>458</v>
      </c>
      <c r="E2918">
        <v>0</v>
      </c>
    </row>
    <row r="2919" spans="1:5">
      <c r="A2919">
        <v>10297</v>
      </c>
      <c r="B2919">
        <v>1830197</v>
      </c>
      <c r="C2919" s="5">
        <v>46059</v>
      </c>
      <c r="D2919" t="s">
        <v>458</v>
      </c>
      <c r="E2919">
        <v>0</v>
      </c>
    </row>
    <row r="2920" spans="1:5">
      <c r="A2920">
        <v>10298</v>
      </c>
      <c r="B2920">
        <v>1830197</v>
      </c>
      <c r="C2920" s="5">
        <v>46059</v>
      </c>
      <c r="D2920" t="s">
        <v>458</v>
      </c>
      <c r="E2920">
        <v>0</v>
      </c>
    </row>
    <row r="2921" spans="1:5">
      <c r="A2921">
        <v>10299</v>
      </c>
      <c r="B2921">
        <v>1830197</v>
      </c>
      <c r="C2921" s="5">
        <v>46059</v>
      </c>
      <c r="D2921" t="s">
        <v>458</v>
      </c>
      <c r="E2921">
        <v>0</v>
      </c>
    </row>
    <row r="2922" spans="1:5">
      <c r="A2922">
        <v>10458</v>
      </c>
      <c r="B2922">
        <v>1830197</v>
      </c>
      <c r="C2922" s="5">
        <v>46059</v>
      </c>
      <c r="D2922" t="s">
        <v>458</v>
      </c>
      <c r="E2922">
        <v>0</v>
      </c>
    </row>
    <row r="2923" spans="1:5">
      <c r="A2923">
        <v>10550</v>
      </c>
      <c r="B2923">
        <v>1830197</v>
      </c>
      <c r="C2923" s="5">
        <v>46059</v>
      </c>
      <c r="D2923" t="s">
        <v>458</v>
      </c>
      <c r="E2923">
        <v>108</v>
      </c>
    </row>
    <row r="2924" spans="1:5">
      <c r="A2924">
        <v>10594</v>
      </c>
      <c r="B2924">
        <v>1830197</v>
      </c>
      <c r="C2924" s="5">
        <v>46059</v>
      </c>
      <c r="D2924" t="s">
        <v>458</v>
      </c>
      <c r="E2924">
        <v>0.4</v>
      </c>
    </row>
    <row r="2925" spans="1:5">
      <c r="A2925">
        <v>10595</v>
      </c>
      <c r="B2925">
        <v>1830197</v>
      </c>
      <c r="C2925" s="5">
        <v>46059</v>
      </c>
      <c r="D2925" t="s">
        <v>458</v>
      </c>
      <c r="E2925">
        <v>0.7</v>
      </c>
    </row>
    <row r="2926" spans="1:5">
      <c r="A2926">
        <v>10596</v>
      </c>
      <c r="B2926">
        <v>1830197</v>
      </c>
      <c r="C2926" s="5">
        <v>46059</v>
      </c>
      <c r="D2926" t="s">
        <v>458</v>
      </c>
      <c r="E2926">
        <v>0</v>
      </c>
    </row>
    <row r="2927" spans="1:5">
      <c r="A2927">
        <v>10597</v>
      </c>
      <c r="B2927">
        <v>1830197</v>
      </c>
      <c r="C2927" s="5">
        <v>46059</v>
      </c>
      <c r="D2927" t="s">
        <v>458</v>
      </c>
      <c r="E2927">
        <v>1.6</v>
      </c>
    </row>
    <row r="2928" spans="1:5">
      <c r="A2928">
        <v>10598</v>
      </c>
      <c r="B2928">
        <v>1830197</v>
      </c>
      <c r="C2928" s="5">
        <v>46059</v>
      </c>
      <c r="D2928" t="s">
        <v>458</v>
      </c>
      <c r="E2928">
        <v>15.76</v>
      </c>
    </row>
    <row r="2929" spans="1:5">
      <c r="A2929">
        <v>10599</v>
      </c>
      <c r="B2929">
        <v>1830197</v>
      </c>
      <c r="C2929" s="5">
        <v>46059</v>
      </c>
      <c r="D2929" t="s">
        <v>458</v>
      </c>
      <c r="E2929">
        <v>0</v>
      </c>
    </row>
    <row r="2930" spans="1:5">
      <c r="A2930">
        <v>10629</v>
      </c>
      <c r="B2930">
        <v>1830197</v>
      </c>
      <c r="C2930" s="5">
        <v>46059</v>
      </c>
      <c r="D2930" t="s">
        <v>458</v>
      </c>
      <c r="E2930">
        <v>19</v>
      </c>
    </row>
    <row r="2931" spans="1:5">
      <c r="A2931">
        <v>10683</v>
      </c>
      <c r="B2931">
        <v>1830197</v>
      </c>
      <c r="C2931" s="5">
        <v>46059</v>
      </c>
      <c r="D2931" t="s">
        <v>458</v>
      </c>
      <c r="E2931">
        <v>0</v>
      </c>
    </row>
    <row r="2932" spans="1:5">
      <c r="A2932">
        <v>10685</v>
      </c>
      <c r="B2932">
        <v>1830197</v>
      </c>
      <c r="C2932" s="5">
        <v>46059</v>
      </c>
      <c r="D2932" t="s">
        <v>458</v>
      </c>
      <c r="E2932">
        <v>0</v>
      </c>
    </row>
    <row r="2933" spans="1:5">
      <c r="A2933">
        <v>10754</v>
      </c>
      <c r="B2933">
        <v>1830197</v>
      </c>
      <c r="C2933" s="5">
        <v>46059</v>
      </c>
      <c r="D2933" t="s">
        <v>458</v>
      </c>
      <c r="E2933">
        <v>0</v>
      </c>
    </row>
    <row r="2934" spans="1:5">
      <c r="A2934">
        <v>10958</v>
      </c>
      <c r="B2934">
        <v>1830197</v>
      </c>
      <c r="C2934" s="5">
        <v>46059</v>
      </c>
      <c r="D2934" t="s">
        <v>458</v>
      </c>
      <c r="E2934">
        <v>28</v>
      </c>
    </row>
    <row r="2935" spans="1:5">
      <c r="A2935">
        <v>11056</v>
      </c>
      <c r="B2935">
        <v>1830197</v>
      </c>
      <c r="C2935" s="5">
        <v>46059</v>
      </c>
      <c r="D2935" t="s">
        <v>458</v>
      </c>
      <c r="E2935">
        <v>0</v>
      </c>
    </row>
    <row r="2936" spans="1:5">
      <c r="A2936">
        <v>11162</v>
      </c>
      <c r="B2936">
        <v>1830197</v>
      </c>
      <c r="C2936" s="5">
        <v>46059</v>
      </c>
      <c r="D2936" t="s">
        <v>458</v>
      </c>
      <c r="E2936">
        <v>0</v>
      </c>
    </row>
    <row r="2937" spans="1:5">
      <c r="A2937">
        <v>11172</v>
      </c>
      <c r="B2937">
        <v>1830197</v>
      </c>
      <c r="C2937" s="5">
        <v>46059</v>
      </c>
      <c r="D2937" t="s">
        <v>458</v>
      </c>
      <c r="E2937">
        <v>0</v>
      </c>
    </row>
    <row r="2938" spans="1:5">
      <c r="A2938">
        <v>11312</v>
      </c>
      <c r="B2938">
        <v>1830197</v>
      </c>
      <c r="C2938" s="5">
        <v>46059</v>
      </c>
      <c r="D2938" t="s">
        <v>458</v>
      </c>
      <c r="E2938">
        <v>39</v>
      </c>
    </row>
    <row r="2939" spans="1:5">
      <c r="A2939">
        <v>11313</v>
      </c>
      <c r="B2939">
        <v>1830197</v>
      </c>
      <c r="C2939" s="5">
        <v>46059</v>
      </c>
      <c r="D2939" t="s">
        <v>458</v>
      </c>
      <c r="E2939">
        <v>0</v>
      </c>
    </row>
    <row r="2940" spans="1:5">
      <c r="A2940">
        <v>11322</v>
      </c>
      <c r="B2940">
        <v>1830197</v>
      </c>
      <c r="C2940" s="5">
        <v>46059</v>
      </c>
      <c r="D2940" t="s">
        <v>458</v>
      </c>
      <c r="E2940">
        <v>0</v>
      </c>
    </row>
    <row r="2941" spans="1:5">
      <c r="A2941">
        <v>11323</v>
      </c>
      <c r="B2941">
        <v>1830197</v>
      </c>
      <c r="C2941" s="5">
        <v>46059</v>
      </c>
      <c r="D2941" t="s">
        <v>458</v>
      </c>
      <c r="E2941">
        <v>0</v>
      </c>
    </row>
    <row r="2942" spans="1:5">
      <c r="A2942">
        <v>11588</v>
      </c>
      <c r="B2942">
        <v>1830197</v>
      </c>
      <c r="C2942" s="5">
        <v>46059</v>
      </c>
      <c r="D2942" t="s">
        <v>458</v>
      </c>
      <c r="E2942">
        <v>0</v>
      </c>
    </row>
    <row r="2943" spans="1:5">
      <c r="A2943">
        <v>11597</v>
      </c>
      <c r="B2943">
        <v>1830197</v>
      </c>
      <c r="C2943" s="5">
        <v>46059</v>
      </c>
      <c r="D2943" t="s">
        <v>458</v>
      </c>
      <c r="E2943">
        <v>0</v>
      </c>
    </row>
    <row r="2944" spans="1:5">
      <c r="A2944">
        <v>11662</v>
      </c>
      <c r="B2944">
        <v>1830197</v>
      </c>
      <c r="C2944" s="5">
        <v>46059</v>
      </c>
      <c r="D2944" t="s">
        <v>458</v>
      </c>
      <c r="E2944">
        <v>0</v>
      </c>
    </row>
    <row r="2945" spans="1:5">
      <c r="A2945">
        <v>11663</v>
      </c>
      <c r="B2945">
        <v>1830197</v>
      </c>
      <c r="C2945" s="5">
        <v>46059</v>
      </c>
      <c r="D2945" t="s">
        <v>458</v>
      </c>
      <c r="E2945">
        <v>0</v>
      </c>
    </row>
    <row r="2946" spans="1:5">
      <c r="A2946">
        <v>11676</v>
      </c>
      <c r="B2946">
        <v>1830197</v>
      </c>
      <c r="C2946" s="5">
        <v>46059</v>
      </c>
      <c r="D2946" t="s">
        <v>458</v>
      </c>
      <c r="E2946">
        <v>0</v>
      </c>
    </row>
    <row r="2947" spans="1:5">
      <c r="A2947">
        <v>11720</v>
      </c>
      <c r="B2947">
        <v>1830197</v>
      </c>
      <c r="C2947" s="5">
        <v>46059</v>
      </c>
      <c r="D2947" t="s">
        <v>458</v>
      </c>
      <c r="E2947">
        <v>0</v>
      </c>
    </row>
    <row r="2948" spans="1:5">
      <c r="A2948">
        <v>11883</v>
      </c>
      <c r="B2948">
        <v>1830197</v>
      </c>
      <c r="C2948" s="5">
        <v>46059</v>
      </c>
      <c r="D2948" t="s">
        <v>458</v>
      </c>
      <c r="E2948">
        <v>4</v>
      </c>
    </row>
    <row r="2949" spans="1:5">
      <c r="A2949">
        <v>12037</v>
      </c>
      <c r="B2949">
        <v>1830197</v>
      </c>
      <c r="C2949" s="5">
        <v>46059</v>
      </c>
      <c r="D2949" t="s">
        <v>458</v>
      </c>
      <c r="E2949">
        <v>0</v>
      </c>
    </row>
    <row r="2950" spans="1:5">
      <c r="A2950">
        <v>12063</v>
      </c>
      <c r="B2950">
        <v>1830197</v>
      </c>
      <c r="C2950" s="5">
        <v>46059</v>
      </c>
      <c r="D2950" t="s">
        <v>458</v>
      </c>
      <c r="E2950">
        <v>0</v>
      </c>
    </row>
    <row r="2951" spans="1:5">
      <c r="A2951">
        <v>12234</v>
      </c>
      <c r="B2951">
        <v>1830197</v>
      </c>
      <c r="C2951" s="5">
        <v>46059</v>
      </c>
      <c r="D2951" t="s">
        <v>458</v>
      </c>
      <c r="E2951">
        <v>25</v>
      </c>
    </row>
    <row r="2952" spans="1:5">
      <c r="A2952">
        <v>12244</v>
      </c>
      <c r="B2952">
        <v>1830197</v>
      </c>
      <c r="C2952" s="5">
        <v>46059</v>
      </c>
      <c r="D2952" t="s">
        <v>458</v>
      </c>
      <c r="E2952">
        <v>0</v>
      </c>
    </row>
    <row r="2953" spans="1:5">
      <c r="A2953">
        <v>12245</v>
      </c>
      <c r="B2953">
        <v>1830197</v>
      </c>
      <c r="C2953" s="5">
        <v>46059</v>
      </c>
      <c r="D2953" t="s">
        <v>458</v>
      </c>
      <c r="E2953">
        <v>0</v>
      </c>
    </row>
    <row r="2954" spans="1:5">
      <c r="A2954">
        <v>12322</v>
      </c>
      <c r="B2954">
        <v>1830197</v>
      </c>
      <c r="C2954" s="5">
        <v>46059</v>
      </c>
      <c r="D2954" t="s">
        <v>458</v>
      </c>
      <c r="E2954">
        <v>0</v>
      </c>
    </row>
    <row r="2955" spans="1:5">
      <c r="A2955">
        <v>12713</v>
      </c>
      <c r="B2955">
        <v>1830197</v>
      </c>
      <c r="C2955" s="5">
        <v>46059</v>
      </c>
      <c r="D2955" t="s">
        <v>458</v>
      </c>
      <c r="E2955">
        <v>49</v>
      </c>
    </row>
    <row r="2956" spans="1:5">
      <c r="A2956">
        <v>13201</v>
      </c>
      <c r="B2956">
        <v>1830197</v>
      </c>
      <c r="C2956" s="5">
        <v>46059</v>
      </c>
      <c r="D2956" t="s">
        <v>458</v>
      </c>
      <c r="E2956">
        <v>16</v>
      </c>
    </row>
    <row r="2957" spans="1:5">
      <c r="A2957">
        <v>13229</v>
      </c>
      <c r="B2957">
        <v>1830197</v>
      </c>
      <c r="C2957" s="5">
        <v>46059</v>
      </c>
      <c r="D2957" t="s">
        <v>458</v>
      </c>
      <c r="E2957">
        <v>0</v>
      </c>
    </row>
    <row r="2958" spans="1:5">
      <c r="A2958">
        <v>13322</v>
      </c>
      <c r="B2958">
        <v>1830197</v>
      </c>
      <c r="C2958" s="5">
        <v>46059</v>
      </c>
      <c r="D2958" t="s">
        <v>458</v>
      </c>
      <c r="E2958">
        <v>0</v>
      </c>
    </row>
    <row r="2959" spans="1:5">
      <c r="A2959">
        <v>13450</v>
      </c>
      <c r="B2959">
        <v>1830197</v>
      </c>
      <c r="C2959" s="5">
        <v>46059</v>
      </c>
      <c r="D2959" t="s">
        <v>458</v>
      </c>
      <c r="E2959">
        <v>0</v>
      </c>
    </row>
    <row r="2960" spans="1:5">
      <c r="A2960">
        <v>13451</v>
      </c>
      <c r="B2960">
        <v>1830197</v>
      </c>
      <c r="C2960" s="5">
        <v>46059</v>
      </c>
      <c r="D2960" t="s">
        <v>458</v>
      </c>
      <c r="E2960">
        <v>0</v>
      </c>
    </row>
    <row r="2961" spans="1:5">
      <c r="A2961">
        <v>13537</v>
      </c>
      <c r="B2961">
        <v>1830197</v>
      </c>
      <c r="C2961" s="5">
        <v>46059</v>
      </c>
      <c r="D2961" t="s">
        <v>458</v>
      </c>
      <c r="E2961">
        <v>0</v>
      </c>
    </row>
    <row r="2962" spans="1:5">
      <c r="A2962">
        <v>13539</v>
      </c>
      <c r="B2962">
        <v>1830197</v>
      </c>
      <c r="C2962" s="5">
        <v>46059</v>
      </c>
      <c r="D2962" t="s">
        <v>458</v>
      </c>
      <c r="E2962">
        <v>0</v>
      </c>
    </row>
    <row r="2963" spans="1:5">
      <c r="A2963">
        <v>13540</v>
      </c>
      <c r="B2963">
        <v>1830197</v>
      </c>
      <c r="C2963" s="5">
        <v>46059</v>
      </c>
      <c r="D2963" t="s">
        <v>458</v>
      </c>
      <c r="E2963">
        <v>0</v>
      </c>
    </row>
    <row r="2964" spans="1:5">
      <c r="A2964">
        <v>13541</v>
      </c>
      <c r="B2964">
        <v>1830197</v>
      </c>
      <c r="C2964" s="5">
        <v>46059</v>
      </c>
      <c r="D2964" t="s">
        <v>458</v>
      </c>
      <c r="E2964">
        <v>0</v>
      </c>
    </row>
    <row r="2965" spans="1:5">
      <c r="A2965">
        <v>13542</v>
      </c>
      <c r="B2965">
        <v>1830197</v>
      </c>
      <c r="C2965" s="5">
        <v>46059</v>
      </c>
      <c r="D2965" t="s">
        <v>458</v>
      </c>
      <c r="E2965">
        <v>0</v>
      </c>
    </row>
    <row r="2966" spans="1:5">
      <c r="A2966">
        <v>13837</v>
      </c>
      <c r="B2966">
        <v>1830197</v>
      </c>
      <c r="C2966" s="5">
        <v>46059</v>
      </c>
      <c r="D2966" t="s">
        <v>458</v>
      </c>
      <c r="E2966">
        <v>0</v>
      </c>
    </row>
    <row r="2967" spans="1:5">
      <c r="A2967">
        <v>13874</v>
      </c>
      <c r="B2967">
        <v>1830197</v>
      </c>
      <c r="C2967" s="5">
        <v>46059</v>
      </c>
      <c r="D2967" t="s">
        <v>458</v>
      </c>
      <c r="E2967">
        <v>0</v>
      </c>
    </row>
    <row r="2968" spans="1:5">
      <c r="A2968">
        <v>14069</v>
      </c>
      <c r="B2968">
        <v>1830197</v>
      </c>
      <c r="C2968" s="5">
        <v>46059</v>
      </c>
      <c r="D2968" t="s">
        <v>458</v>
      </c>
      <c r="E2968">
        <v>0</v>
      </c>
    </row>
    <row r="2969" spans="1:5">
      <c r="A2969">
        <v>14165</v>
      </c>
      <c r="B2969">
        <v>1830197</v>
      </c>
      <c r="C2969" s="5">
        <v>46059</v>
      </c>
      <c r="D2969" t="s">
        <v>458</v>
      </c>
      <c r="E2969">
        <v>80</v>
      </c>
    </row>
    <row r="2970" spans="1:5">
      <c r="A2970">
        <v>14186</v>
      </c>
      <c r="B2970">
        <v>1830197</v>
      </c>
      <c r="C2970" s="5">
        <v>46059</v>
      </c>
      <c r="D2970" t="s">
        <v>458</v>
      </c>
      <c r="E2970">
        <v>0</v>
      </c>
    </row>
    <row r="2971" spans="1:5">
      <c r="A2971">
        <v>14198</v>
      </c>
      <c r="B2971">
        <v>1830197</v>
      </c>
      <c r="C2971" s="5">
        <v>46059</v>
      </c>
      <c r="D2971" t="s">
        <v>458</v>
      </c>
      <c r="E2971">
        <v>4</v>
      </c>
    </row>
    <row r="2972" spans="1:5">
      <c r="A2972">
        <v>14265</v>
      </c>
      <c r="B2972">
        <v>1830197</v>
      </c>
      <c r="C2972" s="5">
        <v>46059</v>
      </c>
      <c r="D2972" t="s">
        <v>458</v>
      </c>
      <c r="E2972">
        <v>0</v>
      </c>
    </row>
    <row r="2973" spans="1:5">
      <c r="A2973">
        <v>14410</v>
      </c>
      <c r="B2973">
        <v>1830197</v>
      </c>
      <c r="C2973" s="5">
        <v>46059</v>
      </c>
      <c r="D2973" t="s">
        <v>458</v>
      </c>
      <c r="E2973">
        <v>0</v>
      </c>
    </row>
    <row r="2974" spans="1:5">
      <c r="A2974">
        <v>14430</v>
      </c>
      <c r="B2974">
        <v>1830197</v>
      </c>
      <c r="C2974" s="5">
        <v>46059</v>
      </c>
      <c r="D2974" t="s">
        <v>458</v>
      </c>
      <c r="E2974">
        <v>0.1</v>
      </c>
    </row>
    <row r="2975" spans="1:5">
      <c r="A2975">
        <v>14540</v>
      </c>
      <c r="B2975">
        <v>1830197</v>
      </c>
      <c r="C2975" s="5">
        <v>46059</v>
      </c>
      <c r="D2975" t="s">
        <v>458</v>
      </c>
      <c r="E2975">
        <v>0</v>
      </c>
    </row>
    <row r="2976" spans="1:5">
      <c r="A2976">
        <v>14587</v>
      </c>
      <c r="B2976">
        <v>1830197</v>
      </c>
      <c r="C2976" s="5">
        <v>46059</v>
      </c>
      <c r="D2976" t="s">
        <v>458</v>
      </c>
      <c r="E2976">
        <v>0</v>
      </c>
    </row>
    <row r="2977" spans="1:5">
      <c r="A2977">
        <v>14707</v>
      </c>
      <c r="B2977">
        <v>1830197</v>
      </c>
      <c r="C2977" s="5">
        <v>46059</v>
      </c>
      <c r="D2977" t="s">
        <v>458</v>
      </c>
      <c r="E2977">
        <v>0</v>
      </c>
    </row>
    <row r="2978" spans="1:5">
      <c r="A2978">
        <v>14752</v>
      </c>
      <c r="B2978">
        <v>1830197</v>
      </c>
      <c r="C2978" s="5">
        <v>46059</v>
      </c>
      <c r="D2978" t="s">
        <v>458</v>
      </c>
      <c r="E2978">
        <v>0</v>
      </c>
    </row>
    <row r="2979" spans="1:5">
      <c r="A2979">
        <v>14838</v>
      </c>
      <c r="B2979">
        <v>1830197</v>
      </c>
      <c r="C2979" s="5">
        <v>46059</v>
      </c>
      <c r="D2979" t="s">
        <v>458</v>
      </c>
      <c r="E2979">
        <v>0</v>
      </c>
    </row>
    <row r="2980" spans="1:5">
      <c r="A2980">
        <v>15065</v>
      </c>
      <c r="B2980">
        <v>1830197</v>
      </c>
      <c r="C2980" s="5">
        <v>46059</v>
      </c>
      <c r="D2980" t="s">
        <v>458</v>
      </c>
      <c r="E2980">
        <v>0</v>
      </c>
    </row>
    <row r="2981" spans="1:5">
      <c r="A2981">
        <v>15114</v>
      </c>
      <c r="B2981">
        <v>1830197</v>
      </c>
      <c r="C2981" s="5">
        <v>46059</v>
      </c>
      <c r="D2981" t="s">
        <v>458</v>
      </c>
      <c r="E2981">
        <v>0</v>
      </c>
    </row>
    <row r="2982" spans="1:5">
      <c r="A2982">
        <v>15196</v>
      </c>
      <c r="B2982">
        <v>1830197</v>
      </c>
      <c r="C2982" s="5">
        <v>46059</v>
      </c>
      <c r="D2982" t="s">
        <v>458</v>
      </c>
      <c r="E2982">
        <v>0</v>
      </c>
    </row>
    <row r="2983" spans="1:5">
      <c r="A2983">
        <v>15306</v>
      </c>
      <c r="B2983">
        <v>1830197</v>
      </c>
      <c r="C2983" s="5">
        <v>46059</v>
      </c>
      <c r="D2983" t="s">
        <v>458</v>
      </c>
      <c r="E2983">
        <v>0</v>
      </c>
    </row>
    <row r="2984" spans="1:5">
      <c r="A2984">
        <v>15339</v>
      </c>
      <c r="B2984">
        <v>1830197</v>
      </c>
      <c r="C2984" s="5">
        <v>46059</v>
      </c>
      <c r="D2984" t="s">
        <v>458</v>
      </c>
      <c r="E2984">
        <v>0</v>
      </c>
    </row>
    <row r="2985" spans="1:5">
      <c r="A2985">
        <v>15394</v>
      </c>
      <c r="B2985">
        <v>1830197</v>
      </c>
      <c r="C2985" s="5">
        <v>46059</v>
      </c>
      <c r="D2985" t="s">
        <v>458</v>
      </c>
      <c r="E2985">
        <v>0</v>
      </c>
    </row>
    <row r="2986" spans="1:5">
      <c r="A2986">
        <v>15395</v>
      </c>
      <c r="B2986">
        <v>1830197</v>
      </c>
      <c r="C2986" s="5">
        <v>46059</v>
      </c>
      <c r="D2986" t="s">
        <v>458</v>
      </c>
      <c r="E2986">
        <v>0</v>
      </c>
    </row>
    <row r="2987" spans="1:5">
      <c r="A2987">
        <v>15652</v>
      </c>
      <c r="B2987">
        <v>1830197</v>
      </c>
      <c r="C2987" s="5">
        <v>46059</v>
      </c>
      <c r="D2987" t="s">
        <v>458</v>
      </c>
      <c r="E2987">
        <v>0</v>
      </c>
    </row>
    <row r="2988" spans="1:5">
      <c r="A2988">
        <v>15653</v>
      </c>
      <c r="B2988">
        <v>1830197</v>
      </c>
      <c r="C2988" s="5">
        <v>46059</v>
      </c>
      <c r="D2988" t="s">
        <v>458</v>
      </c>
      <c r="E2988">
        <v>0</v>
      </c>
    </row>
    <row r="2989" spans="1:5">
      <c r="A2989">
        <v>15678</v>
      </c>
      <c r="B2989">
        <v>1830197</v>
      </c>
      <c r="C2989" s="5">
        <v>46059</v>
      </c>
      <c r="D2989" t="s">
        <v>458</v>
      </c>
      <c r="E2989">
        <v>39</v>
      </c>
    </row>
    <row r="2990" spans="1:5">
      <c r="A2990">
        <v>15825</v>
      </c>
      <c r="B2990">
        <v>1830197</v>
      </c>
      <c r="C2990" s="5">
        <v>46059</v>
      </c>
      <c r="D2990" t="s">
        <v>458</v>
      </c>
      <c r="E2990">
        <v>7</v>
      </c>
    </row>
    <row r="2991" spans="1:5">
      <c r="A2991">
        <v>15982</v>
      </c>
      <c r="B2991">
        <v>1830197</v>
      </c>
      <c r="C2991" s="5">
        <v>46059</v>
      </c>
      <c r="D2991" t="s">
        <v>458</v>
      </c>
      <c r="E2991">
        <v>0.92</v>
      </c>
    </row>
    <row r="2992" spans="1:5">
      <c r="A2992">
        <v>16033</v>
      </c>
      <c r="B2992">
        <v>1830197</v>
      </c>
      <c r="C2992" s="5">
        <v>46059</v>
      </c>
      <c r="D2992" t="s">
        <v>458</v>
      </c>
      <c r="E2992">
        <v>0</v>
      </c>
    </row>
    <row r="2993" spans="1:5">
      <c r="A2993">
        <v>16045</v>
      </c>
      <c r="B2993">
        <v>1830197</v>
      </c>
      <c r="C2993" s="5">
        <v>46059</v>
      </c>
      <c r="D2993" t="s">
        <v>458</v>
      </c>
      <c r="E2993">
        <v>0</v>
      </c>
    </row>
    <row r="2994" spans="1:5">
      <c r="A2994">
        <v>16381</v>
      </c>
      <c r="B2994">
        <v>1830197</v>
      </c>
      <c r="C2994" s="5">
        <v>46059</v>
      </c>
      <c r="D2994" t="s">
        <v>458</v>
      </c>
      <c r="E2994">
        <v>0</v>
      </c>
    </row>
    <row r="2995" spans="1:5">
      <c r="A2995">
        <v>16387</v>
      </c>
      <c r="B2995">
        <v>1830197</v>
      </c>
      <c r="C2995" s="5">
        <v>46059</v>
      </c>
      <c r="D2995" t="s">
        <v>458</v>
      </c>
      <c r="E2995">
        <v>4</v>
      </c>
    </row>
    <row r="2996" spans="1:5">
      <c r="A2996">
        <v>16564</v>
      </c>
      <c r="B2996">
        <v>1830197</v>
      </c>
      <c r="C2996" s="5">
        <v>46059</v>
      </c>
      <c r="D2996" t="s">
        <v>458</v>
      </c>
      <c r="E2996">
        <v>0</v>
      </c>
    </row>
    <row r="2997" spans="1:5">
      <c r="A2997">
        <v>16565</v>
      </c>
      <c r="B2997">
        <v>1830197</v>
      </c>
      <c r="C2997" s="5">
        <v>46059</v>
      </c>
      <c r="D2997" t="s">
        <v>458</v>
      </c>
      <c r="E2997">
        <v>0</v>
      </c>
    </row>
    <row r="2998" spans="1:5">
      <c r="A2998">
        <v>16569</v>
      </c>
      <c r="B2998">
        <v>1830197</v>
      </c>
      <c r="C2998" s="5">
        <v>46059</v>
      </c>
      <c r="D2998" t="s">
        <v>458</v>
      </c>
      <c r="E2998">
        <v>0</v>
      </c>
    </row>
    <row r="2999" spans="1:5">
      <c r="A2999">
        <v>17091</v>
      </c>
      <c r="B2999">
        <v>1830197</v>
      </c>
      <c r="C2999" s="5">
        <v>46059</v>
      </c>
      <c r="D2999" t="s">
        <v>458</v>
      </c>
      <c r="E2999">
        <v>0</v>
      </c>
    </row>
    <row r="3000" spans="1:5">
      <c r="A3000">
        <v>17113</v>
      </c>
      <c r="B3000">
        <v>1830197</v>
      </c>
      <c r="C3000" s="5">
        <v>46059</v>
      </c>
      <c r="D3000" t="s">
        <v>458</v>
      </c>
      <c r="E3000">
        <v>0</v>
      </c>
    </row>
    <row r="3001" spans="1:5">
      <c r="A3001">
        <v>17362</v>
      </c>
      <c r="B3001">
        <v>1830197</v>
      </c>
      <c r="C3001" s="5">
        <v>46059</v>
      </c>
      <c r="D3001" t="s">
        <v>458</v>
      </c>
      <c r="E3001">
        <v>0</v>
      </c>
    </row>
    <row r="3002" spans="1:5">
      <c r="A3002">
        <v>17363</v>
      </c>
      <c r="B3002">
        <v>1830197</v>
      </c>
      <c r="C3002" s="5">
        <v>46059</v>
      </c>
      <c r="D3002" t="s">
        <v>458</v>
      </c>
      <c r="E3002">
        <v>-2</v>
      </c>
    </row>
    <row r="3003" spans="1:5">
      <c r="A3003">
        <v>17383</v>
      </c>
      <c r="B3003">
        <v>1830197</v>
      </c>
      <c r="C3003" s="5">
        <v>46059</v>
      </c>
      <c r="D3003" t="s">
        <v>458</v>
      </c>
      <c r="E3003">
        <v>0</v>
      </c>
    </row>
    <row r="3004" spans="1:5">
      <c r="A3004">
        <v>17384</v>
      </c>
      <c r="B3004">
        <v>1830197</v>
      </c>
      <c r="C3004" s="5">
        <v>46059</v>
      </c>
      <c r="D3004" t="s">
        <v>458</v>
      </c>
      <c r="E3004">
        <v>0</v>
      </c>
    </row>
    <row r="3005" spans="1:5">
      <c r="A3005">
        <v>17385</v>
      </c>
      <c r="B3005">
        <v>1830197</v>
      </c>
      <c r="C3005" s="5">
        <v>46059</v>
      </c>
      <c r="D3005" t="s">
        <v>458</v>
      </c>
      <c r="E3005">
        <v>1</v>
      </c>
    </row>
    <row r="3006" spans="1:5">
      <c r="A3006">
        <v>17482</v>
      </c>
      <c r="B3006">
        <v>1830197</v>
      </c>
      <c r="C3006" s="5">
        <v>46059</v>
      </c>
      <c r="D3006" t="s">
        <v>458</v>
      </c>
      <c r="E3006">
        <v>0</v>
      </c>
    </row>
    <row r="3007" spans="1:5">
      <c r="A3007">
        <v>17515</v>
      </c>
      <c r="B3007">
        <v>1830197</v>
      </c>
      <c r="C3007" s="5">
        <v>46059</v>
      </c>
      <c r="D3007" t="s">
        <v>458</v>
      </c>
      <c r="E3007">
        <v>4</v>
      </c>
    </row>
    <row r="3008" spans="1:5">
      <c r="A3008">
        <v>17581</v>
      </c>
      <c r="B3008">
        <v>1830197</v>
      </c>
      <c r="C3008" s="5">
        <v>46059</v>
      </c>
      <c r="D3008" t="s">
        <v>458</v>
      </c>
      <c r="E3008">
        <v>100</v>
      </c>
    </row>
    <row r="3009" spans="1:5">
      <c r="A3009">
        <v>17588</v>
      </c>
      <c r="B3009">
        <v>1830197</v>
      </c>
      <c r="C3009" s="5">
        <v>46059</v>
      </c>
      <c r="D3009" t="s">
        <v>458</v>
      </c>
      <c r="E3009">
        <v>0</v>
      </c>
    </row>
    <row r="3010" spans="1:5">
      <c r="A3010">
        <v>17639</v>
      </c>
      <c r="B3010">
        <v>1830197</v>
      </c>
      <c r="C3010" s="5">
        <v>46059</v>
      </c>
      <c r="D3010" t="s">
        <v>458</v>
      </c>
      <c r="E3010">
        <v>0</v>
      </c>
    </row>
    <row r="3011" spans="1:5">
      <c r="A3011">
        <v>17771</v>
      </c>
      <c r="B3011">
        <v>1830197</v>
      </c>
      <c r="C3011" s="5">
        <v>46059</v>
      </c>
      <c r="D3011" t="s">
        <v>458</v>
      </c>
      <c r="E3011">
        <v>0</v>
      </c>
    </row>
    <row r="3012" spans="1:5">
      <c r="A3012">
        <v>17774</v>
      </c>
      <c r="B3012">
        <v>1830197</v>
      </c>
      <c r="C3012" s="5">
        <v>46059</v>
      </c>
      <c r="D3012" t="s">
        <v>458</v>
      </c>
      <c r="E3012">
        <v>0</v>
      </c>
    </row>
    <row r="3013" spans="1:5">
      <c r="A3013">
        <v>17775</v>
      </c>
      <c r="B3013">
        <v>1830197</v>
      </c>
      <c r="C3013" s="5">
        <v>46059</v>
      </c>
      <c r="D3013" t="s">
        <v>458</v>
      </c>
      <c r="E3013">
        <v>0</v>
      </c>
    </row>
    <row r="3014" spans="1:5">
      <c r="A3014">
        <v>17849</v>
      </c>
      <c r="B3014">
        <v>1830197</v>
      </c>
      <c r="C3014" s="5">
        <v>46059</v>
      </c>
      <c r="D3014" t="s">
        <v>458</v>
      </c>
      <c r="E3014">
        <v>0</v>
      </c>
    </row>
    <row r="3015" spans="1:5">
      <c r="A3015">
        <v>17947</v>
      </c>
      <c r="B3015">
        <v>1830197</v>
      </c>
      <c r="C3015" s="5">
        <v>46059</v>
      </c>
      <c r="D3015" t="s">
        <v>458</v>
      </c>
      <c r="E3015">
        <v>0</v>
      </c>
    </row>
    <row r="3016" spans="1:5">
      <c r="A3016">
        <v>18087</v>
      </c>
      <c r="B3016">
        <v>1830197</v>
      </c>
      <c r="C3016" s="5">
        <v>46059</v>
      </c>
      <c r="D3016" t="s">
        <v>458</v>
      </c>
      <c r="E3016">
        <v>0</v>
      </c>
    </row>
    <row r="3017" spans="1:5">
      <c r="A3017">
        <v>18088</v>
      </c>
      <c r="B3017">
        <v>1830197</v>
      </c>
      <c r="C3017" s="5">
        <v>46059</v>
      </c>
      <c r="D3017" t="s">
        <v>458</v>
      </c>
      <c r="E3017">
        <v>0</v>
      </c>
    </row>
    <row r="3018" spans="1:5">
      <c r="A3018">
        <v>18161</v>
      </c>
      <c r="B3018">
        <v>1830197</v>
      </c>
      <c r="C3018" s="5">
        <v>46059</v>
      </c>
      <c r="D3018" t="s">
        <v>458</v>
      </c>
      <c r="E3018">
        <v>0</v>
      </c>
    </row>
    <row r="3019" spans="1:5">
      <c r="A3019">
        <v>18229</v>
      </c>
      <c r="B3019">
        <v>1830197</v>
      </c>
      <c r="C3019" s="5">
        <v>46059</v>
      </c>
      <c r="D3019" t="s">
        <v>458</v>
      </c>
      <c r="E3019">
        <v>0</v>
      </c>
    </row>
    <row r="3020" spans="1:5">
      <c r="A3020">
        <v>18309</v>
      </c>
      <c r="B3020">
        <v>1830197</v>
      </c>
      <c r="C3020" s="5">
        <v>46059</v>
      </c>
      <c r="D3020" t="s">
        <v>458</v>
      </c>
      <c r="E3020">
        <v>0</v>
      </c>
    </row>
    <row r="3021" spans="1:5">
      <c r="A3021">
        <v>18310</v>
      </c>
      <c r="B3021">
        <v>1830197</v>
      </c>
      <c r="C3021" s="5">
        <v>46059</v>
      </c>
      <c r="D3021" t="s">
        <v>458</v>
      </c>
      <c r="E3021">
        <v>0</v>
      </c>
    </row>
    <row r="3022" spans="1:5">
      <c r="A3022">
        <v>18342</v>
      </c>
      <c r="B3022">
        <v>1830197</v>
      </c>
      <c r="C3022" s="5">
        <v>46059</v>
      </c>
      <c r="D3022" t="s">
        <v>458</v>
      </c>
      <c r="E3022">
        <v>80</v>
      </c>
    </row>
    <row r="3023" spans="1:5">
      <c r="A3023">
        <v>18471</v>
      </c>
      <c r="B3023">
        <v>1830197</v>
      </c>
      <c r="C3023" s="5">
        <v>46059</v>
      </c>
      <c r="D3023" t="s">
        <v>458</v>
      </c>
      <c r="E3023">
        <v>0</v>
      </c>
    </row>
    <row r="3024" spans="1:5">
      <c r="A3024">
        <v>18472</v>
      </c>
      <c r="B3024">
        <v>1830197</v>
      </c>
      <c r="C3024" s="5">
        <v>46059</v>
      </c>
      <c r="D3024" t="s">
        <v>458</v>
      </c>
      <c r="E3024">
        <v>0</v>
      </c>
    </row>
    <row r="3025" spans="1:5">
      <c r="A3025">
        <v>18626</v>
      </c>
      <c r="B3025">
        <v>1830197</v>
      </c>
      <c r="C3025" s="5">
        <v>46059</v>
      </c>
      <c r="D3025" t="s">
        <v>458</v>
      </c>
      <c r="E3025">
        <v>0</v>
      </c>
    </row>
    <row r="3026" spans="1:5">
      <c r="A3026">
        <v>18640</v>
      </c>
      <c r="B3026">
        <v>1830197</v>
      </c>
      <c r="C3026" s="5">
        <v>46059</v>
      </c>
      <c r="D3026" t="s">
        <v>458</v>
      </c>
      <c r="E3026">
        <v>0</v>
      </c>
    </row>
    <row r="3027" spans="1:5">
      <c r="A3027">
        <v>18649</v>
      </c>
      <c r="B3027">
        <v>1830197</v>
      </c>
      <c r="C3027" s="5">
        <v>46059</v>
      </c>
      <c r="D3027" t="s">
        <v>458</v>
      </c>
      <c r="E3027">
        <v>41</v>
      </c>
    </row>
    <row r="3028" spans="1:5">
      <c r="A3028">
        <v>19050</v>
      </c>
      <c r="B3028">
        <v>1830197</v>
      </c>
      <c r="C3028" s="5">
        <v>46059</v>
      </c>
      <c r="D3028" t="s">
        <v>458</v>
      </c>
      <c r="E3028">
        <v>0</v>
      </c>
    </row>
    <row r="3029" spans="1:5">
      <c r="A3029">
        <v>19051</v>
      </c>
      <c r="B3029">
        <v>1830197</v>
      </c>
      <c r="C3029" s="5">
        <v>46059</v>
      </c>
      <c r="D3029" t="s">
        <v>458</v>
      </c>
      <c r="E3029">
        <v>0</v>
      </c>
    </row>
    <row r="3030" spans="1:5">
      <c r="A3030">
        <v>19060</v>
      </c>
      <c r="B3030">
        <v>1830197</v>
      </c>
      <c r="C3030" s="5">
        <v>46059</v>
      </c>
      <c r="D3030" t="s">
        <v>458</v>
      </c>
      <c r="E3030">
        <v>0</v>
      </c>
    </row>
    <row r="3031" spans="1:5">
      <c r="A3031">
        <v>19235</v>
      </c>
      <c r="B3031">
        <v>1830197</v>
      </c>
      <c r="C3031" s="5">
        <v>46059</v>
      </c>
      <c r="D3031" t="s">
        <v>458</v>
      </c>
      <c r="E3031">
        <v>0</v>
      </c>
    </row>
    <row r="3032" spans="1:5">
      <c r="A3032">
        <v>19236</v>
      </c>
      <c r="B3032">
        <v>1830197</v>
      </c>
      <c r="C3032" s="5">
        <v>46059</v>
      </c>
      <c r="D3032" t="s">
        <v>458</v>
      </c>
      <c r="E3032">
        <v>0</v>
      </c>
    </row>
    <row r="3033" spans="1:5">
      <c r="A3033">
        <v>19346</v>
      </c>
      <c r="B3033">
        <v>1830197</v>
      </c>
      <c r="C3033" s="5">
        <v>46059</v>
      </c>
      <c r="D3033" t="s">
        <v>458</v>
      </c>
      <c r="E3033">
        <v>0</v>
      </c>
    </row>
    <row r="3034" spans="1:5">
      <c r="A3034">
        <v>19500</v>
      </c>
      <c r="B3034">
        <v>1830197</v>
      </c>
      <c r="C3034" s="5">
        <v>46059</v>
      </c>
      <c r="D3034" t="s">
        <v>458</v>
      </c>
      <c r="E3034">
        <v>0</v>
      </c>
    </row>
    <row r="3035" spans="1:5">
      <c r="A3035">
        <v>19541</v>
      </c>
      <c r="B3035">
        <v>1830197</v>
      </c>
      <c r="C3035" s="5">
        <v>46059</v>
      </c>
      <c r="D3035" t="s">
        <v>458</v>
      </c>
      <c r="E3035">
        <v>0</v>
      </c>
    </row>
    <row r="3036" spans="1:5">
      <c r="A3036">
        <v>19670</v>
      </c>
      <c r="B3036">
        <v>1830197</v>
      </c>
      <c r="C3036" s="5">
        <v>46059</v>
      </c>
      <c r="D3036" t="s">
        <v>458</v>
      </c>
      <c r="E3036">
        <v>0</v>
      </c>
    </row>
    <row r="3037" spans="1:5">
      <c r="A3037">
        <v>19701</v>
      </c>
      <c r="B3037">
        <v>1830197</v>
      </c>
      <c r="C3037" s="5">
        <v>46059</v>
      </c>
      <c r="D3037" t="s">
        <v>458</v>
      </c>
      <c r="E3037">
        <v>0</v>
      </c>
    </row>
    <row r="3038" spans="1:5">
      <c r="A3038">
        <v>20091</v>
      </c>
      <c r="B3038">
        <v>1830197</v>
      </c>
      <c r="C3038" s="5">
        <v>46059</v>
      </c>
      <c r="D3038" t="s">
        <v>458</v>
      </c>
      <c r="E3038">
        <v>0.5</v>
      </c>
    </row>
    <row r="3039" spans="1:5">
      <c r="A3039">
        <v>20096</v>
      </c>
      <c r="B3039">
        <v>1830197</v>
      </c>
      <c r="C3039" s="5">
        <v>46059</v>
      </c>
      <c r="D3039" t="s">
        <v>458</v>
      </c>
      <c r="E3039">
        <v>-2</v>
      </c>
    </row>
    <row r="3040" spans="1:5">
      <c r="A3040">
        <v>20124</v>
      </c>
      <c r="B3040">
        <v>1830197</v>
      </c>
      <c r="C3040" s="5">
        <v>46059</v>
      </c>
      <c r="D3040" t="s">
        <v>458</v>
      </c>
      <c r="E3040">
        <v>25</v>
      </c>
    </row>
    <row r="3041" spans="1:5">
      <c r="A3041">
        <v>20245</v>
      </c>
      <c r="B3041">
        <v>1830197</v>
      </c>
      <c r="C3041" s="5">
        <v>46059</v>
      </c>
      <c r="D3041" t="s">
        <v>458</v>
      </c>
      <c r="E3041">
        <v>0</v>
      </c>
    </row>
    <row r="3042" spans="1:5">
      <c r="A3042">
        <v>22061</v>
      </c>
      <c r="B3042">
        <v>1830197</v>
      </c>
      <c r="C3042" s="5">
        <v>46059</v>
      </c>
      <c r="D3042" t="s">
        <v>458</v>
      </c>
      <c r="E3042">
        <v>0</v>
      </c>
    </row>
    <row r="3043" spans="1:5">
      <c r="A3043">
        <v>22070</v>
      </c>
      <c r="B3043">
        <v>1830197</v>
      </c>
      <c r="C3043" s="5">
        <v>46059</v>
      </c>
      <c r="D3043" t="s">
        <v>458</v>
      </c>
      <c r="E3043">
        <v>0</v>
      </c>
    </row>
    <row r="3044" spans="1:5">
      <c r="A3044">
        <v>22388</v>
      </c>
      <c r="B3044">
        <v>1830197</v>
      </c>
      <c r="C3044" s="5">
        <v>46059</v>
      </c>
      <c r="D3044" t="s">
        <v>458</v>
      </c>
      <c r="E3044">
        <v>21</v>
      </c>
    </row>
    <row r="3045" spans="1:5">
      <c r="A3045">
        <v>23991</v>
      </c>
      <c r="B3045">
        <v>1830197</v>
      </c>
      <c r="C3045" s="5">
        <v>46059</v>
      </c>
      <c r="D3045" t="s">
        <v>458</v>
      </c>
      <c r="E3045">
        <v>0.97</v>
      </c>
    </row>
    <row r="3046" spans="1:5">
      <c r="A3046">
        <v>24276</v>
      </c>
      <c r="B3046">
        <v>1830197</v>
      </c>
      <c r="C3046" s="5">
        <v>46059</v>
      </c>
      <c r="D3046" t="s">
        <v>458</v>
      </c>
      <c r="E3046">
        <v>0</v>
      </c>
    </row>
    <row r="3047" spans="1:5">
      <c r="A3047">
        <v>24737</v>
      </c>
      <c r="B3047">
        <v>1830197</v>
      </c>
      <c r="C3047" s="5">
        <v>46059</v>
      </c>
      <c r="D3047" t="s">
        <v>458</v>
      </c>
      <c r="E3047">
        <v>0</v>
      </c>
    </row>
    <row r="3048" spans="1:5">
      <c r="A3048">
        <v>24738</v>
      </c>
      <c r="B3048">
        <v>1830197</v>
      </c>
      <c r="C3048" s="5">
        <v>46059</v>
      </c>
      <c r="D3048" t="s">
        <v>458</v>
      </c>
      <c r="E3048">
        <v>0</v>
      </c>
    </row>
    <row r="3049" spans="1:5">
      <c r="A3049">
        <v>30139</v>
      </c>
      <c r="B3049">
        <v>1830197</v>
      </c>
      <c r="C3049" s="5">
        <v>46059</v>
      </c>
      <c r="D3049" t="s">
        <v>458</v>
      </c>
      <c r="E3049">
        <v>2</v>
      </c>
    </row>
    <row r="3050" spans="1:5">
      <c r="A3050">
        <v>30140</v>
      </c>
      <c r="B3050">
        <v>1830197</v>
      </c>
      <c r="C3050" s="5">
        <v>46059</v>
      </c>
      <c r="D3050" t="s">
        <v>458</v>
      </c>
      <c r="E3050">
        <v>2</v>
      </c>
    </row>
    <row r="3051" spans="1:5">
      <c r="A3051">
        <v>30154</v>
      </c>
      <c r="B3051">
        <v>1830197</v>
      </c>
      <c r="C3051" s="5">
        <v>46059</v>
      </c>
      <c r="D3051" t="s">
        <v>458</v>
      </c>
      <c r="E3051">
        <v>0.5</v>
      </c>
    </row>
    <row r="3052" spans="1:5">
      <c r="A3052">
        <v>34120</v>
      </c>
      <c r="B3052">
        <v>1830197</v>
      </c>
      <c r="C3052" s="5">
        <v>46059</v>
      </c>
      <c r="D3052" t="s">
        <v>458</v>
      </c>
      <c r="E3052">
        <v>0</v>
      </c>
    </row>
    <row r="3053" spans="1:5">
      <c r="A3053">
        <v>36055</v>
      </c>
      <c r="B3053">
        <v>1830197</v>
      </c>
      <c r="C3053" s="5">
        <v>46059</v>
      </c>
      <c r="D3053" t="s">
        <v>458</v>
      </c>
      <c r="E3053">
        <v>0</v>
      </c>
    </row>
    <row r="3054" spans="1:5">
      <c r="A3054">
        <v>36061</v>
      </c>
      <c r="B3054">
        <v>1830197</v>
      </c>
      <c r="C3054" s="5">
        <v>46059</v>
      </c>
      <c r="D3054" t="s">
        <v>458</v>
      </c>
      <c r="E3054">
        <v>0</v>
      </c>
    </row>
    <row r="3055" spans="1:5">
      <c r="A3055">
        <v>37089</v>
      </c>
      <c r="B3055">
        <v>1830197</v>
      </c>
      <c r="C3055" s="5">
        <v>46059</v>
      </c>
      <c r="D3055" t="s">
        <v>458</v>
      </c>
      <c r="E3055">
        <v>0</v>
      </c>
    </row>
    <row r="3056" spans="1:5">
      <c r="A3056">
        <v>39852</v>
      </c>
      <c r="B3056">
        <v>1830197</v>
      </c>
      <c r="C3056" s="5">
        <v>46059</v>
      </c>
      <c r="D3056" t="s">
        <v>458</v>
      </c>
      <c r="E3056">
        <v>0</v>
      </c>
    </row>
    <row r="3057" spans="1:5">
      <c r="A3057">
        <v>40076</v>
      </c>
      <c r="B3057">
        <v>1830197</v>
      </c>
      <c r="C3057" s="5">
        <v>46059</v>
      </c>
      <c r="D3057" t="s">
        <v>458</v>
      </c>
      <c r="E3057">
        <v>0</v>
      </c>
    </row>
    <row r="3058" spans="1:5">
      <c r="A3058">
        <v>40077</v>
      </c>
      <c r="B3058">
        <v>1830197</v>
      </c>
      <c r="C3058" s="5">
        <v>46059</v>
      </c>
      <c r="D3058" t="s">
        <v>458</v>
      </c>
      <c r="E3058">
        <v>10</v>
      </c>
    </row>
    <row r="3059" spans="1:5">
      <c r="A3059">
        <v>40078</v>
      </c>
      <c r="B3059">
        <v>1830197</v>
      </c>
      <c r="C3059" s="5">
        <v>46059</v>
      </c>
      <c r="D3059" t="s">
        <v>458</v>
      </c>
      <c r="E3059">
        <v>3</v>
      </c>
    </row>
    <row r="3060" spans="1:5">
      <c r="A3060">
        <v>40079</v>
      </c>
      <c r="B3060">
        <v>1830197</v>
      </c>
      <c r="C3060" s="5">
        <v>46059</v>
      </c>
      <c r="D3060" t="s">
        <v>458</v>
      </c>
      <c r="E3060">
        <v>0</v>
      </c>
    </row>
    <row r="3061" spans="1:5">
      <c r="A3061">
        <v>45695</v>
      </c>
      <c r="B3061">
        <v>1830197</v>
      </c>
      <c r="C3061" s="5">
        <v>46059</v>
      </c>
      <c r="D3061" t="s">
        <v>458</v>
      </c>
      <c r="E3061">
        <v>21</v>
      </c>
    </row>
    <row r="3062" spans="1:5">
      <c r="A3062">
        <v>80174</v>
      </c>
      <c r="B3062">
        <v>1830197</v>
      </c>
      <c r="C3062" s="5">
        <v>46059</v>
      </c>
      <c r="D3062" t="s">
        <v>458</v>
      </c>
      <c r="E3062">
        <v>0</v>
      </c>
    </row>
    <row r="3063" spans="1:5">
      <c r="A3063">
        <v>84522</v>
      </c>
      <c r="B3063">
        <v>1830197</v>
      </c>
      <c r="C3063" s="5">
        <v>46059</v>
      </c>
      <c r="D3063" t="s">
        <v>458</v>
      </c>
      <c r="E3063">
        <v>2</v>
      </c>
    </row>
    <row r="3064" spans="1:5">
      <c r="A3064">
        <v>84523</v>
      </c>
      <c r="B3064">
        <v>1830197</v>
      </c>
      <c r="C3064" s="5">
        <v>46059</v>
      </c>
      <c r="D3064" t="s">
        <v>458</v>
      </c>
      <c r="E3064">
        <v>4</v>
      </c>
    </row>
    <row r="3065" spans="1:5">
      <c r="A3065">
        <v>87096</v>
      </c>
      <c r="B3065">
        <v>1830197</v>
      </c>
      <c r="C3065" s="5">
        <v>46059</v>
      </c>
      <c r="D3065" t="s">
        <v>458</v>
      </c>
      <c r="E3065">
        <v>0</v>
      </c>
    </row>
    <row r="3066" spans="1:5">
      <c r="A3066">
        <v>87098</v>
      </c>
      <c r="B3066">
        <v>1830197</v>
      </c>
      <c r="C3066" s="5">
        <v>46059</v>
      </c>
      <c r="D3066" t="s">
        <v>458</v>
      </c>
      <c r="E3066">
        <v>4</v>
      </c>
    </row>
    <row r="3067" spans="1:5">
      <c r="A3067">
        <v>91426</v>
      </c>
      <c r="B3067">
        <v>1830197</v>
      </c>
      <c r="C3067" s="5">
        <v>46059</v>
      </c>
      <c r="D3067" t="s">
        <v>458</v>
      </c>
      <c r="E3067">
        <v>0</v>
      </c>
    </row>
    <row r="3068" spans="1:5">
      <c r="A3068">
        <v>91427</v>
      </c>
      <c r="B3068">
        <v>1830197</v>
      </c>
      <c r="C3068" s="5">
        <v>46059</v>
      </c>
      <c r="D3068" t="s">
        <v>458</v>
      </c>
      <c r="E3068">
        <v>0</v>
      </c>
    </row>
    <row r="3069" spans="1:5">
      <c r="A3069">
        <v>91428</v>
      </c>
      <c r="B3069">
        <v>1830197</v>
      </c>
      <c r="C3069" s="5">
        <v>46059</v>
      </c>
      <c r="D3069" t="s">
        <v>458</v>
      </c>
      <c r="E3069">
        <v>0</v>
      </c>
    </row>
    <row r="3070" spans="1:5">
      <c r="A3070">
        <v>91429</v>
      </c>
      <c r="B3070">
        <v>1830197</v>
      </c>
      <c r="C3070" s="5">
        <v>46059</v>
      </c>
      <c r="D3070" t="s">
        <v>458</v>
      </c>
      <c r="E3070">
        <v>0</v>
      </c>
    </row>
    <row r="3071" spans="1:5">
      <c r="A3071">
        <v>91430</v>
      </c>
      <c r="B3071">
        <v>1830197</v>
      </c>
      <c r="C3071" s="5">
        <v>46059</v>
      </c>
      <c r="D3071" t="s">
        <v>458</v>
      </c>
      <c r="E3071">
        <v>0</v>
      </c>
    </row>
    <row r="3072" spans="1:5">
      <c r="A3072">
        <v>91431</v>
      </c>
      <c r="B3072">
        <v>1830197</v>
      </c>
      <c r="C3072" s="5">
        <v>46059</v>
      </c>
      <c r="D3072" t="s">
        <v>458</v>
      </c>
      <c r="E3072">
        <v>0</v>
      </c>
    </row>
    <row r="3073" spans="1:5">
      <c r="A3073">
        <v>91432</v>
      </c>
      <c r="B3073">
        <v>1830197</v>
      </c>
      <c r="C3073" s="5">
        <v>46059</v>
      </c>
      <c r="D3073" t="s">
        <v>458</v>
      </c>
      <c r="E3073">
        <v>0</v>
      </c>
    </row>
    <row r="3074" spans="1:5">
      <c r="A3074">
        <v>91433</v>
      </c>
      <c r="B3074">
        <v>1830197</v>
      </c>
      <c r="C3074" s="5">
        <v>46059</v>
      </c>
      <c r="D3074" t="s">
        <v>458</v>
      </c>
      <c r="E3074">
        <v>0</v>
      </c>
    </row>
    <row r="3075" spans="1:5">
      <c r="A3075">
        <v>92009</v>
      </c>
      <c r="B3075">
        <v>1830197</v>
      </c>
      <c r="C3075" s="5">
        <v>46059</v>
      </c>
      <c r="D3075" t="s">
        <v>458</v>
      </c>
      <c r="E3075">
        <v>0</v>
      </c>
    </row>
    <row r="3076" spans="1:5">
      <c r="A3076">
        <v>92084</v>
      </c>
      <c r="B3076">
        <v>1830197</v>
      </c>
      <c r="C3076" s="5">
        <v>46059</v>
      </c>
      <c r="D3076" t="s">
        <v>458</v>
      </c>
      <c r="E3076">
        <v>0</v>
      </c>
    </row>
    <row r="3077" spans="1:5">
      <c r="A3077">
        <v>93111</v>
      </c>
      <c r="B3077">
        <v>1830197</v>
      </c>
      <c r="C3077" s="5">
        <v>46059</v>
      </c>
      <c r="D3077" t="s">
        <v>458</v>
      </c>
      <c r="E3077">
        <v>0</v>
      </c>
    </row>
    <row r="3078" spans="1:5">
      <c r="A3078">
        <v>94827</v>
      </c>
      <c r="B3078">
        <v>1830197</v>
      </c>
      <c r="C3078" s="5">
        <v>46059</v>
      </c>
      <c r="D3078" t="s">
        <v>458</v>
      </c>
      <c r="E3078">
        <v>0</v>
      </c>
    </row>
    <row r="3079" spans="1:5">
      <c r="A3079">
        <v>94830</v>
      </c>
      <c r="B3079">
        <v>1830197</v>
      </c>
      <c r="C3079" s="5">
        <v>46059</v>
      </c>
      <c r="D3079" t="s">
        <v>458</v>
      </c>
      <c r="E3079">
        <v>0</v>
      </c>
    </row>
    <row r="3080" spans="1:5">
      <c r="A3080">
        <v>94833</v>
      </c>
      <c r="B3080">
        <v>1830197</v>
      </c>
      <c r="C3080" s="5">
        <v>46059</v>
      </c>
      <c r="D3080" t="s">
        <v>458</v>
      </c>
      <c r="E3080">
        <v>0</v>
      </c>
    </row>
    <row r="3081" spans="1:5">
      <c r="A3081">
        <v>94836</v>
      </c>
      <c r="B3081">
        <v>1830197</v>
      </c>
      <c r="C3081" s="5">
        <v>46059</v>
      </c>
      <c r="D3081" t="s">
        <v>458</v>
      </c>
      <c r="E3081">
        <v>0</v>
      </c>
    </row>
    <row r="3082" spans="1:5">
      <c r="A3082">
        <v>94839</v>
      </c>
      <c r="B3082">
        <v>1830197</v>
      </c>
      <c r="C3082" s="5">
        <v>46059</v>
      </c>
      <c r="D3082" t="s">
        <v>458</v>
      </c>
      <c r="E3082">
        <v>0</v>
      </c>
    </row>
    <row r="3083" spans="1:5">
      <c r="A3083">
        <v>94842</v>
      </c>
      <c r="B3083">
        <v>1830197</v>
      </c>
      <c r="C3083" s="5">
        <v>46059</v>
      </c>
      <c r="D3083" t="s">
        <v>458</v>
      </c>
      <c r="E3083">
        <v>0</v>
      </c>
    </row>
    <row r="3084" spans="1:5">
      <c r="A3084">
        <v>94845</v>
      </c>
      <c r="B3084">
        <v>1830197</v>
      </c>
      <c r="C3084" s="5">
        <v>46059</v>
      </c>
      <c r="D3084" t="s">
        <v>458</v>
      </c>
      <c r="E3084">
        <v>0</v>
      </c>
    </row>
    <row r="3085" spans="1:5">
      <c r="A3085">
        <v>94848</v>
      </c>
      <c r="B3085">
        <v>1830197</v>
      </c>
      <c r="C3085" s="5">
        <v>46059</v>
      </c>
      <c r="D3085" t="s">
        <v>458</v>
      </c>
      <c r="E3085">
        <v>0</v>
      </c>
    </row>
    <row r="3086" spans="1:5">
      <c r="A3086">
        <v>94872</v>
      </c>
      <c r="B3086">
        <v>1830197</v>
      </c>
      <c r="C3086" s="5">
        <v>46059</v>
      </c>
      <c r="D3086" t="s">
        <v>458</v>
      </c>
      <c r="E3086">
        <v>0</v>
      </c>
    </row>
    <row r="3087" spans="1:5">
      <c r="A3087">
        <v>99078</v>
      </c>
      <c r="B3087">
        <v>1830197</v>
      </c>
      <c r="C3087" s="5">
        <v>46059</v>
      </c>
      <c r="D3087" t="s">
        <v>458</v>
      </c>
      <c r="E3087">
        <v>0</v>
      </c>
    </row>
    <row r="3088" spans="1:5">
      <c r="A3088">
        <v>99165</v>
      </c>
      <c r="B3088">
        <v>1830197</v>
      </c>
      <c r="C3088" s="5">
        <v>46059</v>
      </c>
      <c r="D3088" t="s">
        <v>458</v>
      </c>
      <c r="E3088">
        <v>0</v>
      </c>
    </row>
    <row r="3089" spans="1:5">
      <c r="A3089">
        <v>99166</v>
      </c>
      <c r="B3089">
        <v>1830197</v>
      </c>
      <c r="C3089" s="5">
        <v>46059</v>
      </c>
      <c r="D3089" t="s">
        <v>458</v>
      </c>
      <c r="E3089">
        <v>0</v>
      </c>
    </row>
    <row r="3090" spans="1:5">
      <c r="A3090">
        <v>99168</v>
      </c>
      <c r="B3090">
        <v>1830197</v>
      </c>
      <c r="C3090" s="5">
        <v>46059</v>
      </c>
      <c r="D3090" t="s">
        <v>458</v>
      </c>
      <c r="E3090">
        <v>0</v>
      </c>
    </row>
    <row r="3091" spans="1:5">
      <c r="A3091">
        <v>99169</v>
      </c>
      <c r="B3091">
        <v>1830197</v>
      </c>
      <c r="C3091" s="5">
        <v>46059</v>
      </c>
      <c r="D3091" t="s">
        <v>458</v>
      </c>
      <c r="E3091">
        <v>0</v>
      </c>
    </row>
    <row r="3092" spans="1:5">
      <c r="A3092">
        <v>99170</v>
      </c>
      <c r="B3092">
        <v>1830197</v>
      </c>
      <c r="C3092" s="5">
        <v>46059</v>
      </c>
      <c r="D3092" t="s">
        <v>458</v>
      </c>
      <c r="E3092">
        <v>0</v>
      </c>
    </row>
    <row r="3093" spans="1:5">
      <c r="A3093">
        <v>99216</v>
      </c>
      <c r="B3093">
        <v>1830197</v>
      </c>
      <c r="C3093" s="5">
        <v>46059</v>
      </c>
      <c r="D3093" t="s">
        <v>458</v>
      </c>
      <c r="E3093">
        <v>0</v>
      </c>
    </row>
    <row r="3094" spans="1:5">
      <c r="A3094">
        <v>99249</v>
      </c>
      <c r="B3094">
        <v>1830197</v>
      </c>
      <c r="C3094" s="5">
        <v>46059</v>
      </c>
      <c r="D3094" t="s">
        <v>458</v>
      </c>
      <c r="E3094">
        <v>0</v>
      </c>
    </row>
    <row r="3095" spans="1:5">
      <c r="A3095">
        <v>99305</v>
      </c>
      <c r="B3095">
        <v>1830197</v>
      </c>
      <c r="C3095" s="5">
        <v>46059</v>
      </c>
      <c r="D3095" t="s">
        <v>458</v>
      </c>
      <c r="E3095">
        <v>0</v>
      </c>
    </row>
    <row r="3096" spans="1:5">
      <c r="A3096">
        <v>99378</v>
      </c>
      <c r="B3096">
        <v>1830197</v>
      </c>
      <c r="C3096" s="5">
        <v>46059</v>
      </c>
      <c r="D3096" t="s">
        <v>458</v>
      </c>
      <c r="E3096">
        <v>0.1</v>
      </c>
    </row>
    <row r="3097" spans="1:5">
      <c r="A3097">
        <v>99422</v>
      </c>
      <c r="B3097">
        <v>1830197</v>
      </c>
      <c r="C3097" s="5">
        <v>46059</v>
      </c>
      <c r="D3097" t="s">
        <v>458</v>
      </c>
      <c r="E3097">
        <v>0</v>
      </c>
    </row>
    <row r="3098" spans="1:5">
      <c r="A3098">
        <v>99903</v>
      </c>
      <c r="B3098">
        <v>1830197</v>
      </c>
      <c r="C3098" s="5">
        <v>46059</v>
      </c>
      <c r="D3098" t="s">
        <v>458</v>
      </c>
      <c r="E3098">
        <v>0</v>
      </c>
    </row>
    <row r="3099" spans="1:5">
      <c r="A3099">
        <v>99906</v>
      </c>
      <c r="B3099">
        <v>1830197</v>
      </c>
      <c r="C3099" s="5">
        <v>46059</v>
      </c>
      <c r="D3099" t="s">
        <v>458</v>
      </c>
      <c r="E3099">
        <v>6</v>
      </c>
    </row>
    <row r="3100" spans="1:5">
      <c r="A3100">
        <v>99907</v>
      </c>
      <c r="B3100">
        <v>1830197</v>
      </c>
      <c r="C3100" s="5">
        <v>46059</v>
      </c>
      <c r="D3100" t="s">
        <v>458</v>
      </c>
      <c r="E3100">
        <v>16</v>
      </c>
    </row>
    <row r="3101" spans="1:5">
      <c r="A3101">
        <v>99908</v>
      </c>
      <c r="B3101">
        <v>1830197</v>
      </c>
      <c r="C3101" s="5">
        <v>46059</v>
      </c>
      <c r="D3101" t="s">
        <v>458</v>
      </c>
      <c r="E3101">
        <v>0</v>
      </c>
    </row>
    <row r="3102" spans="1:5">
      <c r="A3102">
        <v>99912</v>
      </c>
      <c r="B3102">
        <v>1830197</v>
      </c>
      <c r="C3102" s="5">
        <v>46059</v>
      </c>
      <c r="D3102" t="s">
        <v>458</v>
      </c>
      <c r="E3102">
        <v>0</v>
      </c>
    </row>
    <row r="3103" spans="1:5">
      <c r="A3103">
        <v>99913</v>
      </c>
      <c r="B3103">
        <v>1830197</v>
      </c>
      <c r="C3103" s="5">
        <v>46059</v>
      </c>
      <c r="D3103" t="s">
        <v>458</v>
      </c>
      <c r="E3103">
        <v>0</v>
      </c>
    </row>
    <row r="3104" spans="1:5">
      <c r="A3104">
        <v>99914</v>
      </c>
      <c r="B3104">
        <v>1830197</v>
      </c>
      <c r="C3104" s="5">
        <v>46059</v>
      </c>
      <c r="D3104" t="s">
        <v>458</v>
      </c>
      <c r="E3104">
        <v>8</v>
      </c>
    </row>
    <row r="3105" spans="1:5">
      <c r="A3105">
        <v>99915</v>
      </c>
      <c r="B3105">
        <v>1830197</v>
      </c>
      <c r="C3105" s="5">
        <v>46059</v>
      </c>
      <c r="D3105" t="s">
        <v>458</v>
      </c>
      <c r="E3105">
        <v>0</v>
      </c>
    </row>
    <row r="3106" spans="1:5">
      <c r="A3106">
        <v>99916</v>
      </c>
      <c r="B3106">
        <v>1830197</v>
      </c>
      <c r="C3106" s="5">
        <v>46059</v>
      </c>
      <c r="D3106" t="s">
        <v>458</v>
      </c>
      <c r="E3106">
        <v>2</v>
      </c>
    </row>
    <row r="3107" spans="1:5">
      <c r="A3107">
        <v>99917</v>
      </c>
      <c r="B3107">
        <v>1830197</v>
      </c>
      <c r="C3107" s="5">
        <v>46059</v>
      </c>
      <c r="D3107" t="s">
        <v>458</v>
      </c>
      <c r="E3107">
        <v>0</v>
      </c>
    </row>
    <row r="3108" spans="1:5">
      <c r="A3108">
        <v>99920</v>
      </c>
      <c r="B3108">
        <v>1830197</v>
      </c>
      <c r="C3108" s="5">
        <v>46059</v>
      </c>
      <c r="D3108" t="s">
        <v>458</v>
      </c>
      <c r="E3108">
        <v>0</v>
      </c>
    </row>
    <row r="3109" spans="1:5">
      <c r="A3109">
        <v>99929</v>
      </c>
      <c r="B3109">
        <v>1830197</v>
      </c>
      <c r="C3109" s="5">
        <v>46059</v>
      </c>
      <c r="D3109" t="s">
        <v>458</v>
      </c>
      <c r="E3109">
        <v>0</v>
      </c>
    </row>
    <row r="3110" spans="1:5">
      <c r="A3110">
        <v>99931</v>
      </c>
      <c r="B3110">
        <v>1830197</v>
      </c>
      <c r="C3110" s="5">
        <v>46059</v>
      </c>
      <c r="D3110" t="s">
        <v>458</v>
      </c>
      <c r="E3110">
        <v>0</v>
      </c>
    </row>
    <row r="3111" spans="1:5">
      <c r="A3111">
        <v>99932</v>
      </c>
      <c r="B3111">
        <v>1830197</v>
      </c>
      <c r="C3111" s="5">
        <v>46059</v>
      </c>
      <c r="D3111" t="s">
        <v>458</v>
      </c>
      <c r="E3111">
        <v>0</v>
      </c>
    </row>
    <row r="3112" spans="1:5">
      <c r="A3112">
        <v>99946</v>
      </c>
      <c r="B3112">
        <v>1830197</v>
      </c>
      <c r="C3112" s="5">
        <v>46059</v>
      </c>
      <c r="D3112" t="s">
        <v>458</v>
      </c>
      <c r="E3112">
        <v>0</v>
      </c>
    </row>
    <row r="3113" spans="1:5">
      <c r="A3113">
        <v>99967</v>
      </c>
      <c r="B3113">
        <v>1830197</v>
      </c>
      <c r="C3113" s="5">
        <v>46059</v>
      </c>
      <c r="D3113" t="s">
        <v>458</v>
      </c>
      <c r="E3113">
        <v>0</v>
      </c>
    </row>
    <row r="3114" spans="1:5">
      <c r="A3114">
        <v>99968</v>
      </c>
      <c r="B3114">
        <v>1830197</v>
      </c>
      <c r="C3114" s="5">
        <v>46059</v>
      </c>
      <c r="D3114" t="s">
        <v>458</v>
      </c>
      <c r="E3114">
        <v>0</v>
      </c>
    </row>
    <row r="3115" spans="1:5">
      <c r="A3115">
        <v>99969</v>
      </c>
      <c r="B3115">
        <v>1830197</v>
      </c>
      <c r="C3115" s="5">
        <v>46059</v>
      </c>
      <c r="D3115" t="s">
        <v>458</v>
      </c>
      <c r="E3115">
        <v>0</v>
      </c>
    </row>
    <row r="3116" spans="1:5">
      <c r="A3116">
        <v>99970</v>
      </c>
      <c r="B3116">
        <v>1830197</v>
      </c>
      <c r="C3116" s="5">
        <v>46059</v>
      </c>
      <c r="D3116" t="s">
        <v>458</v>
      </c>
      <c r="E3116">
        <v>-1</v>
      </c>
    </row>
    <row r="3117" spans="1:5">
      <c r="A3117">
        <v>99971</v>
      </c>
      <c r="B3117">
        <v>1830197</v>
      </c>
      <c r="C3117" s="5">
        <v>46059</v>
      </c>
      <c r="D3117" t="s">
        <v>458</v>
      </c>
      <c r="E3117">
        <v>3</v>
      </c>
    </row>
    <row r="3118" spans="1:5">
      <c r="A3118">
        <v>99972</v>
      </c>
      <c r="B3118">
        <v>1830197</v>
      </c>
      <c r="C3118" s="5">
        <v>46059</v>
      </c>
      <c r="D3118" t="s">
        <v>458</v>
      </c>
      <c r="E3118">
        <v>0</v>
      </c>
    </row>
    <row r="3119" spans="1:5">
      <c r="A3119">
        <v>99973</v>
      </c>
      <c r="B3119">
        <v>1830197</v>
      </c>
      <c r="C3119" s="5">
        <v>46059</v>
      </c>
      <c r="D3119" t="s">
        <v>458</v>
      </c>
      <c r="E3119">
        <v>0</v>
      </c>
    </row>
    <row r="3120" spans="1:5">
      <c r="A3120">
        <v>99974</v>
      </c>
      <c r="B3120">
        <v>1830197</v>
      </c>
      <c r="C3120" s="5">
        <v>46059</v>
      </c>
      <c r="D3120" t="s">
        <v>458</v>
      </c>
      <c r="E3120">
        <v>0.3</v>
      </c>
    </row>
    <row r="3121" spans="1:5">
      <c r="A3121">
        <v>99977</v>
      </c>
      <c r="B3121">
        <v>1830197</v>
      </c>
      <c r="C3121" s="5">
        <v>46059</v>
      </c>
      <c r="D3121" t="s">
        <v>458</v>
      </c>
      <c r="E3121">
        <v>0</v>
      </c>
    </row>
    <row r="3122" spans="1:5">
      <c r="A3122">
        <v>99978</v>
      </c>
      <c r="B3122">
        <v>1830197</v>
      </c>
      <c r="C3122" s="5">
        <v>46059</v>
      </c>
      <c r="D3122" t="s">
        <v>458</v>
      </c>
      <c r="E3122">
        <v>0</v>
      </c>
    </row>
    <row r="3123" spans="1:5">
      <c r="A3123">
        <v>99979</v>
      </c>
      <c r="B3123">
        <v>1830197</v>
      </c>
      <c r="C3123" s="5">
        <v>46059</v>
      </c>
      <c r="D3123" t="s">
        <v>458</v>
      </c>
      <c r="E3123">
        <v>0</v>
      </c>
    </row>
    <row r="3124" spans="1:5">
      <c r="A3124">
        <v>99980</v>
      </c>
      <c r="B3124">
        <v>1830197</v>
      </c>
      <c r="C3124" s="5">
        <v>46059</v>
      </c>
      <c r="D3124" t="s">
        <v>458</v>
      </c>
      <c r="E3124">
        <v>0</v>
      </c>
    </row>
    <row r="3125" spans="1:5">
      <c r="A3125">
        <v>99981</v>
      </c>
      <c r="B3125">
        <v>1830197</v>
      </c>
      <c r="C3125" s="5">
        <v>46059</v>
      </c>
      <c r="D3125" t="s">
        <v>458</v>
      </c>
      <c r="E3125">
        <v>0</v>
      </c>
    </row>
    <row r="3126" spans="1:5">
      <c r="A3126">
        <v>99982</v>
      </c>
      <c r="B3126">
        <v>1830197</v>
      </c>
      <c r="C3126" s="5">
        <v>46059</v>
      </c>
      <c r="D3126" t="s">
        <v>458</v>
      </c>
      <c r="E3126">
        <v>0</v>
      </c>
    </row>
    <row r="3127" spans="1:5">
      <c r="A3127">
        <v>99983</v>
      </c>
      <c r="B3127">
        <v>1830197</v>
      </c>
      <c r="C3127" s="5">
        <v>46059</v>
      </c>
      <c r="D3127" t="s">
        <v>458</v>
      </c>
      <c r="E3127">
        <v>0</v>
      </c>
    </row>
    <row r="3128" spans="1:5">
      <c r="A3128">
        <v>99984</v>
      </c>
      <c r="B3128">
        <v>1830197</v>
      </c>
      <c r="C3128" s="5">
        <v>46059</v>
      </c>
      <c r="D3128" t="s">
        <v>458</v>
      </c>
      <c r="E3128">
        <v>0</v>
      </c>
    </row>
    <row r="3129" spans="1:5">
      <c r="A3129">
        <v>99985</v>
      </c>
      <c r="B3129">
        <v>1830197</v>
      </c>
      <c r="C3129" s="5">
        <v>46059</v>
      </c>
      <c r="D3129" t="s">
        <v>458</v>
      </c>
      <c r="E3129">
        <v>0</v>
      </c>
    </row>
    <row r="3130" spans="1:5">
      <c r="A3130">
        <v>99988</v>
      </c>
      <c r="B3130">
        <v>1830197</v>
      </c>
      <c r="C3130" s="5">
        <v>46059</v>
      </c>
      <c r="D3130" t="s">
        <v>458</v>
      </c>
      <c r="E3130">
        <v>0</v>
      </c>
    </row>
    <row r="3131" spans="1:5">
      <c r="A3131">
        <v>99989</v>
      </c>
      <c r="B3131">
        <v>1830197</v>
      </c>
      <c r="C3131" s="5">
        <v>46059</v>
      </c>
      <c r="D3131" t="s">
        <v>458</v>
      </c>
      <c r="E3131">
        <v>0</v>
      </c>
    </row>
    <row r="3132" spans="1:5">
      <c r="A3132">
        <v>99990</v>
      </c>
      <c r="B3132">
        <v>1830197</v>
      </c>
      <c r="C3132" s="5">
        <v>46059</v>
      </c>
      <c r="D3132" t="s">
        <v>458</v>
      </c>
      <c r="E3132">
        <v>0</v>
      </c>
    </row>
    <row r="3133" spans="1:5">
      <c r="A3133">
        <v>99991</v>
      </c>
      <c r="B3133">
        <v>1830197</v>
      </c>
      <c r="C3133" s="5">
        <v>46059</v>
      </c>
      <c r="D3133" t="s">
        <v>458</v>
      </c>
      <c r="E3133">
        <v>0</v>
      </c>
    </row>
    <row r="3134" spans="1:5">
      <c r="A3134">
        <v>99992</v>
      </c>
      <c r="B3134">
        <v>1830197</v>
      </c>
      <c r="C3134" s="5">
        <v>46059</v>
      </c>
      <c r="D3134" t="s">
        <v>458</v>
      </c>
      <c r="E3134">
        <v>0</v>
      </c>
    </row>
    <row r="3135" spans="1:5">
      <c r="A3135">
        <v>99993</v>
      </c>
      <c r="B3135">
        <v>1830197</v>
      </c>
      <c r="C3135" s="5">
        <v>46059</v>
      </c>
      <c r="D3135" t="s">
        <v>458</v>
      </c>
      <c r="E3135">
        <v>0</v>
      </c>
    </row>
    <row r="3136" spans="1:5">
      <c r="A3136">
        <v>99994</v>
      </c>
      <c r="B3136">
        <v>1830197</v>
      </c>
      <c r="C3136" s="5">
        <v>46059</v>
      </c>
      <c r="D3136" t="s">
        <v>458</v>
      </c>
      <c r="E3136">
        <v>0</v>
      </c>
    </row>
    <row r="3137" spans="1:5">
      <c r="A3137">
        <v>99995</v>
      </c>
      <c r="B3137">
        <v>1830197</v>
      </c>
      <c r="C3137" s="5">
        <v>46059</v>
      </c>
      <c r="D3137" t="s">
        <v>458</v>
      </c>
      <c r="E3137">
        <v>0</v>
      </c>
    </row>
    <row r="3138" spans="1:5">
      <c r="A3138">
        <v>99996</v>
      </c>
      <c r="B3138">
        <v>1830197</v>
      </c>
      <c r="C3138" s="5">
        <v>46059</v>
      </c>
      <c r="D3138" t="s">
        <v>458</v>
      </c>
      <c r="E3138">
        <v>0</v>
      </c>
    </row>
    <row r="3139" spans="1:5">
      <c r="A3139">
        <v>99999</v>
      </c>
      <c r="B3139">
        <v>1830197</v>
      </c>
      <c r="C3139" s="5">
        <v>46059</v>
      </c>
      <c r="D3139" t="s">
        <v>458</v>
      </c>
      <c r="E3139">
        <v>0</v>
      </c>
    </row>
    <row r="3140" spans="1:5">
      <c r="A3140">
        <v>1</v>
      </c>
      <c r="B3140">
        <v>1830197</v>
      </c>
      <c r="C3140" s="5">
        <v>46060</v>
      </c>
      <c r="D3140" t="s">
        <v>458</v>
      </c>
      <c r="E3140">
        <v>416</v>
      </c>
    </row>
    <row r="3141" spans="1:5">
      <c r="A3141">
        <v>2</v>
      </c>
      <c r="B3141">
        <v>1830197</v>
      </c>
      <c r="C3141" s="5">
        <v>46060</v>
      </c>
      <c r="D3141" t="s">
        <v>458</v>
      </c>
      <c r="E3141">
        <v>83</v>
      </c>
    </row>
    <row r="3142" spans="1:5">
      <c r="A3142">
        <v>3</v>
      </c>
      <c r="B3142">
        <v>1830197</v>
      </c>
      <c r="C3142" s="5">
        <v>46060</v>
      </c>
      <c r="D3142" t="s">
        <v>458</v>
      </c>
      <c r="E3142">
        <v>144</v>
      </c>
    </row>
    <row r="3143" spans="1:5">
      <c r="A3143">
        <v>4</v>
      </c>
      <c r="B3143">
        <v>1830197</v>
      </c>
      <c r="C3143" s="5">
        <v>46060</v>
      </c>
      <c r="D3143" t="s">
        <v>458</v>
      </c>
      <c r="E3143">
        <v>447.75</v>
      </c>
    </row>
    <row r="3144" spans="1:5">
      <c r="A3144">
        <v>5</v>
      </c>
      <c r="B3144">
        <v>1830197</v>
      </c>
      <c r="C3144" s="5">
        <v>46060</v>
      </c>
      <c r="D3144" t="s">
        <v>458</v>
      </c>
      <c r="E3144">
        <v>226</v>
      </c>
    </row>
    <row r="3145" spans="1:5">
      <c r="A3145">
        <v>6</v>
      </c>
      <c r="B3145">
        <v>1830197</v>
      </c>
      <c r="C3145" s="5">
        <v>46060</v>
      </c>
      <c r="D3145" t="s">
        <v>458</v>
      </c>
      <c r="E3145">
        <v>10</v>
      </c>
    </row>
    <row r="3146" spans="1:5">
      <c r="A3146">
        <v>7</v>
      </c>
      <c r="B3146">
        <v>1830197</v>
      </c>
      <c r="C3146" s="5">
        <v>46060</v>
      </c>
      <c r="D3146" t="s">
        <v>458</v>
      </c>
      <c r="E3146">
        <v>157</v>
      </c>
    </row>
    <row r="3147" spans="1:5">
      <c r="A3147">
        <v>8</v>
      </c>
      <c r="B3147">
        <v>1830197</v>
      </c>
      <c r="C3147" s="5">
        <v>46060</v>
      </c>
      <c r="D3147" t="s">
        <v>458</v>
      </c>
      <c r="E3147">
        <v>0</v>
      </c>
    </row>
    <row r="3148" spans="1:5">
      <c r="A3148">
        <v>9</v>
      </c>
      <c r="B3148">
        <v>1830197</v>
      </c>
      <c r="C3148" s="5">
        <v>46060</v>
      </c>
      <c r="D3148" t="s">
        <v>458</v>
      </c>
      <c r="E3148">
        <v>0</v>
      </c>
    </row>
    <row r="3149" spans="1:5">
      <c r="A3149">
        <v>10</v>
      </c>
      <c r="B3149">
        <v>1830197</v>
      </c>
      <c r="C3149" s="5">
        <v>46060</v>
      </c>
      <c r="D3149" t="s">
        <v>458</v>
      </c>
      <c r="E3149">
        <v>3.21</v>
      </c>
    </row>
    <row r="3150" spans="1:5">
      <c r="A3150">
        <v>12</v>
      </c>
      <c r="B3150">
        <v>1830197</v>
      </c>
      <c r="C3150" s="5">
        <v>46060</v>
      </c>
      <c r="D3150" t="s">
        <v>458</v>
      </c>
      <c r="E3150">
        <v>13</v>
      </c>
    </row>
    <row r="3151" spans="1:5">
      <c r="A3151">
        <v>13</v>
      </c>
      <c r="B3151">
        <v>1830197</v>
      </c>
      <c r="C3151" s="5">
        <v>46060</v>
      </c>
      <c r="D3151" t="s">
        <v>458</v>
      </c>
      <c r="E3151">
        <v>617</v>
      </c>
    </row>
    <row r="3152" spans="1:5">
      <c r="A3152">
        <v>19</v>
      </c>
      <c r="B3152">
        <v>1830197</v>
      </c>
      <c r="C3152" s="5">
        <v>46060</v>
      </c>
      <c r="D3152" t="s">
        <v>458</v>
      </c>
      <c r="E3152">
        <v>39.72</v>
      </c>
    </row>
    <row r="3153" spans="1:5">
      <c r="A3153">
        <v>20</v>
      </c>
      <c r="B3153">
        <v>1830197</v>
      </c>
      <c r="C3153" s="5">
        <v>46060</v>
      </c>
      <c r="D3153" t="s">
        <v>458</v>
      </c>
      <c r="E3153">
        <v>232</v>
      </c>
    </row>
    <row r="3154" spans="1:5">
      <c r="A3154">
        <v>21</v>
      </c>
      <c r="B3154">
        <v>1830197</v>
      </c>
      <c r="C3154" s="5">
        <v>46060</v>
      </c>
      <c r="D3154" t="s">
        <v>458</v>
      </c>
      <c r="E3154">
        <v>7.49</v>
      </c>
    </row>
    <row r="3155" spans="1:5">
      <c r="A3155">
        <v>23</v>
      </c>
      <c r="B3155">
        <v>1830197</v>
      </c>
      <c r="C3155" s="5">
        <v>46060</v>
      </c>
      <c r="D3155" t="s">
        <v>458</v>
      </c>
      <c r="E3155">
        <v>85</v>
      </c>
    </row>
    <row r="3156" spans="1:5">
      <c r="A3156">
        <v>26</v>
      </c>
      <c r="B3156">
        <v>1830197</v>
      </c>
      <c r="C3156" s="5">
        <v>46060</v>
      </c>
      <c r="D3156" t="s">
        <v>458</v>
      </c>
      <c r="E3156">
        <v>0.02</v>
      </c>
    </row>
    <row r="3157" spans="1:5">
      <c r="A3157">
        <v>31</v>
      </c>
      <c r="B3157">
        <v>1830197</v>
      </c>
      <c r="C3157" s="5">
        <v>46060</v>
      </c>
      <c r="D3157" t="s">
        <v>458</v>
      </c>
      <c r="E3157">
        <v>0</v>
      </c>
    </row>
    <row r="3158" spans="1:5">
      <c r="A3158">
        <v>33</v>
      </c>
      <c r="B3158">
        <v>1830197</v>
      </c>
      <c r="C3158" s="5">
        <v>46060</v>
      </c>
      <c r="D3158" t="s">
        <v>458</v>
      </c>
      <c r="E3158">
        <v>0</v>
      </c>
    </row>
    <row r="3159" spans="1:5">
      <c r="A3159">
        <v>42</v>
      </c>
      <c r="B3159">
        <v>1830197</v>
      </c>
      <c r="C3159" s="5">
        <v>46060</v>
      </c>
      <c r="D3159" t="s">
        <v>458</v>
      </c>
      <c r="E3159">
        <v>0</v>
      </c>
    </row>
    <row r="3160" spans="1:5">
      <c r="A3160">
        <v>45</v>
      </c>
      <c r="B3160">
        <v>1830197</v>
      </c>
      <c r="C3160" s="5">
        <v>46060</v>
      </c>
      <c r="D3160" t="s">
        <v>458</v>
      </c>
      <c r="E3160">
        <v>2066</v>
      </c>
    </row>
    <row r="3161" spans="1:5">
      <c r="A3161">
        <v>48</v>
      </c>
      <c r="B3161">
        <v>1830197</v>
      </c>
      <c r="C3161" s="5">
        <v>46060</v>
      </c>
      <c r="D3161" t="s">
        <v>458</v>
      </c>
      <c r="E3161">
        <v>0</v>
      </c>
    </row>
    <row r="3162" spans="1:5">
      <c r="A3162">
        <v>50</v>
      </c>
      <c r="B3162">
        <v>1830197</v>
      </c>
      <c r="C3162" s="5">
        <v>46060</v>
      </c>
      <c r="D3162" t="s">
        <v>458</v>
      </c>
      <c r="E3162">
        <v>173</v>
      </c>
    </row>
    <row r="3163" spans="1:5">
      <c r="A3163">
        <v>55</v>
      </c>
      <c r="B3163">
        <v>1830197</v>
      </c>
      <c r="C3163" s="5">
        <v>46060</v>
      </c>
      <c r="D3163" t="s">
        <v>458</v>
      </c>
      <c r="E3163">
        <v>3.26</v>
      </c>
    </row>
    <row r="3164" spans="1:5">
      <c r="A3164">
        <v>56</v>
      </c>
      <c r="B3164">
        <v>1830197</v>
      </c>
      <c r="C3164" s="5">
        <v>46060</v>
      </c>
      <c r="D3164" t="s">
        <v>458</v>
      </c>
      <c r="E3164">
        <v>0.88</v>
      </c>
    </row>
    <row r="3165" spans="1:5">
      <c r="A3165">
        <v>62</v>
      </c>
      <c r="B3165">
        <v>1830197</v>
      </c>
      <c r="C3165" s="5">
        <v>46060</v>
      </c>
      <c r="D3165" t="s">
        <v>458</v>
      </c>
      <c r="E3165">
        <v>0</v>
      </c>
    </row>
    <row r="3166" spans="1:5">
      <c r="A3166">
        <v>63</v>
      </c>
      <c r="B3166">
        <v>1830197</v>
      </c>
      <c r="C3166" s="5">
        <v>46060</v>
      </c>
      <c r="D3166" t="s">
        <v>458</v>
      </c>
      <c r="E3166">
        <v>0</v>
      </c>
    </row>
    <row r="3167" spans="1:5">
      <c r="A3167">
        <v>65</v>
      </c>
      <c r="B3167">
        <v>1830197</v>
      </c>
      <c r="C3167" s="5">
        <v>46060</v>
      </c>
      <c r="D3167" t="s">
        <v>458</v>
      </c>
      <c r="E3167">
        <v>5</v>
      </c>
    </row>
    <row r="3168" spans="1:5">
      <c r="A3168">
        <v>67</v>
      </c>
      <c r="B3168">
        <v>1830197</v>
      </c>
      <c r="C3168" s="5">
        <v>46060</v>
      </c>
      <c r="D3168" t="s">
        <v>458</v>
      </c>
      <c r="E3168">
        <v>0</v>
      </c>
    </row>
    <row r="3169" spans="1:5">
      <c r="A3169">
        <v>69</v>
      </c>
      <c r="B3169">
        <v>1830197</v>
      </c>
      <c r="C3169" s="5">
        <v>46060</v>
      </c>
      <c r="D3169" t="s">
        <v>458</v>
      </c>
      <c r="E3169">
        <v>3</v>
      </c>
    </row>
    <row r="3170" spans="1:5">
      <c r="A3170">
        <v>70</v>
      </c>
      <c r="B3170">
        <v>1830197</v>
      </c>
      <c r="C3170" s="5">
        <v>46060</v>
      </c>
      <c r="D3170" t="s">
        <v>458</v>
      </c>
      <c r="E3170">
        <v>-1</v>
      </c>
    </row>
    <row r="3171" spans="1:5">
      <c r="A3171">
        <v>76</v>
      </c>
      <c r="B3171">
        <v>1830197</v>
      </c>
      <c r="C3171" s="5">
        <v>46060</v>
      </c>
      <c r="D3171" t="s">
        <v>458</v>
      </c>
      <c r="E3171">
        <v>23</v>
      </c>
    </row>
    <row r="3172" spans="1:5">
      <c r="A3172">
        <v>86</v>
      </c>
      <c r="B3172">
        <v>1830197</v>
      </c>
      <c r="C3172" s="5">
        <v>46060</v>
      </c>
      <c r="D3172" t="s">
        <v>458</v>
      </c>
      <c r="E3172">
        <v>61</v>
      </c>
    </row>
    <row r="3173" spans="1:5">
      <c r="A3173">
        <v>90</v>
      </c>
      <c r="B3173">
        <v>1830197</v>
      </c>
      <c r="C3173" s="5">
        <v>46060</v>
      </c>
      <c r="D3173" t="s">
        <v>458</v>
      </c>
      <c r="E3173">
        <v>9</v>
      </c>
    </row>
    <row r="3174" spans="1:5">
      <c r="A3174">
        <v>93</v>
      </c>
      <c r="B3174">
        <v>1830197</v>
      </c>
      <c r="C3174" s="5">
        <v>46060</v>
      </c>
      <c r="D3174" t="s">
        <v>458</v>
      </c>
      <c r="E3174">
        <v>0</v>
      </c>
    </row>
    <row r="3175" spans="1:5">
      <c r="A3175">
        <v>94</v>
      </c>
      <c r="B3175">
        <v>1830197</v>
      </c>
      <c r="C3175" s="5">
        <v>46060</v>
      </c>
      <c r="D3175" t="s">
        <v>458</v>
      </c>
      <c r="E3175">
        <v>14</v>
      </c>
    </row>
    <row r="3176" spans="1:5">
      <c r="A3176">
        <v>97</v>
      </c>
      <c r="B3176">
        <v>1830197</v>
      </c>
      <c r="C3176" s="5">
        <v>46060</v>
      </c>
      <c r="D3176" t="s">
        <v>458</v>
      </c>
      <c r="E3176">
        <v>0</v>
      </c>
    </row>
    <row r="3177" spans="1:5">
      <c r="A3177">
        <v>98</v>
      </c>
      <c r="B3177">
        <v>1830197</v>
      </c>
      <c r="C3177" s="5">
        <v>46060</v>
      </c>
      <c r="D3177" t="s">
        <v>458</v>
      </c>
      <c r="E3177">
        <v>0</v>
      </c>
    </row>
    <row r="3178" spans="1:5">
      <c r="A3178">
        <v>101</v>
      </c>
      <c r="B3178">
        <v>1830197</v>
      </c>
      <c r="C3178" s="5">
        <v>46060</v>
      </c>
      <c r="D3178" t="s">
        <v>458</v>
      </c>
      <c r="E3178">
        <v>35</v>
      </c>
    </row>
    <row r="3179" spans="1:5">
      <c r="A3179">
        <v>102</v>
      </c>
      <c r="B3179">
        <v>1830197</v>
      </c>
      <c r="C3179" s="5">
        <v>46060</v>
      </c>
      <c r="D3179" t="s">
        <v>458</v>
      </c>
      <c r="E3179">
        <v>0</v>
      </c>
    </row>
    <row r="3180" spans="1:5">
      <c r="A3180">
        <v>103</v>
      </c>
      <c r="B3180">
        <v>1830197</v>
      </c>
      <c r="C3180" s="5">
        <v>46060</v>
      </c>
      <c r="D3180" t="s">
        <v>458</v>
      </c>
      <c r="E3180">
        <v>7</v>
      </c>
    </row>
    <row r="3181" spans="1:5">
      <c r="A3181">
        <v>109</v>
      </c>
      <c r="B3181">
        <v>1830197</v>
      </c>
      <c r="C3181" s="5">
        <v>46060</v>
      </c>
      <c r="D3181" t="s">
        <v>458</v>
      </c>
      <c r="E3181">
        <v>102</v>
      </c>
    </row>
    <row r="3182" spans="1:5">
      <c r="A3182">
        <v>110</v>
      </c>
      <c r="B3182">
        <v>1830197</v>
      </c>
      <c r="C3182" s="5">
        <v>46060</v>
      </c>
      <c r="D3182" t="s">
        <v>458</v>
      </c>
      <c r="E3182">
        <v>26</v>
      </c>
    </row>
    <row r="3183" spans="1:5">
      <c r="A3183">
        <v>111</v>
      </c>
      <c r="B3183">
        <v>1830197</v>
      </c>
      <c r="C3183" s="5">
        <v>46060</v>
      </c>
      <c r="D3183" t="s">
        <v>458</v>
      </c>
      <c r="E3183">
        <v>90</v>
      </c>
    </row>
    <row r="3184" spans="1:5">
      <c r="A3184">
        <v>116</v>
      </c>
      <c r="B3184">
        <v>1830197</v>
      </c>
      <c r="C3184" s="5">
        <v>46060</v>
      </c>
      <c r="D3184" t="s">
        <v>458</v>
      </c>
      <c r="E3184">
        <v>130</v>
      </c>
    </row>
    <row r="3185" spans="1:5">
      <c r="A3185">
        <v>117</v>
      </c>
      <c r="B3185">
        <v>1830197</v>
      </c>
      <c r="C3185" s="5">
        <v>46060</v>
      </c>
      <c r="D3185" t="s">
        <v>458</v>
      </c>
      <c r="E3185">
        <v>618</v>
      </c>
    </row>
    <row r="3186" spans="1:5">
      <c r="A3186">
        <v>118</v>
      </c>
      <c r="B3186">
        <v>1830197</v>
      </c>
      <c r="C3186" s="5">
        <v>46060</v>
      </c>
      <c r="D3186" t="s">
        <v>458</v>
      </c>
      <c r="E3186">
        <v>0</v>
      </c>
    </row>
    <row r="3187" spans="1:5">
      <c r="A3187">
        <v>127</v>
      </c>
      <c r="B3187">
        <v>1830197</v>
      </c>
      <c r="C3187" s="5">
        <v>46060</v>
      </c>
      <c r="D3187" t="s">
        <v>458</v>
      </c>
      <c r="E3187">
        <v>208</v>
      </c>
    </row>
    <row r="3188" spans="1:5">
      <c r="A3188">
        <v>128</v>
      </c>
      <c r="B3188">
        <v>1830197</v>
      </c>
      <c r="C3188" s="5">
        <v>46060</v>
      </c>
      <c r="D3188" t="s">
        <v>458</v>
      </c>
      <c r="E3188">
        <v>0</v>
      </c>
    </row>
    <row r="3189" spans="1:5">
      <c r="A3189">
        <v>131</v>
      </c>
      <c r="B3189">
        <v>1830197</v>
      </c>
      <c r="C3189" s="5">
        <v>46060</v>
      </c>
      <c r="D3189" t="s">
        <v>458</v>
      </c>
      <c r="E3189">
        <v>0</v>
      </c>
    </row>
    <row r="3190" spans="1:5">
      <c r="A3190">
        <v>141</v>
      </c>
      <c r="B3190">
        <v>1830197</v>
      </c>
      <c r="C3190" s="5">
        <v>46060</v>
      </c>
      <c r="D3190" t="s">
        <v>458</v>
      </c>
      <c r="E3190">
        <v>0</v>
      </c>
    </row>
    <row r="3191" spans="1:5">
      <c r="A3191">
        <v>142</v>
      </c>
      <c r="B3191">
        <v>1830197</v>
      </c>
      <c r="C3191" s="5">
        <v>46060</v>
      </c>
      <c r="D3191" t="s">
        <v>458</v>
      </c>
      <c r="E3191">
        <v>0</v>
      </c>
    </row>
    <row r="3192" spans="1:5">
      <c r="A3192">
        <v>143</v>
      </c>
      <c r="B3192">
        <v>1830197</v>
      </c>
      <c r="C3192" s="5">
        <v>46060</v>
      </c>
      <c r="D3192" t="s">
        <v>458</v>
      </c>
      <c r="E3192">
        <v>0</v>
      </c>
    </row>
    <row r="3193" spans="1:5">
      <c r="A3193">
        <v>155</v>
      </c>
      <c r="B3193">
        <v>1830197</v>
      </c>
      <c r="C3193" s="5">
        <v>46060</v>
      </c>
      <c r="D3193" t="s">
        <v>458</v>
      </c>
      <c r="E3193">
        <v>130</v>
      </c>
    </row>
    <row r="3194" spans="1:5">
      <c r="A3194">
        <v>163</v>
      </c>
      <c r="B3194">
        <v>1830197</v>
      </c>
      <c r="C3194" s="5">
        <v>46060</v>
      </c>
      <c r="D3194" t="s">
        <v>458</v>
      </c>
      <c r="E3194">
        <v>260</v>
      </c>
    </row>
    <row r="3195" spans="1:5">
      <c r="A3195">
        <v>166</v>
      </c>
      <c r="B3195">
        <v>1830197</v>
      </c>
      <c r="C3195" s="5">
        <v>46060</v>
      </c>
      <c r="D3195" t="s">
        <v>458</v>
      </c>
      <c r="E3195">
        <v>25</v>
      </c>
    </row>
    <row r="3196" spans="1:5">
      <c r="A3196">
        <v>168</v>
      </c>
      <c r="B3196">
        <v>1830197</v>
      </c>
      <c r="C3196" s="5">
        <v>46060</v>
      </c>
      <c r="D3196" t="s">
        <v>458</v>
      </c>
      <c r="E3196">
        <v>9.32</v>
      </c>
    </row>
    <row r="3197" spans="1:5">
      <c r="A3197">
        <v>170</v>
      </c>
      <c r="B3197">
        <v>1830197</v>
      </c>
      <c r="C3197" s="5">
        <v>46060</v>
      </c>
      <c r="D3197" t="s">
        <v>458</v>
      </c>
      <c r="E3197">
        <v>0</v>
      </c>
    </row>
    <row r="3198" spans="1:5">
      <c r="A3198">
        <v>187</v>
      </c>
      <c r="B3198">
        <v>1830197</v>
      </c>
      <c r="C3198" s="5">
        <v>46060</v>
      </c>
      <c r="D3198" t="s">
        <v>458</v>
      </c>
      <c r="E3198">
        <v>12</v>
      </c>
    </row>
    <row r="3199" spans="1:5">
      <c r="A3199">
        <v>193</v>
      </c>
      <c r="B3199">
        <v>1830197</v>
      </c>
      <c r="C3199" s="5">
        <v>46060</v>
      </c>
      <c r="D3199" t="s">
        <v>458</v>
      </c>
      <c r="E3199">
        <v>5903</v>
      </c>
    </row>
    <row r="3200" spans="1:5">
      <c r="A3200">
        <v>205</v>
      </c>
      <c r="B3200">
        <v>1830197</v>
      </c>
      <c r="C3200" s="5">
        <v>46060</v>
      </c>
      <c r="D3200" t="s">
        <v>458</v>
      </c>
      <c r="E3200">
        <v>0</v>
      </c>
    </row>
    <row r="3201" spans="1:5">
      <c r="A3201">
        <v>206</v>
      </c>
      <c r="B3201">
        <v>1830197</v>
      </c>
      <c r="C3201" s="5">
        <v>46060</v>
      </c>
      <c r="D3201" t="s">
        <v>458</v>
      </c>
      <c r="E3201">
        <v>4</v>
      </c>
    </row>
    <row r="3202" spans="1:5">
      <c r="A3202">
        <v>209</v>
      </c>
      <c r="B3202">
        <v>1830197</v>
      </c>
      <c r="C3202" s="5">
        <v>46060</v>
      </c>
      <c r="D3202" t="s">
        <v>458</v>
      </c>
      <c r="E3202">
        <v>0</v>
      </c>
    </row>
    <row r="3203" spans="1:5">
      <c r="A3203">
        <v>210</v>
      </c>
      <c r="B3203">
        <v>1830197</v>
      </c>
      <c r="C3203" s="5">
        <v>46060</v>
      </c>
      <c r="D3203" t="s">
        <v>458</v>
      </c>
      <c r="E3203">
        <v>2</v>
      </c>
    </row>
    <row r="3204" spans="1:5">
      <c r="A3204">
        <v>223</v>
      </c>
      <c r="B3204">
        <v>1830197</v>
      </c>
      <c r="C3204" s="5">
        <v>46060</v>
      </c>
      <c r="D3204" t="s">
        <v>458</v>
      </c>
      <c r="E3204">
        <v>1009</v>
      </c>
    </row>
    <row r="3205" spans="1:5">
      <c r="A3205">
        <v>247</v>
      </c>
      <c r="B3205">
        <v>1830197</v>
      </c>
      <c r="C3205" s="5">
        <v>46060</v>
      </c>
      <c r="D3205" t="s">
        <v>458</v>
      </c>
      <c r="E3205">
        <v>0</v>
      </c>
    </row>
    <row r="3206" spans="1:5">
      <c r="A3206">
        <v>253</v>
      </c>
      <c r="B3206">
        <v>1830197</v>
      </c>
      <c r="C3206" s="5">
        <v>46060</v>
      </c>
      <c r="D3206" t="s">
        <v>458</v>
      </c>
      <c r="E3206">
        <v>-2.2599999999999998</v>
      </c>
    </row>
    <row r="3207" spans="1:5">
      <c r="A3207">
        <v>254</v>
      </c>
      <c r="B3207">
        <v>1830197</v>
      </c>
      <c r="C3207" s="5">
        <v>46060</v>
      </c>
      <c r="D3207" t="s">
        <v>458</v>
      </c>
      <c r="E3207">
        <v>5</v>
      </c>
    </row>
    <row r="3208" spans="1:5">
      <c r="A3208">
        <v>261</v>
      </c>
      <c r="B3208">
        <v>1830197</v>
      </c>
      <c r="C3208" s="5">
        <v>46060</v>
      </c>
      <c r="D3208" t="s">
        <v>458</v>
      </c>
      <c r="E3208">
        <v>9</v>
      </c>
    </row>
    <row r="3209" spans="1:5">
      <c r="A3209">
        <v>262</v>
      </c>
      <c r="B3209">
        <v>1830197</v>
      </c>
      <c r="C3209" s="5">
        <v>46060</v>
      </c>
      <c r="D3209" t="s">
        <v>458</v>
      </c>
      <c r="E3209">
        <v>0</v>
      </c>
    </row>
    <row r="3210" spans="1:5">
      <c r="A3210">
        <v>268</v>
      </c>
      <c r="B3210">
        <v>1830197</v>
      </c>
      <c r="C3210" s="5">
        <v>46060</v>
      </c>
      <c r="D3210" t="s">
        <v>458</v>
      </c>
      <c r="E3210">
        <v>23</v>
      </c>
    </row>
    <row r="3211" spans="1:5">
      <c r="A3211">
        <v>269</v>
      </c>
      <c r="B3211">
        <v>1830197</v>
      </c>
      <c r="C3211" s="5">
        <v>46060</v>
      </c>
      <c r="D3211" t="s">
        <v>458</v>
      </c>
      <c r="E3211">
        <v>46</v>
      </c>
    </row>
    <row r="3212" spans="1:5">
      <c r="A3212">
        <v>284</v>
      </c>
      <c r="B3212">
        <v>1830197</v>
      </c>
      <c r="C3212" s="5">
        <v>46060</v>
      </c>
      <c r="D3212" t="s">
        <v>458</v>
      </c>
      <c r="E3212">
        <v>6</v>
      </c>
    </row>
    <row r="3213" spans="1:5">
      <c r="A3213">
        <v>285</v>
      </c>
      <c r="B3213">
        <v>1830197</v>
      </c>
      <c r="C3213" s="5">
        <v>46060</v>
      </c>
      <c r="D3213" t="s">
        <v>458</v>
      </c>
      <c r="E3213">
        <v>22</v>
      </c>
    </row>
    <row r="3214" spans="1:5">
      <c r="A3214">
        <v>288</v>
      </c>
      <c r="B3214">
        <v>1830197</v>
      </c>
      <c r="C3214" s="5">
        <v>46060</v>
      </c>
      <c r="D3214" t="s">
        <v>458</v>
      </c>
      <c r="E3214">
        <v>35</v>
      </c>
    </row>
    <row r="3215" spans="1:5">
      <c r="A3215">
        <v>289</v>
      </c>
      <c r="B3215">
        <v>1830197</v>
      </c>
      <c r="C3215" s="5">
        <v>46060</v>
      </c>
      <c r="D3215" t="s">
        <v>458</v>
      </c>
      <c r="E3215">
        <v>0</v>
      </c>
    </row>
    <row r="3216" spans="1:5">
      <c r="A3216">
        <v>295</v>
      </c>
      <c r="B3216">
        <v>1830197</v>
      </c>
      <c r="C3216" s="5">
        <v>46060</v>
      </c>
      <c r="D3216" t="s">
        <v>458</v>
      </c>
      <c r="E3216">
        <v>22</v>
      </c>
    </row>
    <row r="3217" spans="1:5">
      <c r="A3217">
        <v>300</v>
      </c>
      <c r="B3217">
        <v>1830197</v>
      </c>
      <c r="C3217" s="5">
        <v>46060</v>
      </c>
      <c r="D3217" t="s">
        <v>458</v>
      </c>
      <c r="E3217">
        <v>0</v>
      </c>
    </row>
    <row r="3218" spans="1:5">
      <c r="A3218">
        <v>311</v>
      </c>
      <c r="B3218">
        <v>1830197</v>
      </c>
      <c r="C3218" s="5">
        <v>46060</v>
      </c>
      <c r="D3218" t="s">
        <v>458</v>
      </c>
      <c r="E3218">
        <v>0</v>
      </c>
    </row>
    <row r="3219" spans="1:5">
      <c r="A3219">
        <v>330</v>
      </c>
      <c r="B3219">
        <v>1830197</v>
      </c>
      <c r="C3219" s="5">
        <v>46060</v>
      </c>
      <c r="D3219" t="s">
        <v>458</v>
      </c>
      <c r="E3219">
        <v>5</v>
      </c>
    </row>
    <row r="3220" spans="1:5">
      <c r="A3220">
        <v>335</v>
      </c>
      <c r="B3220">
        <v>1830197</v>
      </c>
      <c r="C3220" s="5">
        <v>46060</v>
      </c>
      <c r="D3220" t="s">
        <v>458</v>
      </c>
      <c r="E3220">
        <v>9</v>
      </c>
    </row>
    <row r="3221" spans="1:5">
      <c r="A3221">
        <v>336</v>
      </c>
      <c r="B3221">
        <v>1830197</v>
      </c>
      <c r="C3221" s="5">
        <v>46060</v>
      </c>
      <c r="D3221" t="s">
        <v>458</v>
      </c>
      <c r="E3221">
        <v>0</v>
      </c>
    </row>
    <row r="3222" spans="1:5">
      <c r="A3222">
        <v>337</v>
      </c>
      <c r="B3222">
        <v>1830197</v>
      </c>
      <c r="C3222" s="5">
        <v>46060</v>
      </c>
      <c r="D3222" t="s">
        <v>458</v>
      </c>
      <c r="E3222">
        <v>0</v>
      </c>
    </row>
    <row r="3223" spans="1:5">
      <c r="A3223">
        <v>382</v>
      </c>
      <c r="B3223">
        <v>1830197</v>
      </c>
      <c r="C3223" s="5">
        <v>46060</v>
      </c>
      <c r="D3223" t="s">
        <v>458</v>
      </c>
      <c r="E3223">
        <v>3</v>
      </c>
    </row>
    <row r="3224" spans="1:5">
      <c r="A3224">
        <v>385</v>
      </c>
      <c r="B3224">
        <v>1830197</v>
      </c>
      <c r="C3224" s="5">
        <v>46060</v>
      </c>
      <c r="D3224" t="s">
        <v>458</v>
      </c>
      <c r="E3224">
        <v>85</v>
      </c>
    </row>
    <row r="3225" spans="1:5">
      <c r="A3225">
        <v>386</v>
      </c>
      <c r="B3225">
        <v>1830197</v>
      </c>
      <c r="C3225" s="5">
        <v>46060</v>
      </c>
      <c r="D3225" t="s">
        <v>458</v>
      </c>
      <c r="E3225">
        <v>0</v>
      </c>
    </row>
    <row r="3226" spans="1:5">
      <c r="A3226">
        <v>391</v>
      </c>
      <c r="B3226">
        <v>1830197</v>
      </c>
      <c r="C3226" s="5">
        <v>46060</v>
      </c>
      <c r="D3226" t="s">
        <v>458</v>
      </c>
      <c r="E3226">
        <v>0</v>
      </c>
    </row>
    <row r="3227" spans="1:5">
      <c r="A3227">
        <v>397</v>
      </c>
      <c r="B3227">
        <v>1830197</v>
      </c>
      <c r="C3227" s="5">
        <v>46060</v>
      </c>
      <c r="D3227" t="s">
        <v>458</v>
      </c>
      <c r="E3227">
        <v>0</v>
      </c>
    </row>
    <row r="3228" spans="1:5">
      <c r="A3228">
        <v>398</v>
      </c>
      <c r="B3228">
        <v>1830197</v>
      </c>
      <c r="C3228" s="5">
        <v>46060</v>
      </c>
      <c r="D3228" t="s">
        <v>458</v>
      </c>
      <c r="E3228">
        <v>0</v>
      </c>
    </row>
    <row r="3229" spans="1:5">
      <c r="A3229">
        <v>406</v>
      </c>
      <c r="B3229">
        <v>1830197</v>
      </c>
      <c r="C3229" s="5">
        <v>46060</v>
      </c>
      <c r="D3229" t="s">
        <v>458</v>
      </c>
      <c r="E3229">
        <v>0.1</v>
      </c>
    </row>
    <row r="3230" spans="1:5">
      <c r="A3230">
        <v>407</v>
      </c>
      <c r="B3230">
        <v>1830197</v>
      </c>
      <c r="C3230" s="5">
        <v>46060</v>
      </c>
      <c r="D3230" t="s">
        <v>458</v>
      </c>
      <c r="E3230">
        <v>1111</v>
      </c>
    </row>
    <row r="3231" spans="1:5">
      <c r="A3231">
        <v>408</v>
      </c>
      <c r="B3231">
        <v>1830197</v>
      </c>
      <c r="C3231" s="5">
        <v>46060</v>
      </c>
      <c r="D3231" t="s">
        <v>458</v>
      </c>
      <c r="E3231">
        <v>129</v>
      </c>
    </row>
    <row r="3232" spans="1:5">
      <c r="A3232">
        <v>409</v>
      </c>
      <c r="B3232">
        <v>1830197</v>
      </c>
      <c r="C3232" s="5">
        <v>46060</v>
      </c>
      <c r="D3232" t="s">
        <v>458</v>
      </c>
      <c r="E3232">
        <v>0</v>
      </c>
    </row>
    <row r="3233" spans="1:5">
      <c r="A3233">
        <v>410</v>
      </c>
      <c r="B3233">
        <v>1830197</v>
      </c>
      <c r="C3233" s="5">
        <v>46060</v>
      </c>
      <c r="D3233" t="s">
        <v>458</v>
      </c>
      <c r="E3233">
        <v>0</v>
      </c>
    </row>
    <row r="3234" spans="1:5">
      <c r="A3234">
        <v>419</v>
      </c>
      <c r="B3234">
        <v>1830197</v>
      </c>
      <c r="C3234" s="5">
        <v>46060</v>
      </c>
      <c r="D3234" t="s">
        <v>458</v>
      </c>
      <c r="E3234">
        <v>388</v>
      </c>
    </row>
    <row r="3235" spans="1:5">
      <c r="A3235">
        <v>472</v>
      </c>
      <c r="B3235">
        <v>1830197</v>
      </c>
      <c r="C3235" s="5">
        <v>46060</v>
      </c>
      <c r="D3235" t="s">
        <v>458</v>
      </c>
      <c r="E3235">
        <v>0</v>
      </c>
    </row>
    <row r="3236" spans="1:5">
      <c r="A3236">
        <v>483</v>
      </c>
      <c r="B3236">
        <v>1830197</v>
      </c>
      <c r="C3236" s="5">
        <v>46060</v>
      </c>
      <c r="D3236" t="s">
        <v>458</v>
      </c>
      <c r="E3236">
        <v>168</v>
      </c>
    </row>
    <row r="3237" spans="1:5">
      <c r="A3237">
        <v>591</v>
      </c>
      <c r="B3237">
        <v>1830197</v>
      </c>
      <c r="C3237" s="5">
        <v>46060</v>
      </c>
      <c r="D3237" t="s">
        <v>458</v>
      </c>
      <c r="E3237">
        <v>15</v>
      </c>
    </row>
    <row r="3238" spans="1:5">
      <c r="A3238">
        <v>592</v>
      </c>
      <c r="B3238">
        <v>1830197</v>
      </c>
      <c r="C3238" s="5">
        <v>46060</v>
      </c>
      <c r="D3238" t="s">
        <v>458</v>
      </c>
      <c r="E3238">
        <v>84</v>
      </c>
    </row>
    <row r="3239" spans="1:5">
      <c r="A3239">
        <v>609</v>
      </c>
      <c r="B3239">
        <v>1830197</v>
      </c>
      <c r="C3239" s="5">
        <v>46060</v>
      </c>
      <c r="D3239" t="s">
        <v>458</v>
      </c>
      <c r="E3239">
        <v>188</v>
      </c>
    </row>
    <row r="3240" spans="1:5">
      <c r="A3240">
        <v>708</v>
      </c>
      <c r="B3240">
        <v>1830197</v>
      </c>
      <c r="C3240" s="5">
        <v>46060</v>
      </c>
      <c r="D3240" t="s">
        <v>458</v>
      </c>
      <c r="E3240">
        <v>5</v>
      </c>
    </row>
    <row r="3241" spans="1:5">
      <c r="A3241">
        <v>731</v>
      </c>
      <c r="B3241">
        <v>1830197</v>
      </c>
      <c r="C3241" s="5">
        <v>46060</v>
      </c>
      <c r="D3241" t="s">
        <v>458</v>
      </c>
      <c r="E3241">
        <v>0</v>
      </c>
    </row>
    <row r="3242" spans="1:5">
      <c r="A3242">
        <v>736</v>
      </c>
      <c r="B3242">
        <v>1830197</v>
      </c>
      <c r="C3242" s="5">
        <v>46060</v>
      </c>
      <c r="D3242" t="s">
        <v>458</v>
      </c>
      <c r="E3242">
        <v>62</v>
      </c>
    </row>
    <row r="3243" spans="1:5">
      <c r="A3243">
        <v>803</v>
      </c>
      <c r="B3243">
        <v>1830197</v>
      </c>
      <c r="C3243" s="5">
        <v>46060</v>
      </c>
      <c r="D3243" t="s">
        <v>458</v>
      </c>
      <c r="E3243">
        <v>0</v>
      </c>
    </row>
    <row r="3244" spans="1:5">
      <c r="A3244">
        <v>804</v>
      </c>
      <c r="B3244">
        <v>1830197</v>
      </c>
      <c r="C3244" s="5">
        <v>46060</v>
      </c>
      <c r="D3244" t="s">
        <v>458</v>
      </c>
      <c r="E3244">
        <v>0</v>
      </c>
    </row>
    <row r="3245" spans="1:5">
      <c r="A3245">
        <v>808</v>
      </c>
      <c r="B3245">
        <v>1830197</v>
      </c>
      <c r="C3245" s="5">
        <v>46060</v>
      </c>
      <c r="D3245" t="s">
        <v>458</v>
      </c>
      <c r="E3245">
        <v>45</v>
      </c>
    </row>
    <row r="3246" spans="1:5">
      <c r="A3246">
        <v>821</v>
      </c>
      <c r="B3246">
        <v>1830197</v>
      </c>
      <c r="C3246" s="5">
        <v>46060</v>
      </c>
      <c r="D3246" t="s">
        <v>458</v>
      </c>
      <c r="E3246">
        <v>369</v>
      </c>
    </row>
    <row r="3247" spans="1:5">
      <c r="A3247">
        <v>880</v>
      </c>
      <c r="B3247">
        <v>1830197</v>
      </c>
      <c r="C3247" s="5">
        <v>46060</v>
      </c>
      <c r="D3247" t="s">
        <v>458</v>
      </c>
      <c r="E3247">
        <v>0</v>
      </c>
    </row>
    <row r="3248" spans="1:5">
      <c r="A3248">
        <v>894</v>
      </c>
      <c r="B3248">
        <v>1830197</v>
      </c>
      <c r="C3248" s="5">
        <v>46060</v>
      </c>
      <c r="D3248" t="s">
        <v>458</v>
      </c>
      <c r="E3248">
        <v>0</v>
      </c>
    </row>
    <row r="3249" spans="1:5">
      <c r="A3249">
        <v>994</v>
      </c>
      <c r="B3249">
        <v>1830197</v>
      </c>
      <c r="C3249" s="5">
        <v>46060</v>
      </c>
      <c r="D3249" t="s">
        <v>458</v>
      </c>
      <c r="E3249">
        <v>0</v>
      </c>
    </row>
    <row r="3250" spans="1:5">
      <c r="A3250">
        <v>995</v>
      </c>
      <c r="B3250">
        <v>1830197</v>
      </c>
      <c r="C3250" s="5">
        <v>46060</v>
      </c>
      <c r="D3250" t="s">
        <v>458</v>
      </c>
      <c r="E3250">
        <v>0</v>
      </c>
    </row>
    <row r="3251" spans="1:5">
      <c r="A3251">
        <v>996</v>
      </c>
      <c r="B3251">
        <v>1830197</v>
      </c>
      <c r="C3251" s="5">
        <v>46060</v>
      </c>
      <c r="D3251" t="s">
        <v>458</v>
      </c>
      <c r="E3251">
        <v>0</v>
      </c>
    </row>
    <row r="3252" spans="1:5">
      <c r="A3252">
        <v>997</v>
      </c>
      <c r="B3252">
        <v>1830197</v>
      </c>
      <c r="C3252" s="5">
        <v>46060</v>
      </c>
      <c r="D3252" t="s">
        <v>458</v>
      </c>
      <c r="E3252">
        <v>0</v>
      </c>
    </row>
    <row r="3253" spans="1:5">
      <c r="A3253">
        <v>1007</v>
      </c>
      <c r="B3253">
        <v>1830197</v>
      </c>
      <c r="C3253" s="5">
        <v>46060</v>
      </c>
      <c r="D3253" t="s">
        <v>458</v>
      </c>
      <c r="E3253">
        <v>2.2200000000000002</v>
      </c>
    </row>
    <row r="3254" spans="1:5">
      <c r="A3254">
        <v>1116</v>
      </c>
      <c r="B3254">
        <v>1830197</v>
      </c>
      <c r="C3254" s="5">
        <v>46060</v>
      </c>
      <c r="D3254" t="s">
        <v>458</v>
      </c>
      <c r="E3254">
        <v>21.34</v>
      </c>
    </row>
    <row r="3255" spans="1:5">
      <c r="A3255">
        <v>1125</v>
      </c>
      <c r="B3255">
        <v>1830197</v>
      </c>
      <c r="C3255" s="5">
        <v>46060</v>
      </c>
      <c r="D3255" t="s">
        <v>458</v>
      </c>
      <c r="E3255">
        <v>50</v>
      </c>
    </row>
    <row r="3256" spans="1:5">
      <c r="A3256">
        <v>1127</v>
      </c>
      <c r="B3256">
        <v>1830197</v>
      </c>
      <c r="C3256" s="5">
        <v>46060</v>
      </c>
      <c r="D3256" t="s">
        <v>458</v>
      </c>
      <c r="E3256">
        <v>0</v>
      </c>
    </row>
    <row r="3257" spans="1:5">
      <c r="A3257">
        <v>1131</v>
      </c>
      <c r="B3257">
        <v>1830197</v>
      </c>
      <c r="C3257" s="5">
        <v>46060</v>
      </c>
      <c r="D3257" t="s">
        <v>458</v>
      </c>
      <c r="E3257">
        <v>0</v>
      </c>
    </row>
    <row r="3258" spans="1:5">
      <c r="A3258">
        <v>1139</v>
      </c>
      <c r="B3258">
        <v>1830197</v>
      </c>
      <c r="C3258" s="5">
        <v>46060</v>
      </c>
      <c r="D3258" t="s">
        <v>458</v>
      </c>
      <c r="E3258">
        <v>398</v>
      </c>
    </row>
    <row r="3259" spans="1:5">
      <c r="A3259">
        <v>1146</v>
      </c>
      <c r="B3259">
        <v>1830197</v>
      </c>
      <c r="C3259" s="5">
        <v>46060</v>
      </c>
      <c r="D3259" t="s">
        <v>458</v>
      </c>
      <c r="E3259">
        <v>70</v>
      </c>
    </row>
    <row r="3260" spans="1:5">
      <c r="A3260">
        <v>1179</v>
      </c>
      <c r="B3260">
        <v>1830197</v>
      </c>
      <c r="C3260" s="5">
        <v>46060</v>
      </c>
      <c r="D3260" t="s">
        <v>458</v>
      </c>
      <c r="E3260">
        <v>41</v>
      </c>
    </row>
    <row r="3261" spans="1:5">
      <c r="A3261">
        <v>1224</v>
      </c>
      <c r="B3261">
        <v>1830197</v>
      </c>
      <c r="C3261" s="5">
        <v>46060</v>
      </c>
      <c r="D3261" t="s">
        <v>458</v>
      </c>
      <c r="E3261">
        <v>0</v>
      </c>
    </row>
    <row r="3262" spans="1:5">
      <c r="A3262">
        <v>1242</v>
      </c>
      <c r="B3262">
        <v>1830197</v>
      </c>
      <c r="C3262" s="5">
        <v>46060</v>
      </c>
      <c r="D3262" t="s">
        <v>458</v>
      </c>
      <c r="E3262">
        <v>205</v>
      </c>
    </row>
    <row r="3263" spans="1:5">
      <c r="A3263">
        <v>1243</v>
      </c>
      <c r="B3263">
        <v>1830197</v>
      </c>
      <c r="C3263" s="5">
        <v>46060</v>
      </c>
      <c r="D3263" t="s">
        <v>458</v>
      </c>
      <c r="E3263">
        <v>0</v>
      </c>
    </row>
    <row r="3264" spans="1:5">
      <c r="A3264">
        <v>1244</v>
      </c>
      <c r="B3264">
        <v>1830197</v>
      </c>
      <c r="C3264" s="5">
        <v>46060</v>
      </c>
      <c r="D3264" t="s">
        <v>458</v>
      </c>
      <c r="E3264">
        <v>0</v>
      </c>
    </row>
    <row r="3265" spans="1:5">
      <c r="A3265">
        <v>1245</v>
      </c>
      <c r="B3265">
        <v>1830197</v>
      </c>
      <c r="C3265" s="5">
        <v>46060</v>
      </c>
      <c r="D3265" t="s">
        <v>458</v>
      </c>
      <c r="E3265">
        <v>0</v>
      </c>
    </row>
    <row r="3266" spans="1:5">
      <c r="A3266">
        <v>1394</v>
      </c>
      <c r="B3266">
        <v>1830197</v>
      </c>
      <c r="C3266" s="5">
        <v>46060</v>
      </c>
      <c r="D3266" t="s">
        <v>458</v>
      </c>
      <c r="E3266">
        <v>0</v>
      </c>
    </row>
    <row r="3267" spans="1:5">
      <c r="A3267">
        <v>1441</v>
      </c>
      <c r="B3267">
        <v>1830197</v>
      </c>
      <c r="C3267" s="5">
        <v>46060</v>
      </c>
      <c r="D3267" t="s">
        <v>458</v>
      </c>
      <c r="E3267">
        <v>116</v>
      </c>
    </row>
    <row r="3268" spans="1:5">
      <c r="A3268">
        <v>1494</v>
      </c>
      <c r="B3268">
        <v>1830197</v>
      </c>
      <c r="C3268" s="5">
        <v>46060</v>
      </c>
      <c r="D3268" t="s">
        <v>458</v>
      </c>
      <c r="E3268">
        <v>0</v>
      </c>
    </row>
    <row r="3269" spans="1:5">
      <c r="A3269">
        <v>1503</v>
      </c>
      <c r="B3269">
        <v>1830197</v>
      </c>
      <c r="C3269" s="5">
        <v>46060</v>
      </c>
      <c r="D3269" t="s">
        <v>458</v>
      </c>
      <c r="E3269">
        <v>0.1</v>
      </c>
    </row>
    <row r="3270" spans="1:5">
      <c r="A3270">
        <v>1541</v>
      </c>
      <c r="B3270">
        <v>1830197</v>
      </c>
      <c r="C3270" s="5">
        <v>46060</v>
      </c>
      <c r="D3270" t="s">
        <v>458</v>
      </c>
      <c r="E3270">
        <v>2</v>
      </c>
    </row>
    <row r="3271" spans="1:5">
      <c r="A3271">
        <v>1637</v>
      </c>
      <c r="B3271">
        <v>1830197</v>
      </c>
      <c r="C3271" s="5">
        <v>46060</v>
      </c>
      <c r="D3271" t="s">
        <v>458</v>
      </c>
      <c r="E3271">
        <v>657</v>
      </c>
    </row>
    <row r="3272" spans="1:5">
      <c r="A3272">
        <v>1782</v>
      </c>
      <c r="B3272">
        <v>1830197</v>
      </c>
      <c r="C3272" s="5">
        <v>46060</v>
      </c>
      <c r="D3272" t="s">
        <v>458</v>
      </c>
      <c r="E3272">
        <v>0</v>
      </c>
    </row>
    <row r="3273" spans="1:5">
      <c r="A3273">
        <v>1798</v>
      </c>
      <c r="B3273">
        <v>1830197</v>
      </c>
      <c r="C3273" s="5">
        <v>46060</v>
      </c>
      <c r="D3273" t="s">
        <v>458</v>
      </c>
      <c r="E3273">
        <v>0</v>
      </c>
    </row>
    <row r="3274" spans="1:5">
      <c r="A3274">
        <v>1799</v>
      </c>
      <c r="B3274">
        <v>1830197</v>
      </c>
      <c r="C3274" s="5">
        <v>46060</v>
      </c>
      <c r="D3274" t="s">
        <v>458</v>
      </c>
      <c r="E3274">
        <v>0</v>
      </c>
    </row>
    <row r="3275" spans="1:5">
      <c r="A3275">
        <v>1811</v>
      </c>
      <c r="B3275">
        <v>1830197</v>
      </c>
      <c r="C3275" s="5">
        <v>46060</v>
      </c>
      <c r="D3275" t="s">
        <v>458</v>
      </c>
      <c r="E3275">
        <v>0</v>
      </c>
    </row>
    <row r="3276" spans="1:5">
      <c r="A3276">
        <v>1812</v>
      </c>
      <c r="B3276">
        <v>1830197</v>
      </c>
      <c r="C3276" s="5">
        <v>46060</v>
      </c>
      <c r="D3276" t="s">
        <v>458</v>
      </c>
      <c r="E3276">
        <v>0</v>
      </c>
    </row>
    <row r="3277" spans="1:5">
      <c r="A3277">
        <v>1850</v>
      </c>
      <c r="B3277">
        <v>1830197</v>
      </c>
      <c r="C3277" s="5">
        <v>46060</v>
      </c>
      <c r="D3277" t="s">
        <v>458</v>
      </c>
      <c r="E3277">
        <v>0</v>
      </c>
    </row>
    <row r="3278" spans="1:5">
      <c r="A3278">
        <v>1863</v>
      </c>
      <c r="B3278">
        <v>1830197</v>
      </c>
      <c r="C3278" s="5">
        <v>46060</v>
      </c>
      <c r="D3278" t="s">
        <v>458</v>
      </c>
      <c r="E3278">
        <v>0</v>
      </c>
    </row>
    <row r="3279" spans="1:5">
      <c r="A3279">
        <v>1870</v>
      </c>
      <c r="B3279">
        <v>1830197</v>
      </c>
      <c r="C3279" s="5">
        <v>46060</v>
      </c>
      <c r="D3279" t="s">
        <v>458</v>
      </c>
      <c r="E3279">
        <v>0</v>
      </c>
    </row>
    <row r="3280" spans="1:5">
      <c r="A3280">
        <v>1912</v>
      </c>
      <c r="B3280">
        <v>1830197</v>
      </c>
      <c r="C3280" s="5">
        <v>46060</v>
      </c>
      <c r="D3280" t="s">
        <v>458</v>
      </c>
      <c r="E3280">
        <v>0</v>
      </c>
    </row>
    <row r="3281" spans="1:5">
      <c r="A3281">
        <v>2016</v>
      </c>
      <c r="B3281">
        <v>1830197</v>
      </c>
      <c r="C3281" s="5">
        <v>46060</v>
      </c>
      <c r="D3281" t="s">
        <v>458</v>
      </c>
      <c r="E3281">
        <v>0</v>
      </c>
    </row>
    <row r="3282" spans="1:5">
      <c r="A3282">
        <v>2254</v>
      </c>
      <c r="B3282">
        <v>1830197</v>
      </c>
      <c r="C3282" s="5">
        <v>46060</v>
      </c>
      <c r="D3282" t="s">
        <v>458</v>
      </c>
      <c r="E3282">
        <v>12</v>
      </c>
    </row>
    <row r="3283" spans="1:5">
      <c r="A3283">
        <v>2255</v>
      </c>
      <c r="B3283">
        <v>1830197</v>
      </c>
      <c r="C3283" s="5">
        <v>46060</v>
      </c>
      <c r="D3283" t="s">
        <v>458</v>
      </c>
      <c r="E3283">
        <v>16</v>
      </c>
    </row>
    <row r="3284" spans="1:5">
      <c r="A3284">
        <v>2399</v>
      </c>
      <c r="B3284">
        <v>1830197</v>
      </c>
      <c r="C3284" s="5">
        <v>46060</v>
      </c>
      <c r="D3284" t="s">
        <v>458</v>
      </c>
      <c r="E3284">
        <v>-3.74</v>
      </c>
    </row>
    <row r="3285" spans="1:5">
      <c r="A3285">
        <v>2441</v>
      </c>
      <c r="B3285">
        <v>1830197</v>
      </c>
      <c r="C3285" s="5">
        <v>46060</v>
      </c>
      <c r="D3285" t="s">
        <v>458</v>
      </c>
      <c r="E3285">
        <v>0</v>
      </c>
    </row>
    <row r="3286" spans="1:5">
      <c r="A3286">
        <v>2442</v>
      </c>
      <c r="B3286">
        <v>1830197</v>
      </c>
      <c r="C3286" s="5">
        <v>46060</v>
      </c>
      <c r="D3286" t="s">
        <v>458</v>
      </c>
      <c r="E3286">
        <v>0</v>
      </c>
    </row>
    <row r="3287" spans="1:5">
      <c r="A3287">
        <v>2481</v>
      </c>
      <c r="B3287">
        <v>1830197</v>
      </c>
      <c r="C3287" s="5">
        <v>46060</v>
      </c>
      <c r="D3287" t="s">
        <v>458</v>
      </c>
      <c r="E3287">
        <v>0</v>
      </c>
    </row>
    <row r="3288" spans="1:5">
      <c r="A3288">
        <v>2540</v>
      </c>
      <c r="B3288">
        <v>1830197</v>
      </c>
      <c r="C3288" s="5">
        <v>46060</v>
      </c>
      <c r="D3288" t="s">
        <v>458</v>
      </c>
      <c r="E3288">
        <v>11</v>
      </c>
    </row>
    <row r="3289" spans="1:5">
      <c r="A3289">
        <v>2549</v>
      </c>
      <c r="B3289">
        <v>1830197</v>
      </c>
      <c r="C3289" s="5">
        <v>46060</v>
      </c>
      <c r="D3289" t="s">
        <v>458</v>
      </c>
      <c r="E3289">
        <v>206</v>
      </c>
    </row>
    <row r="3290" spans="1:5">
      <c r="A3290">
        <v>2550</v>
      </c>
      <c r="B3290">
        <v>1830197</v>
      </c>
      <c r="C3290" s="5">
        <v>46060</v>
      </c>
      <c r="D3290" t="s">
        <v>458</v>
      </c>
      <c r="E3290">
        <v>10</v>
      </c>
    </row>
    <row r="3291" spans="1:5">
      <c r="A3291">
        <v>2589</v>
      </c>
      <c r="B3291">
        <v>1830197</v>
      </c>
      <c r="C3291" s="5">
        <v>46060</v>
      </c>
      <c r="D3291" t="s">
        <v>458</v>
      </c>
      <c r="E3291">
        <v>0</v>
      </c>
    </row>
    <row r="3292" spans="1:5">
      <c r="A3292">
        <v>2590</v>
      </c>
      <c r="B3292">
        <v>1830197</v>
      </c>
      <c r="C3292" s="5">
        <v>46060</v>
      </c>
      <c r="D3292" t="s">
        <v>458</v>
      </c>
      <c r="E3292">
        <v>0</v>
      </c>
    </row>
    <row r="3293" spans="1:5">
      <c r="A3293">
        <v>2591</v>
      </c>
      <c r="B3293">
        <v>1830197</v>
      </c>
      <c r="C3293" s="5">
        <v>46060</v>
      </c>
      <c r="D3293" t="s">
        <v>458</v>
      </c>
      <c r="E3293">
        <v>12</v>
      </c>
    </row>
    <row r="3294" spans="1:5">
      <c r="A3294">
        <v>2601</v>
      </c>
      <c r="B3294">
        <v>1830197</v>
      </c>
      <c r="C3294" s="5">
        <v>46060</v>
      </c>
      <c r="D3294" t="s">
        <v>458</v>
      </c>
      <c r="E3294">
        <v>0.1</v>
      </c>
    </row>
    <row r="3295" spans="1:5">
      <c r="A3295">
        <v>2679</v>
      </c>
      <c r="B3295">
        <v>1830197</v>
      </c>
      <c r="C3295" s="5">
        <v>46060</v>
      </c>
      <c r="D3295" t="s">
        <v>458</v>
      </c>
      <c r="E3295">
        <v>0.27</v>
      </c>
    </row>
    <row r="3296" spans="1:5">
      <c r="A3296">
        <v>2683</v>
      </c>
      <c r="B3296">
        <v>1830197</v>
      </c>
      <c r="C3296" s="5">
        <v>46060</v>
      </c>
      <c r="D3296" t="s">
        <v>458</v>
      </c>
      <c r="E3296">
        <v>0</v>
      </c>
    </row>
    <row r="3297" spans="1:5">
      <c r="A3297">
        <v>2684</v>
      </c>
      <c r="B3297">
        <v>1830197</v>
      </c>
      <c r="C3297" s="5">
        <v>46060</v>
      </c>
      <c r="D3297" t="s">
        <v>458</v>
      </c>
      <c r="E3297">
        <v>0</v>
      </c>
    </row>
    <row r="3298" spans="1:5">
      <c r="A3298">
        <v>2685</v>
      </c>
      <c r="B3298">
        <v>1830197</v>
      </c>
      <c r="C3298" s="5">
        <v>46060</v>
      </c>
      <c r="D3298" t="s">
        <v>458</v>
      </c>
      <c r="E3298">
        <v>0</v>
      </c>
    </row>
    <row r="3299" spans="1:5">
      <c r="A3299">
        <v>2784</v>
      </c>
      <c r="B3299">
        <v>1830197</v>
      </c>
      <c r="C3299" s="5">
        <v>46060</v>
      </c>
      <c r="D3299" t="s">
        <v>458</v>
      </c>
      <c r="E3299">
        <v>9.8699999999999992</v>
      </c>
    </row>
    <row r="3300" spans="1:5">
      <c r="A3300">
        <v>2785</v>
      </c>
      <c r="B3300">
        <v>1830197</v>
      </c>
      <c r="C3300" s="5">
        <v>46060</v>
      </c>
      <c r="D3300" t="s">
        <v>458</v>
      </c>
      <c r="E3300">
        <v>1</v>
      </c>
    </row>
    <row r="3301" spans="1:5">
      <c r="A3301">
        <v>2786</v>
      </c>
      <c r="B3301">
        <v>1830197</v>
      </c>
      <c r="C3301" s="5">
        <v>46060</v>
      </c>
      <c r="D3301" t="s">
        <v>458</v>
      </c>
      <c r="E3301">
        <v>0</v>
      </c>
    </row>
    <row r="3302" spans="1:5">
      <c r="A3302">
        <v>2787</v>
      </c>
      <c r="B3302">
        <v>1830197</v>
      </c>
      <c r="C3302" s="5">
        <v>46060</v>
      </c>
      <c r="D3302" t="s">
        <v>458</v>
      </c>
      <c r="E3302">
        <v>5</v>
      </c>
    </row>
    <row r="3303" spans="1:5">
      <c r="A3303">
        <v>2814</v>
      </c>
      <c r="B3303">
        <v>1830197</v>
      </c>
      <c r="C3303" s="5">
        <v>46060</v>
      </c>
      <c r="D3303" t="s">
        <v>458</v>
      </c>
      <c r="E3303">
        <v>0</v>
      </c>
    </row>
    <row r="3304" spans="1:5">
      <c r="A3304">
        <v>2815</v>
      </c>
      <c r="B3304">
        <v>1830197</v>
      </c>
      <c r="C3304" s="5">
        <v>46060</v>
      </c>
      <c r="D3304" t="s">
        <v>458</v>
      </c>
      <c r="E3304">
        <v>0</v>
      </c>
    </row>
    <row r="3305" spans="1:5">
      <c r="A3305">
        <v>2816</v>
      </c>
      <c r="B3305">
        <v>1830197</v>
      </c>
      <c r="C3305" s="5">
        <v>46060</v>
      </c>
      <c r="D3305" t="s">
        <v>458</v>
      </c>
      <c r="E3305">
        <v>0</v>
      </c>
    </row>
    <row r="3306" spans="1:5">
      <c r="A3306">
        <v>2817</v>
      </c>
      <c r="B3306">
        <v>1830197</v>
      </c>
      <c r="C3306" s="5">
        <v>46060</v>
      </c>
      <c r="D3306" t="s">
        <v>458</v>
      </c>
      <c r="E3306">
        <v>0</v>
      </c>
    </row>
    <row r="3307" spans="1:5">
      <c r="A3307">
        <v>2856</v>
      </c>
      <c r="B3307">
        <v>1830197</v>
      </c>
      <c r="C3307" s="5">
        <v>46060</v>
      </c>
      <c r="D3307" t="s">
        <v>458</v>
      </c>
      <c r="E3307">
        <v>0</v>
      </c>
    </row>
    <row r="3308" spans="1:5">
      <c r="A3308">
        <v>2872</v>
      </c>
      <c r="B3308">
        <v>1830197</v>
      </c>
      <c r="C3308" s="5">
        <v>46060</v>
      </c>
      <c r="D3308" t="s">
        <v>458</v>
      </c>
      <c r="E3308">
        <v>0</v>
      </c>
    </row>
    <row r="3309" spans="1:5">
      <c r="A3309">
        <v>2956</v>
      </c>
      <c r="B3309">
        <v>1830197</v>
      </c>
      <c r="C3309" s="5">
        <v>46060</v>
      </c>
      <c r="D3309" t="s">
        <v>458</v>
      </c>
      <c r="E3309">
        <v>0.1</v>
      </c>
    </row>
    <row r="3310" spans="1:5">
      <c r="A3310">
        <v>2963</v>
      </c>
      <c r="B3310">
        <v>1830197</v>
      </c>
      <c r="C3310" s="5">
        <v>46060</v>
      </c>
      <c r="D3310" t="s">
        <v>458</v>
      </c>
      <c r="E3310">
        <v>0</v>
      </c>
    </row>
    <row r="3311" spans="1:5">
      <c r="A3311">
        <v>3034</v>
      </c>
      <c r="B3311">
        <v>1830197</v>
      </c>
      <c r="C3311" s="5">
        <v>46060</v>
      </c>
      <c r="D3311" t="s">
        <v>458</v>
      </c>
      <c r="E3311">
        <v>11</v>
      </c>
    </row>
    <row r="3312" spans="1:5">
      <c r="A3312">
        <v>3087</v>
      </c>
      <c r="B3312">
        <v>1830197</v>
      </c>
      <c r="C3312" s="5">
        <v>46060</v>
      </c>
      <c r="D3312" t="s">
        <v>458</v>
      </c>
      <c r="E3312">
        <v>202</v>
      </c>
    </row>
    <row r="3313" spans="1:5">
      <c r="A3313">
        <v>3143</v>
      </c>
      <c r="B3313">
        <v>1830197</v>
      </c>
      <c r="C3313" s="5">
        <v>46060</v>
      </c>
      <c r="D3313" t="s">
        <v>458</v>
      </c>
      <c r="E3313">
        <v>0</v>
      </c>
    </row>
    <row r="3314" spans="1:5">
      <c r="A3314">
        <v>3206</v>
      </c>
      <c r="B3314">
        <v>1830197</v>
      </c>
      <c r="C3314" s="5">
        <v>46060</v>
      </c>
      <c r="D3314" t="s">
        <v>458</v>
      </c>
      <c r="E3314">
        <v>0</v>
      </c>
    </row>
    <row r="3315" spans="1:5">
      <c r="A3315">
        <v>3236</v>
      </c>
      <c r="B3315">
        <v>1830197</v>
      </c>
      <c r="C3315" s="5">
        <v>46060</v>
      </c>
      <c r="D3315" t="s">
        <v>458</v>
      </c>
      <c r="E3315">
        <v>646</v>
      </c>
    </row>
    <row r="3316" spans="1:5">
      <c r="A3316">
        <v>3278</v>
      </c>
      <c r="B3316">
        <v>1830197</v>
      </c>
      <c r="C3316" s="5">
        <v>46060</v>
      </c>
      <c r="D3316" t="s">
        <v>458</v>
      </c>
      <c r="E3316">
        <v>188</v>
      </c>
    </row>
    <row r="3317" spans="1:5">
      <c r="A3317">
        <v>3297</v>
      </c>
      <c r="B3317">
        <v>1830197</v>
      </c>
      <c r="C3317" s="5">
        <v>46060</v>
      </c>
      <c r="D3317" t="s">
        <v>458</v>
      </c>
      <c r="E3317">
        <v>0</v>
      </c>
    </row>
    <row r="3318" spans="1:5">
      <c r="A3318">
        <v>3309</v>
      </c>
      <c r="B3318">
        <v>1830197</v>
      </c>
      <c r="C3318" s="5">
        <v>46060</v>
      </c>
      <c r="D3318" t="s">
        <v>458</v>
      </c>
      <c r="E3318">
        <v>72</v>
      </c>
    </row>
    <row r="3319" spans="1:5">
      <c r="A3319">
        <v>3423</v>
      </c>
      <c r="B3319">
        <v>1830197</v>
      </c>
      <c r="C3319" s="5">
        <v>46060</v>
      </c>
      <c r="D3319" t="s">
        <v>458</v>
      </c>
      <c r="E3319">
        <v>0.1</v>
      </c>
    </row>
    <row r="3320" spans="1:5">
      <c r="A3320">
        <v>3439</v>
      </c>
      <c r="B3320">
        <v>1830197</v>
      </c>
      <c r="C3320" s="5">
        <v>46060</v>
      </c>
      <c r="D3320" t="s">
        <v>458</v>
      </c>
      <c r="E3320">
        <v>0</v>
      </c>
    </row>
    <row r="3321" spans="1:5">
      <c r="A3321">
        <v>3471</v>
      </c>
      <c r="B3321">
        <v>1830197</v>
      </c>
      <c r="C3321" s="5">
        <v>46060</v>
      </c>
      <c r="D3321" t="s">
        <v>458</v>
      </c>
      <c r="E3321">
        <v>1.35</v>
      </c>
    </row>
    <row r="3322" spans="1:5">
      <c r="A3322">
        <v>3488</v>
      </c>
      <c r="B3322">
        <v>1830197</v>
      </c>
      <c r="C3322" s="5">
        <v>46060</v>
      </c>
      <c r="D3322" t="s">
        <v>458</v>
      </c>
      <c r="E3322">
        <v>0</v>
      </c>
    </row>
    <row r="3323" spans="1:5">
      <c r="A3323">
        <v>3496</v>
      </c>
      <c r="B3323">
        <v>1830197</v>
      </c>
      <c r="C3323" s="5">
        <v>46060</v>
      </c>
      <c r="D3323" t="s">
        <v>458</v>
      </c>
      <c r="E3323">
        <v>0</v>
      </c>
    </row>
    <row r="3324" spans="1:5">
      <c r="A3324">
        <v>3557</v>
      </c>
      <c r="B3324">
        <v>1830197</v>
      </c>
      <c r="C3324" s="5">
        <v>46060</v>
      </c>
      <c r="D3324" t="s">
        <v>458</v>
      </c>
      <c r="E3324">
        <v>0</v>
      </c>
    </row>
    <row r="3325" spans="1:5">
      <c r="A3325">
        <v>3584</v>
      </c>
      <c r="B3325">
        <v>1830197</v>
      </c>
      <c r="C3325" s="5">
        <v>46060</v>
      </c>
      <c r="D3325" t="s">
        <v>458</v>
      </c>
      <c r="E3325">
        <v>17</v>
      </c>
    </row>
    <row r="3326" spans="1:5">
      <c r="A3326">
        <v>3593</v>
      </c>
      <c r="B3326">
        <v>1830197</v>
      </c>
      <c r="C3326" s="5">
        <v>46060</v>
      </c>
      <c r="D3326" t="s">
        <v>458</v>
      </c>
      <c r="E3326">
        <v>66</v>
      </c>
    </row>
    <row r="3327" spans="1:5">
      <c r="A3327">
        <v>3594</v>
      </c>
      <c r="B3327">
        <v>1830197</v>
      </c>
      <c r="C3327" s="5">
        <v>46060</v>
      </c>
      <c r="D3327" t="s">
        <v>458</v>
      </c>
      <c r="E3327">
        <v>150</v>
      </c>
    </row>
    <row r="3328" spans="1:5">
      <c r="A3328">
        <v>3595</v>
      </c>
      <c r="B3328">
        <v>1830197</v>
      </c>
      <c r="C3328" s="5">
        <v>46060</v>
      </c>
      <c r="D3328" t="s">
        <v>458</v>
      </c>
      <c r="E3328">
        <v>0</v>
      </c>
    </row>
    <row r="3329" spans="1:5">
      <c r="A3329">
        <v>3596</v>
      </c>
      <c r="B3329">
        <v>1830197</v>
      </c>
      <c r="C3329" s="5">
        <v>46060</v>
      </c>
      <c r="D3329" t="s">
        <v>458</v>
      </c>
      <c r="E3329">
        <v>0</v>
      </c>
    </row>
    <row r="3330" spans="1:5">
      <c r="A3330">
        <v>3597</v>
      </c>
      <c r="B3330">
        <v>1830197</v>
      </c>
      <c r="C3330" s="5">
        <v>46060</v>
      </c>
      <c r="D3330" t="s">
        <v>458</v>
      </c>
      <c r="E3330">
        <v>22</v>
      </c>
    </row>
    <row r="3331" spans="1:5">
      <c r="A3331">
        <v>3617</v>
      </c>
      <c r="B3331">
        <v>1830197</v>
      </c>
      <c r="C3331" s="5">
        <v>46060</v>
      </c>
      <c r="D3331" t="s">
        <v>458</v>
      </c>
      <c r="E3331">
        <v>0.89</v>
      </c>
    </row>
    <row r="3332" spans="1:5">
      <c r="A3332">
        <v>3636</v>
      </c>
      <c r="B3332">
        <v>1830197</v>
      </c>
      <c r="C3332" s="5">
        <v>46060</v>
      </c>
      <c r="D3332" t="s">
        <v>458</v>
      </c>
      <c r="E3332">
        <v>0</v>
      </c>
    </row>
    <row r="3333" spans="1:5">
      <c r="A3333">
        <v>3646</v>
      </c>
      <c r="B3333">
        <v>1830197</v>
      </c>
      <c r="C3333" s="5">
        <v>46060</v>
      </c>
      <c r="D3333" t="s">
        <v>458</v>
      </c>
      <c r="E3333">
        <v>0</v>
      </c>
    </row>
    <row r="3334" spans="1:5">
      <c r="A3334">
        <v>3647</v>
      </c>
      <c r="B3334">
        <v>1830197</v>
      </c>
      <c r="C3334" s="5">
        <v>46060</v>
      </c>
      <c r="D3334" t="s">
        <v>458</v>
      </c>
      <c r="E3334">
        <v>0</v>
      </c>
    </row>
    <row r="3335" spans="1:5">
      <c r="A3335">
        <v>3648</v>
      </c>
      <c r="B3335">
        <v>1830197</v>
      </c>
      <c r="C3335" s="5">
        <v>46060</v>
      </c>
      <c r="D3335" t="s">
        <v>458</v>
      </c>
      <c r="E3335">
        <v>0</v>
      </c>
    </row>
    <row r="3336" spans="1:5">
      <c r="A3336">
        <v>3735</v>
      </c>
      <c r="B3336">
        <v>1830197</v>
      </c>
      <c r="C3336" s="5">
        <v>46060</v>
      </c>
      <c r="D3336" t="s">
        <v>458</v>
      </c>
      <c r="E3336">
        <v>0</v>
      </c>
    </row>
    <row r="3337" spans="1:5">
      <c r="A3337">
        <v>3761</v>
      </c>
      <c r="B3337">
        <v>1830197</v>
      </c>
      <c r="C3337" s="5">
        <v>46060</v>
      </c>
      <c r="D3337" t="s">
        <v>458</v>
      </c>
      <c r="E3337">
        <v>219</v>
      </c>
    </row>
    <row r="3338" spans="1:5">
      <c r="A3338">
        <v>3815</v>
      </c>
      <c r="B3338">
        <v>1830197</v>
      </c>
      <c r="C3338" s="5">
        <v>46060</v>
      </c>
      <c r="D3338" t="s">
        <v>458</v>
      </c>
      <c r="E3338">
        <v>0</v>
      </c>
    </row>
    <row r="3339" spans="1:5">
      <c r="A3339">
        <v>3866</v>
      </c>
      <c r="B3339">
        <v>1830197</v>
      </c>
      <c r="C3339" s="5">
        <v>46060</v>
      </c>
      <c r="D3339" t="s">
        <v>458</v>
      </c>
      <c r="E3339">
        <v>0</v>
      </c>
    </row>
    <row r="3340" spans="1:5">
      <c r="A3340">
        <v>3867</v>
      </c>
      <c r="B3340">
        <v>1830197</v>
      </c>
      <c r="C3340" s="5">
        <v>46060</v>
      </c>
      <c r="D3340" t="s">
        <v>458</v>
      </c>
      <c r="E3340">
        <v>0</v>
      </c>
    </row>
    <row r="3341" spans="1:5">
      <c r="A3341">
        <v>3868</v>
      </c>
      <c r="B3341">
        <v>1830197</v>
      </c>
      <c r="C3341" s="5">
        <v>46060</v>
      </c>
      <c r="D3341" t="s">
        <v>458</v>
      </c>
      <c r="E3341">
        <v>0</v>
      </c>
    </row>
    <row r="3342" spans="1:5">
      <c r="A3342">
        <v>4027</v>
      </c>
      <c r="B3342">
        <v>1830197</v>
      </c>
      <c r="C3342" s="5">
        <v>46060</v>
      </c>
      <c r="D3342" t="s">
        <v>458</v>
      </c>
      <c r="E3342">
        <v>0</v>
      </c>
    </row>
    <row r="3343" spans="1:5">
      <c r="A3343">
        <v>4111</v>
      </c>
      <c r="B3343">
        <v>1830197</v>
      </c>
      <c r="C3343" s="5">
        <v>46060</v>
      </c>
      <c r="D3343" t="s">
        <v>458</v>
      </c>
      <c r="E3343">
        <v>6</v>
      </c>
    </row>
    <row r="3344" spans="1:5">
      <c r="A3344">
        <v>4209</v>
      </c>
      <c r="B3344">
        <v>1830197</v>
      </c>
      <c r="C3344" s="5">
        <v>46060</v>
      </c>
      <c r="D3344" t="s">
        <v>458</v>
      </c>
      <c r="E3344">
        <v>0</v>
      </c>
    </row>
    <row r="3345" spans="1:5">
      <c r="A3345">
        <v>4334</v>
      </c>
      <c r="B3345">
        <v>1830197</v>
      </c>
      <c r="C3345" s="5">
        <v>46060</v>
      </c>
      <c r="D3345" t="s">
        <v>458</v>
      </c>
      <c r="E3345">
        <v>0</v>
      </c>
    </row>
    <row r="3346" spans="1:5">
      <c r="A3346">
        <v>4422</v>
      </c>
      <c r="B3346">
        <v>1830197</v>
      </c>
      <c r="C3346" s="5">
        <v>46060</v>
      </c>
      <c r="D3346" t="s">
        <v>458</v>
      </c>
      <c r="E3346">
        <v>0</v>
      </c>
    </row>
    <row r="3347" spans="1:5">
      <c r="A3347">
        <v>4551</v>
      </c>
      <c r="B3347">
        <v>1830197</v>
      </c>
      <c r="C3347" s="5">
        <v>46060</v>
      </c>
      <c r="D3347" t="s">
        <v>458</v>
      </c>
      <c r="E3347">
        <v>50</v>
      </c>
    </row>
    <row r="3348" spans="1:5">
      <c r="A3348">
        <v>4596</v>
      </c>
      <c r="B3348">
        <v>1830197</v>
      </c>
      <c r="C3348" s="5">
        <v>46060</v>
      </c>
      <c r="D3348" t="s">
        <v>458</v>
      </c>
      <c r="E3348">
        <v>0</v>
      </c>
    </row>
    <row r="3349" spans="1:5">
      <c r="A3349">
        <v>4607</v>
      </c>
      <c r="B3349">
        <v>1830197</v>
      </c>
      <c r="C3349" s="5">
        <v>46060</v>
      </c>
      <c r="D3349" t="s">
        <v>458</v>
      </c>
      <c r="E3349">
        <v>29</v>
      </c>
    </row>
    <row r="3350" spans="1:5">
      <c r="A3350">
        <v>4703</v>
      </c>
      <c r="B3350">
        <v>1830197</v>
      </c>
      <c r="C3350" s="5">
        <v>46060</v>
      </c>
      <c r="D3350" t="s">
        <v>458</v>
      </c>
      <c r="E3350">
        <v>0</v>
      </c>
    </row>
    <row r="3351" spans="1:5">
      <c r="A3351">
        <v>4704</v>
      </c>
      <c r="B3351">
        <v>1830197</v>
      </c>
      <c r="C3351" s="5">
        <v>46060</v>
      </c>
      <c r="D3351" t="s">
        <v>458</v>
      </c>
      <c r="E3351">
        <v>0</v>
      </c>
    </row>
    <row r="3352" spans="1:5">
      <c r="A3352">
        <v>4853</v>
      </c>
      <c r="B3352">
        <v>1830197</v>
      </c>
      <c r="C3352" s="5">
        <v>46060</v>
      </c>
      <c r="D3352" t="s">
        <v>458</v>
      </c>
      <c r="E3352">
        <v>78</v>
      </c>
    </row>
    <row r="3353" spans="1:5">
      <c r="A3353">
        <v>4887</v>
      </c>
      <c r="B3353">
        <v>1830197</v>
      </c>
      <c r="C3353" s="5">
        <v>46060</v>
      </c>
      <c r="D3353" t="s">
        <v>458</v>
      </c>
      <c r="E3353">
        <v>0</v>
      </c>
    </row>
    <row r="3354" spans="1:5">
      <c r="A3354">
        <v>4926</v>
      </c>
      <c r="B3354">
        <v>1830197</v>
      </c>
      <c r="C3354" s="5">
        <v>46060</v>
      </c>
      <c r="D3354" t="s">
        <v>458</v>
      </c>
      <c r="E3354">
        <v>0</v>
      </c>
    </row>
    <row r="3355" spans="1:5">
      <c r="A3355">
        <v>4954</v>
      </c>
      <c r="B3355">
        <v>1830197</v>
      </c>
      <c r="C3355" s="5">
        <v>46060</v>
      </c>
      <c r="D3355" t="s">
        <v>458</v>
      </c>
      <c r="E3355">
        <v>0</v>
      </c>
    </row>
    <row r="3356" spans="1:5">
      <c r="A3356">
        <v>4970</v>
      </c>
      <c r="B3356">
        <v>1830197</v>
      </c>
      <c r="C3356" s="5">
        <v>46060</v>
      </c>
      <c r="D3356" t="s">
        <v>458</v>
      </c>
      <c r="E3356">
        <v>0</v>
      </c>
    </row>
    <row r="3357" spans="1:5">
      <c r="A3357">
        <v>4980</v>
      </c>
      <c r="B3357">
        <v>1830197</v>
      </c>
      <c r="C3357" s="5">
        <v>46060</v>
      </c>
      <c r="D3357" t="s">
        <v>458</v>
      </c>
      <c r="E3357">
        <v>0</v>
      </c>
    </row>
    <row r="3358" spans="1:5">
      <c r="A3358">
        <v>4995</v>
      </c>
      <c r="B3358">
        <v>1830197</v>
      </c>
      <c r="C3358" s="5">
        <v>46060</v>
      </c>
      <c r="D3358" t="s">
        <v>458</v>
      </c>
      <c r="E3358">
        <v>0</v>
      </c>
    </row>
    <row r="3359" spans="1:5">
      <c r="A3359">
        <v>4996</v>
      </c>
      <c r="B3359">
        <v>1830197</v>
      </c>
      <c r="C3359" s="5">
        <v>46060</v>
      </c>
      <c r="D3359" t="s">
        <v>458</v>
      </c>
      <c r="E3359">
        <v>0</v>
      </c>
    </row>
    <row r="3360" spans="1:5">
      <c r="A3360">
        <v>4997</v>
      </c>
      <c r="B3360">
        <v>1830197</v>
      </c>
      <c r="C3360" s="5">
        <v>46060</v>
      </c>
      <c r="D3360" t="s">
        <v>458</v>
      </c>
      <c r="E3360">
        <v>13</v>
      </c>
    </row>
    <row r="3361" spans="1:5">
      <c r="A3361">
        <v>4998</v>
      </c>
      <c r="B3361">
        <v>1830197</v>
      </c>
      <c r="C3361" s="5">
        <v>46060</v>
      </c>
      <c r="D3361" t="s">
        <v>458</v>
      </c>
      <c r="E3361">
        <v>23</v>
      </c>
    </row>
    <row r="3362" spans="1:5">
      <c r="A3362">
        <v>4999</v>
      </c>
      <c r="B3362">
        <v>1830197</v>
      </c>
      <c r="C3362" s="5">
        <v>46060</v>
      </c>
      <c r="D3362" t="s">
        <v>458</v>
      </c>
      <c r="E3362">
        <v>316</v>
      </c>
    </row>
    <row r="3363" spans="1:5">
      <c r="A3363">
        <v>5012</v>
      </c>
      <c r="B3363">
        <v>1830197</v>
      </c>
      <c r="C3363" s="5">
        <v>46060</v>
      </c>
      <c r="D3363" t="s">
        <v>458</v>
      </c>
      <c r="E3363">
        <v>3.12</v>
      </c>
    </row>
    <row r="3364" spans="1:5">
      <c r="A3364">
        <v>5054</v>
      </c>
      <c r="B3364">
        <v>1830197</v>
      </c>
      <c r="C3364" s="5">
        <v>46060</v>
      </c>
      <c r="D3364" t="s">
        <v>458</v>
      </c>
      <c r="E3364">
        <v>8.5</v>
      </c>
    </row>
    <row r="3365" spans="1:5">
      <c r="A3365">
        <v>5163</v>
      </c>
      <c r="B3365">
        <v>1830197</v>
      </c>
      <c r="C3365" s="5">
        <v>46060</v>
      </c>
      <c r="D3365" t="s">
        <v>458</v>
      </c>
      <c r="E3365">
        <v>0</v>
      </c>
    </row>
    <row r="3366" spans="1:5">
      <c r="A3366">
        <v>5209</v>
      </c>
      <c r="B3366">
        <v>1830197</v>
      </c>
      <c r="C3366" s="5">
        <v>46060</v>
      </c>
      <c r="D3366" t="s">
        <v>458</v>
      </c>
      <c r="E3366">
        <v>-2</v>
      </c>
    </row>
    <row r="3367" spans="1:5">
      <c r="A3367">
        <v>5349</v>
      </c>
      <c r="B3367">
        <v>1830197</v>
      </c>
      <c r="C3367" s="5">
        <v>46060</v>
      </c>
      <c r="D3367" t="s">
        <v>458</v>
      </c>
      <c r="E3367">
        <v>0</v>
      </c>
    </row>
    <row r="3368" spans="1:5">
      <c r="A3368">
        <v>5351</v>
      </c>
      <c r="B3368">
        <v>1830197</v>
      </c>
      <c r="C3368" s="5">
        <v>46060</v>
      </c>
      <c r="D3368" t="s">
        <v>458</v>
      </c>
      <c r="E3368">
        <v>0</v>
      </c>
    </row>
    <row r="3369" spans="1:5">
      <c r="A3369">
        <v>5358</v>
      </c>
      <c r="B3369">
        <v>1830197</v>
      </c>
      <c r="C3369" s="5">
        <v>46060</v>
      </c>
      <c r="D3369" t="s">
        <v>458</v>
      </c>
      <c r="E3369">
        <v>0</v>
      </c>
    </row>
    <row r="3370" spans="1:5">
      <c r="A3370">
        <v>5378</v>
      </c>
      <c r="B3370">
        <v>1830197</v>
      </c>
      <c r="C3370" s="5">
        <v>46060</v>
      </c>
      <c r="D3370" t="s">
        <v>458</v>
      </c>
      <c r="E3370">
        <v>0</v>
      </c>
    </row>
    <row r="3371" spans="1:5">
      <c r="A3371">
        <v>5391</v>
      </c>
      <c r="B3371">
        <v>1830197</v>
      </c>
      <c r="C3371" s="5">
        <v>46060</v>
      </c>
      <c r="D3371" t="s">
        <v>458</v>
      </c>
      <c r="E3371">
        <v>0</v>
      </c>
    </row>
    <row r="3372" spans="1:5">
      <c r="A3372">
        <v>5429</v>
      </c>
      <c r="B3372">
        <v>1830197</v>
      </c>
      <c r="C3372" s="5">
        <v>46060</v>
      </c>
      <c r="D3372" t="s">
        <v>458</v>
      </c>
      <c r="E3372">
        <v>11</v>
      </c>
    </row>
    <row r="3373" spans="1:5">
      <c r="A3373">
        <v>5430</v>
      </c>
      <c r="B3373">
        <v>1830197</v>
      </c>
      <c r="C3373" s="5">
        <v>46060</v>
      </c>
      <c r="D3373" t="s">
        <v>458</v>
      </c>
      <c r="E3373">
        <v>0</v>
      </c>
    </row>
    <row r="3374" spans="1:5">
      <c r="A3374">
        <v>5431</v>
      </c>
      <c r="B3374">
        <v>1830197</v>
      </c>
      <c r="C3374" s="5">
        <v>46060</v>
      </c>
      <c r="D3374" t="s">
        <v>458</v>
      </c>
      <c r="E3374">
        <v>0</v>
      </c>
    </row>
    <row r="3375" spans="1:5">
      <c r="A3375">
        <v>5432</v>
      </c>
      <c r="B3375">
        <v>1830197</v>
      </c>
      <c r="C3375" s="5">
        <v>46060</v>
      </c>
      <c r="D3375" t="s">
        <v>458</v>
      </c>
      <c r="E3375">
        <v>0</v>
      </c>
    </row>
    <row r="3376" spans="1:5">
      <c r="A3376">
        <v>5444</v>
      </c>
      <c r="B3376">
        <v>1830197</v>
      </c>
      <c r="C3376" s="5">
        <v>46060</v>
      </c>
      <c r="D3376" t="s">
        <v>458</v>
      </c>
      <c r="E3376">
        <v>0</v>
      </c>
    </row>
    <row r="3377" spans="1:5">
      <c r="A3377">
        <v>5478</v>
      </c>
      <c r="B3377">
        <v>1830197</v>
      </c>
      <c r="C3377" s="5">
        <v>46060</v>
      </c>
      <c r="D3377" t="s">
        <v>458</v>
      </c>
      <c r="E3377">
        <v>0</v>
      </c>
    </row>
    <row r="3378" spans="1:5">
      <c r="A3378">
        <v>5481</v>
      </c>
      <c r="B3378">
        <v>1830197</v>
      </c>
      <c r="C3378" s="5">
        <v>46060</v>
      </c>
      <c r="D3378" t="s">
        <v>458</v>
      </c>
      <c r="E3378">
        <v>0</v>
      </c>
    </row>
    <row r="3379" spans="1:5">
      <c r="A3379">
        <v>5551</v>
      </c>
      <c r="B3379">
        <v>1830197</v>
      </c>
      <c r="C3379" s="5">
        <v>46060</v>
      </c>
      <c r="D3379" t="s">
        <v>458</v>
      </c>
      <c r="E3379">
        <v>0</v>
      </c>
    </row>
    <row r="3380" spans="1:5">
      <c r="A3380">
        <v>5552</v>
      </c>
      <c r="B3380">
        <v>1830197</v>
      </c>
      <c r="C3380" s="5">
        <v>46060</v>
      </c>
      <c r="D3380" t="s">
        <v>458</v>
      </c>
      <c r="E3380">
        <v>31</v>
      </c>
    </row>
    <row r="3381" spans="1:5">
      <c r="A3381">
        <v>5565</v>
      </c>
      <c r="B3381">
        <v>1830197</v>
      </c>
      <c r="C3381" s="5">
        <v>46060</v>
      </c>
      <c r="D3381" t="s">
        <v>458</v>
      </c>
      <c r="E3381">
        <v>0</v>
      </c>
    </row>
    <row r="3382" spans="1:5">
      <c r="A3382">
        <v>5664</v>
      </c>
      <c r="B3382">
        <v>1830197</v>
      </c>
      <c r="C3382" s="5">
        <v>46060</v>
      </c>
      <c r="D3382" t="s">
        <v>458</v>
      </c>
      <c r="E3382">
        <v>2</v>
      </c>
    </row>
    <row r="3383" spans="1:5">
      <c r="A3383">
        <v>5876</v>
      </c>
      <c r="B3383">
        <v>1830197</v>
      </c>
      <c r="C3383" s="5">
        <v>46060</v>
      </c>
      <c r="D3383" t="s">
        <v>458</v>
      </c>
      <c r="E3383">
        <v>0</v>
      </c>
    </row>
    <row r="3384" spans="1:5">
      <c r="A3384">
        <v>5935</v>
      </c>
      <c r="B3384">
        <v>1830197</v>
      </c>
      <c r="C3384" s="5">
        <v>46060</v>
      </c>
      <c r="D3384" t="s">
        <v>458</v>
      </c>
      <c r="E3384">
        <v>0</v>
      </c>
    </row>
    <row r="3385" spans="1:5">
      <c r="A3385">
        <v>5939</v>
      </c>
      <c r="B3385">
        <v>1830197</v>
      </c>
      <c r="C3385" s="5">
        <v>46060</v>
      </c>
      <c r="D3385" t="s">
        <v>458</v>
      </c>
      <c r="E3385">
        <v>0</v>
      </c>
    </row>
    <row r="3386" spans="1:5">
      <c r="A3386">
        <v>5983</v>
      </c>
      <c r="B3386">
        <v>1830197</v>
      </c>
      <c r="C3386" s="5">
        <v>46060</v>
      </c>
      <c r="D3386" t="s">
        <v>458</v>
      </c>
      <c r="E3386">
        <v>4.03</v>
      </c>
    </row>
    <row r="3387" spans="1:5">
      <c r="A3387">
        <v>6053</v>
      </c>
      <c r="B3387">
        <v>1830197</v>
      </c>
      <c r="C3387" s="5">
        <v>46060</v>
      </c>
      <c r="D3387" t="s">
        <v>458</v>
      </c>
      <c r="E3387">
        <v>0</v>
      </c>
    </row>
    <row r="3388" spans="1:5">
      <c r="A3388">
        <v>6094</v>
      </c>
      <c r="B3388">
        <v>1830197</v>
      </c>
      <c r="C3388" s="5">
        <v>46060</v>
      </c>
      <c r="D3388" t="s">
        <v>458</v>
      </c>
      <c r="E3388">
        <v>19</v>
      </c>
    </row>
    <row r="3389" spans="1:5">
      <c r="A3389">
        <v>6373</v>
      </c>
      <c r="B3389">
        <v>1830197</v>
      </c>
      <c r="C3389" s="5">
        <v>46060</v>
      </c>
      <c r="D3389" t="s">
        <v>458</v>
      </c>
      <c r="E3389">
        <v>0</v>
      </c>
    </row>
    <row r="3390" spans="1:5">
      <c r="A3390">
        <v>6374</v>
      </c>
      <c r="B3390">
        <v>1830197</v>
      </c>
      <c r="C3390" s="5">
        <v>46060</v>
      </c>
      <c r="D3390" t="s">
        <v>458</v>
      </c>
      <c r="E3390">
        <v>0</v>
      </c>
    </row>
    <row r="3391" spans="1:5">
      <c r="A3391">
        <v>6375</v>
      </c>
      <c r="B3391">
        <v>1830197</v>
      </c>
      <c r="C3391" s="5">
        <v>46060</v>
      </c>
      <c r="D3391" t="s">
        <v>458</v>
      </c>
      <c r="E3391">
        <v>0</v>
      </c>
    </row>
    <row r="3392" spans="1:5">
      <c r="A3392">
        <v>6376</v>
      </c>
      <c r="B3392">
        <v>1830197</v>
      </c>
      <c r="C3392" s="5">
        <v>46060</v>
      </c>
      <c r="D3392" t="s">
        <v>458</v>
      </c>
      <c r="E3392">
        <v>0</v>
      </c>
    </row>
    <row r="3393" spans="1:5">
      <c r="A3393">
        <v>6472</v>
      </c>
      <c r="B3393">
        <v>1830197</v>
      </c>
      <c r="C3393" s="5">
        <v>46060</v>
      </c>
      <c r="D3393" t="s">
        <v>458</v>
      </c>
      <c r="E3393">
        <v>0</v>
      </c>
    </row>
    <row r="3394" spans="1:5">
      <c r="A3394">
        <v>6477</v>
      </c>
      <c r="B3394">
        <v>1830197</v>
      </c>
      <c r="C3394" s="5">
        <v>46060</v>
      </c>
      <c r="D3394" t="s">
        <v>458</v>
      </c>
      <c r="E3394">
        <v>0</v>
      </c>
    </row>
    <row r="3395" spans="1:5">
      <c r="A3395">
        <v>6724</v>
      </c>
      <c r="B3395">
        <v>1830197</v>
      </c>
      <c r="C3395" s="5">
        <v>46060</v>
      </c>
      <c r="D3395" t="s">
        <v>458</v>
      </c>
      <c r="E3395">
        <v>0</v>
      </c>
    </row>
    <row r="3396" spans="1:5">
      <c r="A3396">
        <v>6757</v>
      </c>
      <c r="B3396">
        <v>1830197</v>
      </c>
      <c r="C3396" s="5">
        <v>46060</v>
      </c>
      <c r="D3396" t="s">
        <v>458</v>
      </c>
      <c r="E3396">
        <v>0</v>
      </c>
    </row>
    <row r="3397" spans="1:5">
      <c r="A3397">
        <v>6761</v>
      </c>
      <c r="B3397">
        <v>1830197</v>
      </c>
      <c r="C3397" s="5">
        <v>46060</v>
      </c>
      <c r="D3397" t="s">
        <v>458</v>
      </c>
      <c r="E3397">
        <v>0</v>
      </c>
    </row>
    <row r="3398" spans="1:5">
      <c r="A3398">
        <v>6776</v>
      </c>
      <c r="B3398">
        <v>1830197</v>
      </c>
      <c r="C3398" s="5">
        <v>46060</v>
      </c>
      <c r="D3398" t="s">
        <v>458</v>
      </c>
      <c r="E3398">
        <v>0</v>
      </c>
    </row>
    <row r="3399" spans="1:5">
      <c r="A3399">
        <v>6810</v>
      </c>
      <c r="B3399">
        <v>1830197</v>
      </c>
      <c r="C3399" s="5">
        <v>46060</v>
      </c>
      <c r="D3399" t="s">
        <v>458</v>
      </c>
      <c r="E3399">
        <v>0</v>
      </c>
    </row>
    <row r="3400" spans="1:5">
      <c r="A3400">
        <v>6811</v>
      </c>
      <c r="B3400">
        <v>1830197</v>
      </c>
      <c r="C3400" s="5">
        <v>46060</v>
      </c>
      <c r="D3400" t="s">
        <v>458</v>
      </c>
      <c r="E3400">
        <v>210</v>
      </c>
    </row>
    <row r="3401" spans="1:5">
      <c r="A3401">
        <v>6880</v>
      </c>
      <c r="B3401">
        <v>1830197</v>
      </c>
      <c r="C3401" s="5">
        <v>46060</v>
      </c>
      <c r="D3401" t="s">
        <v>458</v>
      </c>
      <c r="E3401">
        <v>0</v>
      </c>
    </row>
    <row r="3402" spans="1:5">
      <c r="A3402">
        <v>6928</v>
      </c>
      <c r="B3402">
        <v>1830197</v>
      </c>
      <c r="C3402" s="5">
        <v>46060</v>
      </c>
      <c r="D3402" t="s">
        <v>458</v>
      </c>
      <c r="E3402">
        <v>0</v>
      </c>
    </row>
    <row r="3403" spans="1:5">
      <c r="A3403">
        <v>7034</v>
      </c>
      <c r="B3403">
        <v>1830197</v>
      </c>
      <c r="C3403" s="5">
        <v>46060</v>
      </c>
      <c r="D3403" t="s">
        <v>458</v>
      </c>
      <c r="E3403">
        <v>0</v>
      </c>
    </row>
    <row r="3404" spans="1:5">
      <c r="A3404">
        <v>7127</v>
      </c>
      <c r="B3404">
        <v>1830197</v>
      </c>
      <c r="C3404" s="5">
        <v>46060</v>
      </c>
      <c r="D3404" t="s">
        <v>458</v>
      </c>
      <c r="E3404">
        <v>2</v>
      </c>
    </row>
    <row r="3405" spans="1:5">
      <c r="A3405">
        <v>7205</v>
      </c>
      <c r="B3405">
        <v>1830197</v>
      </c>
      <c r="C3405" s="5">
        <v>46060</v>
      </c>
      <c r="D3405" t="s">
        <v>458</v>
      </c>
      <c r="E3405">
        <v>138</v>
      </c>
    </row>
    <row r="3406" spans="1:5">
      <c r="A3406">
        <v>7206</v>
      </c>
      <c r="B3406">
        <v>1830197</v>
      </c>
      <c r="C3406" s="5">
        <v>46060</v>
      </c>
      <c r="D3406" t="s">
        <v>458</v>
      </c>
      <c r="E3406">
        <v>54</v>
      </c>
    </row>
    <row r="3407" spans="1:5">
      <c r="A3407">
        <v>7223</v>
      </c>
      <c r="B3407">
        <v>1830197</v>
      </c>
      <c r="C3407" s="5">
        <v>46060</v>
      </c>
      <c r="D3407" t="s">
        <v>458</v>
      </c>
      <c r="E3407">
        <v>0</v>
      </c>
    </row>
    <row r="3408" spans="1:5">
      <c r="A3408">
        <v>7301</v>
      </c>
      <c r="B3408">
        <v>1830197</v>
      </c>
      <c r="C3408" s="5">
        <v>46060</v>
      </c>
      <c r="D3408" t="s">
        <v>458</v>
      </c>
      <c r="E3408">
        <v>94</v>
      </c>
    </row>
    <row r="3409" spans="1:5">
      <c r="A3409">
        <v>7311</v>
      </c>
      <c r="B3409">
        <v>1830197</v>
      </c>
      <c r="C3409" s="5">
        <v>46060</v>
      </c>
      <c r="D3409" t="s">
        <v>458</v>
      </c>
      <c r="E3409">
        <v>0</v>
      </c>
    </row>
    <row r="3410" spans="1:5">
      <c r="A3410">
        <v>7312</v>
      </c>
      <c r="B3410">
        <v>1830197</v>
      </c>
      <c r="C3410" s="5">
        <v>46060</v>
      </c>
      <c r="D3410" t="s">
        <v>458</v>
      </c>
      <c r="E3410">
        <v>0</v>
      </c>
    </row>
    <row r="3411" spans="1:5">
      <c r="A3411">
        <v>7313</v>
      </c>
      <c r="B3411">
        <v>1830197</v>
      </c>
      <c r="C3411" s="5">
        <v>46060</v>
      </c>
      <c r="D3411" t="s">
        <v>458</v>
      </c>
      <c r="E3411">
        <v>2</v>
      </c>
    </row>
    <row r="3412" spans="1:5">
      <c r="A3412">
        <v>7326</v>
      </c>
      <c r="B3412">
        <v>1830197</v>
      </c>
      <c r="C3412" s="5">
        <v>46060</v>
      </c>
      <c r="D3412" t="s">
        <v>458</v>
      </c>
      <c r="E3412">
        <v>0</v>
      </c>
    </row>
    <row r="3413" spans="1:5">
      <c r="A3413">
        <v>7333</v>
      </c>
      <c r="B3413">
        <v>1830197</v>
      </c>
      <c r="C3413" s="5">
        <v>46060</v>
      </c>
      <c r="D3413" t="s">
        <v>458</v>
      </c>
      <c r="E3413">
        <v>249</v>
      </c>
    </row>
    <row r="3414" spans="1:5">
      <c r="A3414">
        <v>7421</v>
      </c>
      <c r="B3414">
        <v>1830197</v>
      </c>
      <c r="C3414" s="5">
        <v>46060</v>
      </c>
      <c r="D3414" t="s">
        <v>458</v>
      </c>
      <c r="E3414">
        <v>0</v>
      </c>
    </row>
    <row r="3415" spans="1:5">
      <c r="A3415">
        <v>7422</v>
      </c>
      <c r="B3415">
        <v>1830197</v>
      </c>
      <c r="C3415" s="5">
        <v>46060</v>
      </c>
      <c r="D3415" t="s">
        <v>458</v>
      </c>
      <c r="E3415">
        <v>0.1</v>
      </c>
    </row>
    <row r="3416" spans="1:5">
      <c r="A3416">
        <v>7634</v>
      </c>
      <c r="B3416">
        <v>1830197</v>
      </c>
      <c r="C3416" s="5">
        <v>46060</v>
      </c>
      <c r="D3416" t="s">
        <v>458</v>
      </c>
      <c r="E3416">
        <v>6</v>
      </c>
    </row>
    <row r="3417" spans="1:5">
      <c r="A3417">
        <v>7919</v>
      </c>
      <c r="B3417">
        <v>1830197</v>
      </c>
      <c r="C3417" s="5">
        <v>46060</v>
      </c>
      <c r="D3417" t="s">
        <v>458</v>
      </c>
      <c r="E3417">
        <v>3</v>
      </c>
    </row>
    <row r="3418" spans="1:5">
      <c r="A3418">
        <v>7920</v>
      </c>
      <c r="B3418">
        <v>1830197</v>
      </c>
      <c r="C3418" s="5">
        <v>46060</v>
      </c>
      <c r="D3418" t="s">
        <v>458</v>
      </c>
      <c r="E3418">
        <v>168</v>
      </c>
    </row>
    <row r="3419" spans="1:5">
      <c r="A3419">
        <v>7969</v>
      </c>
      <c r="B3419">
        <v>1830197</v>
      </c>
      <c r="C3419" s="5">
        <v>46060</v>
      </c>
      <c r="D3419" t="s">
        <v>458</v>
      </c>
      <c r="E3419">
        <v>0</v>
      </c>
    </row>
    <row r="3420" spans="1:5">
      <c r="A3420">
        <v>8159</v>
      </c>
      <c r="B3420">
        <v>1830197</v>
      </c>
      <c r="C3420" s="5">
        <v>46060</v>
      </c>
      <c r="D3420" t="s">
        <v>458</v>
      </c>
      <c r="E3420">
        <v>0</v>
      </c>
    </row>
    <row r="3421" spans="1:5">
      <c r="A3421">
        <v>8201</v>
      </c>
      <c r="B3421">
        <v>1830197</v>
      </c>
      <c r="C3421" s="5">
        <v>46060</v>
      </c>
      <c r="D3421" t="s">
        <v>458</v>
      </c>
      <c r="E3421">
        <v>76</v>
      </c>
    </row>
    <row r="3422" spans="1:5">
      <c r="A3422">
        <v>8207</v>
      </c>
      <c r="B3422">
        <v>1830197</v>
      </c>
      <c r="C3422" s="5">
        <v>46060</v>
      </c>
      <c r="D3422" t="s">
        <v>458</v>
      </c>
      <c r="E3422">
        <v>0</v>
      </c>
    </row>
    <row r="3423" spans="1:5">
      <c r="A3423">
        <v>8322</v>
      </c>
      <c r="B3423">
        <v>1830197</v>
      </c>
      <c r="C3423" s="5">
        <v>46060</v>
      </c>
      <c r="D3423" t="s">
        <v>458</v>
      </c>
      <c r="E3423">
        <v>0</v>
      </c>
    </row>
    <row r="3424" spans="1:5">
      <c r="A3424">
        <v>8541</v>
      </c>
      <c r="B3424">
        <v>1830197</v>
      </c>
      <c r="C3424" s="5">
        <v>46060</v>
      </c>
      <c r="D3424" t="s">
        <v>458</v>
      </c>
      <c r="E3424">
        <v>4</v>
      </c>
    </row>
    <row r="3425" spans="1:5">
      <c r="A3425">
        <v>8800</v>
      </c>
      <c r="B3425">
        <v>1830197</v>
      </c>
      <c r="C3425" s="5">
        <v>46060</v>
      </c>
      <c r="D3425" t="s">
        <v>458</v>
      </c>
      <c r="E3425">
        <v>0</v>
      </c>
    </row>
    <row r="3426" spans="1:5">
      <c r="A3426">
        <v>8801</v>
      </c>
      <c r="B3426">
        <v>1830197</v>
      </c>
      <c r="C3426" s="5">
        <v>46060</v>
      </c>
      <c r="D3426" t="s">
        <v>458</v>
      </c>
      <c r="E3426">
        <v>0</v>
      </c>
    </row>
    <row r="3427" spans="1:5">
      <c r="A3427">
        <v>8886</v>
      </c>
      <c r="B3427">
        <v>1830197</v>
      </c>
      <c r="C3427" s="5">
        <v>46060</v>
      </c>
      <c r="D3427" t="s">
        <v>458</v>
      </c>
      <c r="E3427">
        <v>0</v>
      </c>
    </row>
    <row r="3428" spans="1:5">
      <c r="A3428">
        <v>8951</v>
      </c>
      <c r="B3428">
        <v>1830197</v>
      </c>
      <c r="C3428" s="5">
        <v>46060</v>
      </c>
      <c r="D3428" t="s">
        <v>458</v>
      </c>
      <c r="E3428">
        <v>0</v>
      </c>
    </row>
    <row r="3429" spans="1:5">
      <c r="A3429">
        <v>8970</v>
      </c>
      <c r="B3429">
        <v>1830197</v>
      </c>
      <c r="C3429" s="5">
        <v>46060</v>
      </c>
      <c r="D3429" t="s">
        <v>458</v>
      </c>
      <c r="E3429">
        <v>0</v>
      </c>
    </row>
    <row r="3430" spans="1:5">
      <c r="A3430">
        <v>9110</v>
      </c>
      <c r="B3430">
        <v>1830197</v>
      </c>
      <c r="C3430" s="5">
        <v>46060</v>
      </c>
      <c r="D3430" t="s">
        <v>458</v>
      </c>
      <c r="E3430">
        <v>102</v>
      </c>
    </row>
    <row r="3431" spans="1:5">
      <c r="A3431">
        <v>9456</v>
      </c>
      <c r="B3431">
        <v>1830197</v>
      </c>
      <c r="C3431" s="5">
        <v>46060</v>
      </c>
      <c r="D3431" t="s">
        <v>458</v>
      </c>
      <c r="E3431">
        <v>0</v>
      </c>
    </row>
    <row r="3432" spans="1:5">
      <c r="A3432">
        <v>9903</v>
      </c>
      <c r="B3432">
        <v>1830197</v>
      </c>
      <c r="C3432" s="5">
        <v>46060</v>
      </c>
      <c r="D3432" t="s">
        <v>458</v>
      </c>
      <c r="E3432">
        <v>0</v>
      </c>
    </row>
    <row r="3433" spans="1:5">
      <c r="A3433">
        <v>9920</v>
      </c>
      <c r="B3433">
        <v>1830197</v>
      </c>
      <c r="C3433" s="5">
        <v>46060</v>
      </c>
      <c r="D3433" t="s">
        <v>458</v>
      </c>
      <c r="E3433">
        <v>0</v>
      </c>
    </row>
    <row r="3434" spans="1:5">
      <c r="A3434">
        <v>9930</v>
      </c>
      <c r="B3434">
        <v>1830197</v>
      </c>
      <c r="C3434" s="5">
        <v>46060</v>
      </c>
      <c r="D3434" t="s">
        <v>458</v>
      </c>
      <c r="E3434">
        <v>1</v>
      </c>
    </row>
    <row r="3435" spans="1:5">
      <c r="A3435">
        <v>9931</v>
      </c>
      <c r="B3435">
        <v>1830197</v>
      </c>
      <c r="C3435" s="5">
        <v>46060</v>
      </c>
      <c r="D3435" t="s">
        <v>458</v>
      </c>
      <c r="E3435">
        <v>0</v>
      </c>
    </row>
    <row r="3436" spans="1:5">
      <c r="A3436">
        <v>9972</v>
      </c>
      <c r="B3436">
        <v>1830197</v>
      </c>
      <c r="C3436" s="5">
        <v>46060</v>
      </c>
      <c r="D3436" t="s">
        <v>458</v>
      </c>
      <c r="E3436">
        <v>0.2</v>
      </c>
    </row>
    <row r="3437" spans="1:5">
      <c r="A3437">
        <v>10010</v>
      </c>
      <c r="B3437">
        <v>1830197</v>
      </c>
      <c r="C3437" s="5">
        <v>46060</v>
      </c>
      <c r="D3437" t="s">
        <v>458</v>
      </c>
      <c r="E3437">
        <v>0</v>
      </c>
    </row>
    <row r="3438" spans="1:5">
      <c r="A3438">
        <v>10264</v>
      </c>
      <c r="B3438">
        <v>1830197</v>
      </c>
      <c r="C3438" s="5">
        <v>46060</v>
      </c>
      <c r="D3438" t="s">
        <v>458</v>
      </c>
      <c r="E3438">
        <v>0.14000000000000001</v>
      </c>
    </row>
    <row r="3439" spans="1:5">
      <c r="A3439">
        <v>10294</v>
      </c>
      <c r="B3439">
        <v>1830197</v>
      </c>
      <c r="C3439" s="5">
        <v>46060</v>
      </c>
      <c r="D3439" t="s">
        <v>458</v>
      </c>
      <c r="E3439">
        <v>0</v>
      </c>
    </row>
    <row r="3440" spans="1:5">
      <c r="A3440">
        <v>10295</v>
      </c>
      <c r="B3440">
        <v>1830197</v>
      </c>
      <c r="C3440" s="5">
        <v>46060</v>
      </c>
      <c r="D3440" t="s">
        <v>458</v>
      </c>
      <c r="E3440">
        <v>0</v>
      </c>
    </row>
    <row r="3441" spans="1:5">
      <c r="A3441">
        <v>10296</v>
      </c>
      <c r="B3441">
        <v>1830197</v>
      </c>
      <c r="C3441" s="5">
        <v>46060</v>
      </c>
      <c r="D3441" t="s">
        <v>458</v>
      </c>
      <c r="E3441">
        <v>0</v>
      </c>
    </row>
    <row r="3442" spans="1:5">
      <c r="A3442">
        <v>10297</v>
      </c>
      <c r="B3442">
        <v>1830197</v>
      </c>
      <c r="C3442" s="5">
        <v>46060</v>
      </c>
      <c r="D3442" t="s">
        <v>458</v>
      </c>
      <c r="E3442">
        <v>0</v>
      </c>
    </row>
    <row r="3443" spans="1:5">
      <c r="A3443">
        <v>10298</v>
      </c>
      <c r="B3443">
        <v>1830197</v>
      </c>
      <c r="C3443" s="5">
        <v>46060</v>
      </c>
      <c r="D3443" t="s">
        <v>458</v>
      </c>
      <c r="E3443">
        <v>0</v>
      </c>
    </row>
    <row r="3444" spans="1:5">
      <c r="A3444">
        <v>10299</v>
      </c>
      <c r="B3444">
        <v>1830197</v>
      </c>
      <c r="C3444" s="5">
        <v>46060</v>
      </c>
      <c r="D3444" t="s">
        <v>458</v>
      </c>
      <c r="E3444">
        <v>0</v>
      </c>
    </row>
    <row r="3445" spans="1:5">
      <c r="A3445">
        <v>10458</v>
      </c>
      <c r="B3445">
        <v>1830197</v>
      </c>
      <c r="C3445" s="5">
        <v>46060</v>
      </c>
      <c r="D3445" t="s">
        <v>458</v>
      </c>
      <c r="E3445">
        <v>0</v>
      </c>
    </row>
    <row r="3446" spans="1:5">
      <c r="A3446">
        <v>10550</v>
      </c>
      <c r="B3446">
        <v>1830197</v>
      </c>
      <c r="C3446" s="5">
        <v>46060</v>
      </c>
      <c r="D3446" t="s">
        <v>458</v>
      </c>
      <c r="E3446">
        <v>61</v>
      </c>
    </row>
    <row r="3447" spans="1:5">
      <c r="A3447">
        <v>10594</v>
      </c>
      <c r="B3447">
        <v>1830197</v>
      </c>
      <c r="C3447" s="5">
        <v>46060</v>
      </c>
      <c r="D3447" t="s">
        <v>458</v>
      </c>
      <c r="E3447">
        <v>1</v>
      </c>
    </row>
    <row r="3448" spans="1:5">
      <c r="A3448">
        <v>10595</v>
      </c>
      <c r="B3448">
        <v>1830197</v>
      </c>
      <c r="C3448" s="5">
        <v>46060</v>
      </c>
      <c r="D3448" t="s">
        <v>458</v>
      </c>
      <c r="E3448">
        <v>1.3</v>
      </c>
    </row>
    <row r="3449" spans="1:5">
      <c r="A3449">
        <v>10596</v>
      </c>
      <c r="B3449">
        <v>1830197</v>
      </c>
      <c r="C3449" s="5">
        <v>46060</v>
      </c>
      <c r="D3449" t="s">
        <v>458</v>
      </c>
      <c r="E3449">
        <v>0</v>
      </c>
    </row>
    <row r="3450" spans="1:5">
      <c r="A3450">
        <v>10597</v>
      </c>
      <c r="B3450">
        <v>1830197</v>
      </c>
      <c r="C3450" s="5">
        <v>46060</v>
      </c>
      <c r="D3450" t="s">
        <v>458</v>
      </c>
      <c r="E3450">
        <v>1.8</v>
      </c>
    </row>
    <row r="3451" spans="1:5">
      <c r="A3451">
        <v>10598</v>
      </c>
      <c r="B3451">
        <v>1830197</v>
      </c>
      <c r="C3451" s="5">
        <v>46060</v>
      </c>
      <c r="D3451" t="s">
        <v>458</v>
      </c>
      <c r="E3451">
        <v>20</v>
      </c>
    </row>
    <row r="3452" spans="1:5">
      <c r="A3452">
        <v>10599</v>
      </c>
      <c r="B3452">
        <v>1830197</v>
      </c>
      <c r="C3452" s="5">
        <v>46060</v>
      </c>
      <c r="D3452" t="s">
        <v>458</v>
      </c>
      <c r="E3452">
        <v>0</v>
      </c>
    </row>
    <row r="3453" spans="1:5">
      <c r="A3453">
        <v>10629</v>
      </c>
      <c r="B3453">
        <v>1830197</v>
      </c>
      <c r="C3453" s="5">
        <v>46060</v>
      </c>
      <c r="D3453" t="s">
        <v>458</v>
      </c>
      <c r="E3453">
        <v>17</v>
      </c>
    </row>
    <row r="3454" spans="1:5">
      <c r="A3454">
        <v>10683</v>
      </c>
      <c r="B3454">
        <v>1830197</v>
      </c>
      <c r="C3454" s="5">
        <v>46060</v>
      </c>
      <c r="D3454" t="s">
        <v>458</v>
      </c>
      <c r="E3454">
        <v>0</v>
      </c>
    </row>
    <row r="3455" spans="1:5">
      <c r="A3455">
        <v>10685</v>
      </c>
      <c r="B3455">
        <v>1830197</v>
      </c>
      <c r="C3455" s="5">
        <v>46060</v>
      </c>
      <c r="D3455" t="s">
        <v>458</v>
      </c>
      <c r="E3455">
        <v>0</v>
      </c>
    </row>
    <row r="3456" spans="1:5">
      <c r="A3456">
        <v>10754</v>
      </c>
      <c r="B3456">
        <v>1830197</v>
      </c>
      <c r="C3456" s="5">
        <v>46060</v>
      </c>
      <c r="D3456" t="s">
        <v>458</v>
      </c>
      <c r="E3456">
        <v>0</v>
      </c>
    </row>
    <row r="3457" spans="1:5">
      <c r="A3457">
        <v>10958</v>
      </c>
      <c r="B3457">
        <v>1830197</v>
      </c>
      <c r="C3457" s="5">
        <v>46060</v>
      </c>
      <c r="D3457" t="s">
        <v>458</v>
      </c>
      <c r="E3457">
        <v>23</v>
      </c>
    </row>
    <row r="3458" spans="1:5">
      <c r="A3458">
        <v>11056</v>
      </c>
      <c r="B3458">
        <v>1830197</v>
      </c>
      <c r="C3458" s="5">
        <v>46060</v>
      </c>
      <c r="D3458" t="s">
        <v>458</v>
      </c>
      <c r="E3458">
        <v>0</v>
      </c>
    </row>
    <row r="3459" spans="1:5">
      <c r="A3459">
        <v>11162</v>
      </c>
      <c r="B3459">
        <v>1830197</v>
      </c>
      <c r="C3459" s="5">
        <v>46060</v>
      </c>
      <c r="D3459" t="s">
        <v>458</v>
      </c>
      <c r="E3459">
        <v>0</v>
      </c>
    </row>
    <row r="3460" spans="1:5">
      <c r="A3460">
        <v>11172</v>
      </c>
      <c r="B3460">
        <v>1830197</v>
      </c>
      <c r="C3460" s="5">
        <v>46060</v>
      </c>
      <c r="D3460" t="s">
        <v>458</v>
      </c>
      <c r="E3460">
        <v>0</v>
      </c>
    </row>
    <row r="3461" spans="1:5">
      <c r="A3461">
        <v>11312</v>
      </c>
      <c r="B3461">
        <v>1830197</v>
      </c>
      <c r="C3461" s="5">
        <v>46060</v>
      </c>
      <c r="D3461" t="s">
        <v>458</v>
      </c>
      <c r="E3461">
        <v>27</v>
      </c>
    </row>
    <row r="3462" spans="1:5">
      <c r="A3462">
        <v>11313</v>
      </c>
      <c r="B3462">
        <v>1830197</v>
      </c>
      <c r="C3462" s="5">
        <v>46060</v>
      </c>
      <c r="D3462" t="s">
        <v>458</v>
      </c>
      <c r="E3462">
        <v>0</v>
      </c>
    </row>
    <row r="3463" spans="1:5">
      <c r="A3463">
        <v>11322</v>
      </c>
      <c r="B3463">
        <v>1830197</v>
      </c>
      <c r="C3463" s="5">
        <v>46060</v>
      </c>
      <c r="D3463" t="s">
        <v>458</v>
      </c>
      <c r="E3463">
        <v>0</v>
      </c>
    </row>
    <row r="3464" spans="1:5">
      <c r="A3464">
        <v>11323</v>
      </c>
      <c r="B3464">
        <v>1830197</v>
      </c>
      <c r="C3464" s="5">
        <v>46060</v>
      </c>
      <c r="D3464" t="s">
        <v>458</v>
      </c>
      <c r="E3464">
        <v>0</v>
      </c>
    </row>
    <row r="3465" spans="1:5">
      <c r="A3465">
        <v>11588</v>
      </c>
      <c r="B3465">
        <v>1830197</v>
      </c>
      <c r="C3465" s="5">
        <v>46060</v>
      </c>
      <c r="D3465" t="s">
        <v>458</v>
      </c>
      <c r="E3465">
        <v>0</v>
      </c>
    </row>
    <row r="3466" spans="1:5">
      <c r="A3466">
        <v>11597</v>
      </c>
      <c r="B3466">
        <v>1830197</v>
      </c>
      <c r="C3466" s="5">
        <v>46060</v>
      </c>
      <c r="D3466" t="s">
        <v>458</v>
      </c>
      <c r="E3466">
        <v>0</v>
      </c>
    </row>
    <row r="3467" spans="1:5">
      <c r="A3467">
        <v>11662</v>
      </c>
      <c r="B3467">
        <v>1830197</v>
      </c>
      <c r="C3467" s="5">
        <v>46060</v>
      </c>
      <c r="D3467" t="s">
        <v>458</v>
      </c>
      <c r="E3467">
        <v>0</v>
      </c>
    </row>
    <row r="3468" spans="1:5">
      <c r="A3468">
        <v>11663</v>
      </c>
      <c r="B3468">
        <v>1830197</v>
      </c>
      <c r="C3468" s="5">
        <v>46060</v>
      </c>
      <c r="D3468" t="s">
        <v>458</v>
      </c>
      <c r="E3468">
        <v>0</v>
      </c>
    </row>
    <row r="3469" spans="1:5">
      <c r="A3469">
        <v>11676</v>
      </c>
      <c r="B3469">
        <v>1830197</v>
      </c>
      <c r="C3469" s="5">
        <v>46060</v>
      </c>
      <c r="D3469" t="s">
        <v>458</v>
      </c>
      <c r="E3469">
        <v>0</v>
      </c>
    </row>
    <row r="3470" spans="1:5">
      <c r="A3470">
        <v>11720</v>
      </c>
      <c r="B3470">
        <v>1830197</v>
      </c>
      <c r="C3470" s="5">
        <v>46060</v>
      </c>
      <c r="D3470" t="s">
        <v>458</v>
      </c>
      <c r="E3470">
        <v>0</v>
      </c>
    </row>
    <row r="3471" spans="1:5">
      <c r="A3471">
        <v>11883</v>
      </c>
      <c r="B3471">
        <v>1830197</v>
      </c>
      <c r="C3471" s="5">
        <v>46060</v>
      </c>
      <c r="D3471" t="s">
        <v>458</v>
      </c>
      <c r="E3471">
        <v>4</v>
      </c>
    </row>
    <row r="3472" spans="1:5">
      <c r="A3472">
        <v>12037</v>
      </c>
      <c r="B3472">
        <v>1830197</v>
      </c>
      <c r="C3472" s="5">
        <v>46060</v>
      </c>
      <c r="D3472" t="s">
        <v>458</v>
      </c>
      <c r="E3472">
        <v>0</v>
      </c>
    </row>
    <row r="3473" spans="1:5">
      <c r="A3473">
        <v>12063</v>
      </c>
      <c r="B3473">
        <v>1830197</v>
      </c>
      <c r="C3473" s="5">
        <v>46060</v>
      </c>
      <c r="D3473" t="s">
        <v>458</v>
      </c>
      <c r="E3473">
        <v>0</v>
      </c>
    </row>
    <row r="3474" spans="1:5">
      <c r="A3474">
        <v>12234</v>
      </c>
      <c r="B3474">
        <v>1830197</v>
      </c>
      <c r="C3474" s="5">
        <v>46060</v>
      </c>
      <c r="D3474" t="s">
        <v>458</v>
      </c>
      <c r="E3474">
        <v>19</v>
      </c>
    </row>
    <row r="3475" spans="1:5">
      <c r="A3475">
        <v>12244</v>
      </c>
      <c r="B3475">
        <v>1830197</v>
      </c>
      <c r="C3475" s="5">
        <v>46060</v>
      </c>
      <c r="D3475" t="s">
        <v>458</v>
      </c>
      <c r="E3475">
        <v>0</v>
      </c>
    </row>
    <row r="3476" spans="1:5">
      <c r="A3476">
        <v>12245</v>
      </c>
      <c r="B3476">
        <v>1830197</v>
      </c>
      <c r="C3476" s="5">
        <v>46060</v>
      </c>
      <c r="D3476" t="s">
        <v>458</v>
      </c>
      <c r="E3476">
        <v>0</v>
      </c>
    </row>
    <row r="3477" spans="1:5">
      <c r="A3477">
        <v>12322</v>
      </c>
      <c r="B3477">
        <v>1830197</v>
      </c>
      <c r="C3477" s="5">
        <v>46060</v>
      </c>
      <c r="D3477" t="s">
        <v>458</v>
      </c>
      <c r="E3477">
        <v>0</v>
      </c>
    </row>
    <row r="3478" spans="1:5">
      <c r="A3478">
        <v>12713</v>
      </c>
      <c r="B3478">
        <v>1830197</v>
      </c>
      <c r="C3478" s="5">
        <v>46060</v>
      </c>
      <c r="D3478" t="s">
        <v>458</v>
      </c>
      <c r="E3478">
        <v>37</v>
      </c>
    </row>
    <row r="3479" spans="1:5">
      <c r="A3479">
        <v>13201</v>
      </c>
      <c r="B3479">
        <v>1830197</v>
      </c>
      <c r="C3479" s="5">
        <v>46060</v>
      </c>
      <c r="D3479" t="s">
        <v>458</v>
      </c>
      <c r="E3479">
        <v>24</v>
      </c>
    </row>
    <row r="3480" spans="1:5">
      <c r="A3480">
        <v>13229</v>
      </c>
      <c r="B3480">
        <v>1830197</v>
      </c>
      <c r="C3480" s="5">
        <v>46060</v>
      </c>
      <c r="D3480" t="s">
        <v>458</v>
      </c>
      <c r="E3480">
        <v>0</v>
      </c>
    </row>
    <row r="3481" spans="1:5">
      <c r="A3481">
        <v>13322</v>
      </c>
      <c r="B3481">
        <v>1830197</v>
      </c>
      <c r="C3481" s="5">
        <v>46060</v>
      </c>
      <c r="D3481" t="s">
        <v>458</v>
      </c>
      <c r="E3481">
        <v>0</v>
      </c>
    </row>
    <row r="3482" spans="1:5">
      <c r="A3482">
        <v>13450</v>
      </c>
      <c r="B3482">
        <v>1830197</v>
      </c>
      <c r="C3482" s="5">
        <v>46060</v>
      </c>
      <c r="D3482" t="s">
        <v>458</v>
      </c>
      <c r="E3482">
        <v>0</v>
      </c>
    </row>
    <row r="3483" spans="1:5">
      <c r="A3483">
        <v>13451</v>
      </c>
      <c r="B3483">
        <v>1830197</v>
      </c>
      <c r="C3483" s="5">
        <v>46060</v>
      </c>
      <c r="D3483" t="s">
        <v>458</v>
      </c>
      <c r="E3483">
        <v>0</v>
      </c>
    </row>
    <row r="3484" spans="1:5">
      <c r="A3484">
        <v>13537</v>
      </c>
      <c r="B3484">
        <v>1830197</v>
      </c>
      <c r="C3484" s="5">
        <v>46060</v>
      </c>
      <c r="D3484" t="s">
        <v>458</v>
      </c>
      <c r="E3484">
        <v>0</v>
      </c>
    </row>
    <row r="3485" spans="1:5">
      <c r="A3485">
        <v>13539</v>
      </c>
      <c r="B3485">
        <v>1830197</v>
      </c>
      <c r="C3485" s="5">
        <v>46060</v>
      </c>
      <c r="D3485" t="s">
        <v>458</v>
      </c>
      <c r="E3485">
        <v>0</v>
      </c>
    </row>
    <row r="3486" spans="1:5">
      <c r="A3486">
        <v>13540</v>
      </c>
      <c r="B3486">
        <v>1830197</v>
      </c>
      <c r="C3486" s="5">
        <v>46060</v>
      </c>
      <c r="D3486" t="s">
        <v>458</v>
      </c>
      <c r="E3486">
        <v>0</v>
      </c>
    </row>
    <row r="3487" spans="1:5">
      <c r="A3487">
        <v>13541</v>
      </c>
      <c r="B3487">
        <v>1830197</v>
      </c>
      <c r="C3487" s="5">
        <v>46060</v>
      </c>
      <c r="D3487" t="s">
        <v>458</v>
      </c>
      <c r="E3487">
        <v>0</v>
      </c>
    </row>
    <row r="3488" spans="1:5">
      <c r="A3488">
        <v>13542</v>
      </c>
      <c r="B3488">
        <v>1830197</v>
      </c>
      <c r="C3488" s="5">
        <v>46060</v>
      </c>
      <c r="D3488" t="s">
        <v>458</v>
      </c>
      <c r="E3488">
        <v>0</v>
      </c>
    </row>
    <row r="3489" spans="1:5">
      <c r="A3489">
        <v>13837</v>
      </c>
      <c r="B3489">
        <v>1830197</v>
      </c>
      <c r="C3489" s="5">
        <v>46060</v>
      </c>
      <c r="D3489" t="s">
        <v>458</v>
      </c>
      <c r="E3489">
        <v>0</v>
      </c>
    </row>
    <row r="3490" spans="1:5">
      <c r="A3490">
        <v>13874</v>
      </c>
      <c r="B3490">
        <v>1830197</v>
      </c>
      <c r="C3490" s="5">
        <v>46060</v>
      </c>
      <c r="D3490" t="s">
        <v>458</v>
      </c>
      <c r="E3490">
        <v>0</v>
      </c>
    </row>
    <row r="3491" spans="1:5">
      <c r="A3491">
        <v>14069</v>
      </c>
      <c r="B3491">
        <v>1830197</v>
      </c>
      <c r="C3491" s="5">
        <v>46060</v>
      </c>
      <c r="D3491" t="s">
        <v>458</v>
      </c>
      <c r="E3491">
        <v>0</v>
      </c>
    </row>
    <row r="3492" spans="1:5">
      <c r="A3492">
        <v>14165</v>
      </c>
      <c r="B3492">
        <v>1830197</v>
      </c>
      <c r="C3492" s="5">
        <v>46060</v>
      </c>
      <c r="D3492" t="s">
        <v>458</v>
      </c>
      <c r="E3492">
        <v>82</v>
      </c>
    </row>
    <row r="3493" spans="1:5">
      <c r="A3493">
        <v>14186</v>
      </c>
      <c r="B3493">
        <v>1830197</v>
      </c>
      <c r="C3493" s="5">
        <v>46060</v>
      </c>
      <c r="D3493" t="s">
        <v>458</v>
      </c>
      <c r="E3493">
        <v>0</v>
      </c>
    </row>
    <row r="3494" spans="1:5">
      <c r="A3494">
        <v>14198</v>
      </c>
      <c r="B3494">
        <v>1830197</v>
      </c>
      <c r="C3494" s="5">
        <v>46060</v>
      </c>
      <c r="D3494" t="s">
        <v>458</v>
      </c>
      <c r="E3494">
        <v>4</v>
      </c>
    </row>
    <row r="3495" spans="1:5">
      <c r="A3495">
        <v>14265</v>
      </c>
      <c r="B3495">
        <v>1830197</v>
      </c>
      <c r="C3495" s="5">
        <v>46060</v>
      </c>
      <c r="D3495" t="s">
        <v>458</v>
      </c>
      <c r="E3495">
        <v>0</v>
      </c>
    </row>
    <row r="3496" spans="1:5">
      <c r="A3496">
        <v>14410</v>
      </c>
      <c r="B3496">
        <v>1830197</v>
      </c>
      <c r="C3496" s="5">
        <v>46060</v>
      </c>
      <c r="D3496" t="s">
        <v>458</v>
      </c>
      <c r="E3496">
        <v>0</v>
      </c>
    </row>
    <row r="3497" spans="1:5">
      <c r="A3497">
        <v>14430</v>
      </c>
      <c r="B3497">
        <v>1830197</v>
      </c>
      <c r="C3497" s="5">
        <v>46060</v>
      </c>
      <c r="D3497" t="s">
        <v>458</v>
      </c>
      <c r="E3497">
        <v>0.2</v>
      </c>
    </row>
    <row r="3498" spans="1:5">
      <c r="A3498">
        <v>14540</v>
      </c>
      <c r="B3498">
        <v>1830197</v>
      </c>
      <c r="C3498" s="5">
        <v>46060</v>
      </c>
      <c r="D3498" t="s">
        <v>458</v>
      </c>
      <c r="E3498">
        <v>0</v>
      </c>
    </row>
    <row r="3499" spans="1:5">
      <c r="A3499">
        <v>14587</v>
      </c>
      <c r="B3499">
        <v>1830197</v>
      </c>
      <c r="C3499" s="5">
        <v>46060</v>
      </c>
      <c r="D3499" t="s">
        <v>458</v>
      </c>
      <c r="E3499">
        <v>0</v>
      </c>
    </row>
    <row r="3500" spans="1:5">
      <c r="A3500">
        <v>14707</v>
      </c>
      <c r="B3500">
        <v>1830197</v>
      </c>
      <c r="C3500" s="5">
        <v>46060</v>
      </c>
      <c r="D3500" t="s">
        <v>458</v>
      </c>
      <c r="E3500">
        <v>0</v>
      </c>
    </row>
    <row r="3501" spans="1:5">
      <c r="A3501">
        <v>14752</v>
      </c>
      <c r="B3501">
        <v>1830197</v>
      </c>
      <c r="C3501" s="5">
        <v>46060</v>
      </c>
      <c r="D3501" t="s">
        <v>458</v>
      </c>
      <c r="E3501">
        <v>0</v>
      </c>
    </row>
    <row r="3502" spans="1:5">
      <c r="A3502">
        <v>14838</v>
      </c>
      <c r="B3502">
        <v>1830197</v>
      </c>
      <c r="C3502" s="5">
        <v>46060</v>
      </c>
      <c r="D3502" t="s">
        <v>458</v>
      </c>
      <c r="E3502">
        <v>0</v>
      </c>
    </row>
    <row r="3503" spans="1:5">
      <c r="A3503">
        <v>15065</v>
      </c>
      <c r="B3503">
        <v>1830197</v>
      </c>
      <c r="C3503" s="5">
        <v>46060</v>
      </c>
      <c r="D3503" t="s">
        <v>458</v>
      </c>
      <c r="E3503">
        <v>0</v>
      </c>
    </row>
    <row r="3504" spans="1:5">
      <c r="A3504">
        <v>15114</v>
      </c>
      <c r="B3504">
        <v>1830197</v>
      </c>
      <c r="C3504" s="5">
        <v>46060</v>
      </c>
      <c r="D3504" t="s">
        <v>458</v>
      </c>
      <c r="E3504">
        <v>0</v>
      </c>
    </row>
    <row r="3505" spans="1:5">
      <c r="A3505">
        <v>15196</v>
      </c>
      <c r="B3505">
        <v>1830197</v>
      </c>
      <c r="C3505" s="5">
        <v>46060</v>
      </c>
      <c r="D3505" t="s">
        <v>458</v>
      </c>
      <c r="E3505">
        <v>0</v>
      </c>
    </row>
    <row r="3506" spans="1:5">
      <c r="A3506">
        <v>15306</v>
      </c>
      <c r="B3506">
        <v>1830197</v>
      </c>
      <c r="C3506" s="5">
        <v>46060</v>
      </c>
      <c r="D3506" t="s">
        <v>458</v>
      </c>
      <c r="E3506">
        <v>0</v>
      </c>
    </row>
    <row r="3507" spans="1:5">
      <c r="A3507">
        <v>15339</v>
      </c>
      <c r="B3507">
        <v>1830197</v>
      </c>
      <c r="C3507" s="5">
        <v>46060</v>
      </c>
      <c r="D3507" t="s">
        <v>458</v>
      </c>
      <c r="E3507">
        <v>0</v>
      </c>
    </row>
    <row r="3508" spans="1:5">
      <c r="A3508">
        <v>15394</v>
      </c>
      <c r="B3508">
        <v>1830197</v>
      </c>
      <c r="C3508" s="5">
        <v>46060</v>
      </c>
      <c r="D3508" t="s">
        <v>458</v>
      </c>
      <c r="E3508">
        <v>0</v>
      </c>
    </row>
    <row r="3509" spans="1:5">
      <c r="A3509">
        <v>15395</v>
      </c>
      <c r="B3509">
        <v>1830197</v>
      </c>
      <c r="C3509" s="5">
        <v>46060</v>
      </c>
      <c r="D3509" t="s">
        <v>458</v>
      </c>
      <c r="E3509">
        <v>0</v>
      </c>
    </row>
    <row r="3510" spans="1:5">
      <c r="A3510">
        <v>15652</v>
      </c>
      <c r="B3510">
        <v>1830197</v>
      </c>
      <c r="C3510" s="5">
        <v>46060</v>
      </c>
      <c r="D3510" t="s">
        <v>458</v>
      </c>
      <c r="E3510">
        <v>0</v>
      </c>
    </row>
    <row r="3511" spans="1:5">
      <c r="A3511">
        <v>15653</v>
      </c>
      <c r="B3511">
        <v>1830197</v>
      </c>
      <c r="C3511" s="5">
        <v>46060</v>
      </c>
      <c r="D3511" t="s">
        <v>458</v>
      </c>
      <c r="E3511">
        <v>0</v>
      </c>
    </row>
    <row r="3512" spans="1:5">
      <c r="A3512">
        <v>15678</v>
      </c>
      <c r="B3512">
        <v>1830197</v>
      </c>
      <c r="C3512" s="5">
        <v>46060</v>
      </c>
      <c r="D3512" t="s">
        <v>458</v>
      </c>
      <c r="E3512">
        <v>24</v>
      </c>
    </row>
    <row r="3513" spans="1:5">
      <c r="A3513">
        <v>15825</v>
      </c>
      <c r="B3513">
        <v>1830197</v>
      </c>
      <c r="C3513" s="5">
        <v>46060</v>
      </c>
      <c r="D3513" t="s">
        <v>458</v>
      </c>
      <c r="E3513">
        <v>5</v>
      </c>
    </row>
    <row r="3514" spans="1:5">
      <c r="A3514">
        <v>15982</v>
      </c>
      <c r="B3514">
        <v>1830197</v>
      </c>
      <c r="C3514" s="5">
        <v>46060</v>
      </c>
      <c r="D3514" t="s">
        <v>458</v>
      </c>
      <c r="E3514">
        <v>0</v>
      </c>
    </row>
    <row r="3515" spans="1:5">
      <c r="A3515">
        <v>16033</v>
      </c>
      <c r="B3515">
        <v>1830197</v>
      </c>
      <c r="C3515" s="5">
        <v>46060</v>
      </c>
      <c r="D3515" t="s">
        <v>458</v>
      </c>
      <c r="E3515">
        <v>0</v>
      </c>
    </row>
    <row r="3516" spans="1:5">
      <c r="A3516">
        <v>16045</v>
      </c>
      <c r="B3516">
        <v>1830197</v>
      </c>
      <c r="C3516" s="5">
        <v>46060</v>
      </c>
      <c r="D3516" t="s">
        <v>458</v>
      </c>
      <c r="E3516">
        <v>0</v>
      </c>
    </row>
    <row r="3517" spans="1:5">
      <c r="A3517">
        <v>16381</v>
      </c>
      <c r="B3517">
        <v>1830197</v>
      </c>
      <c r="C3517" s="5">
        <v>46060</v>
      </c>
      <c r="D3517" t="s">
        <v>458</v>
      </c>
      <c r="E3517">
        <v>0</v>
      </c>
    </row>
    <row r="3518" spans="1:5">
      <c r="A3518">
        <v>16387</v>
      </c>
      <c r="B3518">
        <v>1830197</v>
      </c>
      <c r="C3518" s="5">
        <v>46060</v>
      </c>
      <c r="D3518" t="s">
        <v>458</v>
      </c>
      <c r="E3518">
        <v>3</v>
      </c>
    </row>
    <row r="3519" spans="1:5">
      <c r="A3519">
        <v>16564</v>
      </c>
      <c r="B3519">
        <v>1830197</v>
      </c>
      <c r="C3519" s="5">
        <v>46060</v>
      </c>
      <c r="D3519" t="s">
        <v>458</v>
      </c>
      <c r="E3519">
        <v>0</v>
      </c>
    </row>
    <row r="3520" spans="1:5">
      <c r="A3520">
        <v>16565</v>
      </c>
      <c r="B3520">
        <v>1830197</v>
      </c>
      <c r="C3520" s="5">
        <v>46060</v>
      </c>
      <c r="D3520" t="s">
        <v>458</v>
      </c>
      <c r="E3520">
        <v>0</v>
      </c>
    </row>
    <row r="3521" spans="1:5">
      <c r="A3521">
        <v>16569</v>
      </c>
      <c r="B3521">
        <v>1830197</v>
      </c>
      <c r="C3521" s="5">
        <v>46060</v>
      </c>
      <c r="D3521" t="s">
        <v>458</v>
      </c>
      <c r="E3521">
        <v>0</v>
      </c>
    </row>
    <row r="3522" spans="1:5">
      <c r="A3522">
        <v>17091</v>
      </c>
      <c r="B3522">
        <v>1830197</v>
      </c>
      <c r="C3522" s="5">
        <v>46060</v>
      </c>
      <c r="D3522" t="s">
        <v>458</v>
      </c>
      <c r="E3522">
        <v>0</v>
      </c>
    </row>
    <row r="3523" spans="1:5">
      <c r="A3523">
        <v>17113</v>
      </c>
      <c r="B3523">
        <v>1830197</v>
      </c>
      <c r="C3523" s="5">
        <v>46060</v>
      </c>
      <c r="D3523" t="s">
        <v>458</v>
      </c>
      <c r="E3523">
        <v>0</v>
      </c>
    </row>
    <row r="3524" spans="1:5">
      <c r="A3524">
        <v>17362</v>
      </c>
      <c r="B3524">
        <v>1830197</v>
      </c>
      <c r="C3524" s="5">
        <v>46060</v>
      </c>
      <c r="D3524" t="s">
        <v>458</v>
      </c>
      <c r="E3524">
        <v>0</v>
      </c>
    </row>
    <row r="3525" spans="1:5">
      <c r="A3525">
        <v>17363</v>
      </c>
      <c r="B3525">
        <v>1830197</v>
      </c>
      <c r="C3525" s="5">
        <v>46060</v>
      </c>
      <c r="D3525" t="s">
        <v>458</v>
      </c>
      <c r="E3525">
        <v>0</v>
      </c>
    </row>
    <row r="3526" spans="1:5">
      <c r="A3526">
        <v>17383</v>
      </c>
      <c r="B3526">
        <v>1830197</v>
      </c>
      <c r="C3526" s="5">
        <v>46060</v>
      </c>
      <c r="D3526" t="s">
        <v>458</v>
      </c>
      <c r="E3526">
        <v>0</v>
      </c>
    </row>
    <row r="3527" spans="1:5">
      <c r="A3527">
        <v>17384</v>
      </c>
      <c r="B3527">
        <v>1830197</v>
      </c>
      <c r="C3527" s="5">
        <v>46060</v>
      </c>
      <c r="D3527" t="s">
        <v>458</v>
      </c>
      <c r="E3527">
        <v>0</v>
      </c>
    </row>
    <row r="3528" spans="1:5">
      <c r="A3528">
        <v>17385</v>
      </c>
      <c r="B3528">
        <v>1830197</v>
      </c>
      <c r="C3528" s="5">
        <v>46060</v>
      </c>
      <c r="D3528" t="s">
        <v>458</v>
      </c>
      <c r="E3528">
        <v>0</v>
      </c>
    </row>
    <row r="3529" spans="1:5">
      <c r="A3529">
        <v>17482</v>
      </c>
      <c r="B3529">
        <v>1830197</v>
      </c>
      <c r="C3529" s="5">
        <v>46060</v>
      </c>
      <c r="D3529" t="s">
        <v>458</v>
      </c>
      <c r="E3529">
        <v>0</v>
      </c>
    </row>
    <row r="3530" spans="1:5">
      <c r="A3530">
        <v>17515</v>
      </c>
      <c r="B3530">
        <v>1830197</v>
      </c>
      <c r="C3530" s="5">
        <v>46060</v>
      </c>
      <c r="D3530" t="s">
        <v>458</v>
      </c>
      <c r="E3530">
        <v>5</v>
      </c>
    </row>
    <row r="3531" spans="1:5">
      <c r="A3531">
        <v>17581</v>
      </c>
      <c r="B3531">
        <v>1830197</v>
      </c>
      <c r="C3531" s="5">
        <v>46060</v>
      </c>
      <c r="D3531" t="s">
        <v>458</v>
      </c>
      <c r="E3531">
        <v>30</v>
      </c>
    </row>
    <row r="3532" spans="1:5">
      <c r="A3532">
        <v>17588</v>
      </c>
      <c r="B3532">
        <v>1830197</v>
      </c>
      <c r="C3532" s="5">
        <v>46060</v>
      </c>
      <c r="D3532" t="s">
        <v>458</v>
      </c>
      <c r="E3532">
        <v>0</v>
      </c>
    </row>
    <row r="3533" spans="1:5">
      <c r="A3533">
        <v>17639</v>
      </c>
      <c r="B3533">
        <v>1830197</v>
      </c>
      <c r="C3533" s="5">
        <v>46060</v>
      </c>
      <c r="D3533" t="s">
        <v>458</v>
      </c>
      <c r="E3533">
        <v>0</v>
      </c>
    </row>
    <row r="3534" spans="1:5">
      <c r="A3534">
        <v>17771</v>
      </c>
      <c r="B3534">
        <v>1830197</v>
      </c>
      <c r="C3534" s="5">
        <v>46060</v>
      </c>
      <c r="D3534" t="s">
        <v>458</v>
      </c>
      <c r="E3534">
        <v>0.2</v>
      </c>
    </row>
    <row r="3535" spans="1:5">
      <c r="A3535">
        <v>17774</v>
      </c>
      <c r="B3535">
        <v>1830197</v>
      </c>
      <c r="C3535" s="5">
        <v>46060</v>
      </c>
      <c r="D3535" t="s">
        <v>458</v>
      </c>
      <c r="E3535">
        <v>0</v>
      </c>
    </row>
    <row r="3536" spans="1:5">
      <c r="A3536">
        <v>17775</v>
      </c>
      <c r="B3536">
        <v>1830197</v>
      </c>
      <c r="C3536" s="5">
        <v>46060</v>
      </c>
      <c r="D3536" t="s">
        <v>458</v>
      </c>
      <c r="E3536">
        <v>0</v>
      </c>
    </row>
    <row r="3537" spans="1:5">
      <c r="A3537">
        <v>17849</v>
      </c>
      <c r="B3537">
        <v>1830197</v>
      </c>
      <c r="C3537" s="5">
        <v>46060</v>
      </c>
      <c r="D3537" t="s">
        <v>458</v>
      </c>
      <c r="E3537">
        <v>0</v>
      </c>
    </row>
    <row r="3538" spans="1:5">
      <c r="A3538">
        <v>17947</v>
      </c>
      <c r="B3538">
        <v>1830197</v>
      </c>
      <c r="C3538" s="5">
        <v>46060</v>
      </c>
      <c r="D3538" t="s">
        <v>458</v>
      </c>
      <c r="E3538">
        <v>0</v>
      </c>
    </row>
    <row r="3539" spans="1:5">
      <c r="A3539">
        <v>18087</v>
      </c>
      <c r="B3539">
        <v>1830197</v>
      </c>
      <c r="C3539" s="5">
        <v>46060</v>
      </c>
      <c r="D3539" t="s">
        <v>458</v>
      </c>
      <c r="E3539">
        <v>0</v>
      </c>
    </row>
    <row r="3540" spans="1:5">
      <c r="A3540">
        <v>18088</v>
      </c>
      <c r="B3540">
        <v>1830197</v>
      </c>
      <c r="C3540" s="5">
        <v>46060</v>
      </c>
      <c r="D3540" t="s">
        <v>458</v>
      </c>
      <c r="E3540">
        <v>0</v>
      </c>
    </row>
    <row r="3541" spans="1:5">
      <c r="A3541">
        <v>18161</v>
      </c>
      <c r="B3541">
        <v>1830197</v>
      </c>
      <c r="C3541" s="5">
        <v>46060</v>
      </c>
      <c r="D3541" t="s">
        <v>458</v>
      </c>
      <c r="E3541">
        <v>0</v>
      </c>
    </row>
    <row r="3542" spans="1:5">
      <c r="A3542">
        <v>18229</v>
      </c>
      <c r="B3542">
        <v>1830197</v>
      </c>
      <c r="C3542" s="5">
        <v>46060</v>
      </c>
      <c r="D3542" t="s">
        <v>458</v>
      </c>
      <c r="E3542">
        <v>0</v>
      </c>
    </row>
    <row r="3543" spans="1:5">
      <c r="A3543">
        <v>18309</v>
      </c>
      <c r="B3543">
        <v>1830197</v>
      </c>
      <c r="C3543" s="5">
        <v>46060</v>
      </c>
      <c r="D3543" t="s">
        <v>458</v>
      </c>
      <c r="E3543">
        <v>0</v>
      </c>
    </row>
    <row r="3544" spans="1:5">
      <c r="A3544">
        <v>18310</v>
      </c>
      <c r="B3544">
        <v>1830197</v>
      </c>
      <c r="C3544" s="5">
        <v>46060</v>
      </c>
      <c r="D3544" t="s">
        <v>458</v>
      </c>
      <c r="E3544">
        <v>0</v>
      </c>
    </row>
    <row r="3545" spans="1:5">
      <c r="A3545">
        <v>18342</v>
      </c>
      <c r="B3545">
        <v>1830197</v>
      </c>
      <c r="C3545" s="5">
        <v>46060</v>
      </c>
      <c r="D3545" t="s">
        <v>458</v>
      </c>
      <c r="E3545">
        <v>50</v>
      </c>
    </row>
    <row r="3546" spans="1:5">
      <c r="A3546">
        <v>18471</v>
      </c>
      <c r="B3546">
        <v>1830197</v>
      </c>
      <c r="C3546" s="5">
        <v>46060</v>
      </c>
      <c r="D3546" t="s">
        <v>458</v>
      </c>
      <c r="E3546">
        <v>0</v>
      </c>
    </row>
    <row r="3547" spans="1:5">
      <c r="A3547">
        <v>18472</v>
      </c>
      <c r="B3547">
        <v>1830197</v>
      </c>
      <c r="C3547" s="5">
        <v>46060</v>
      </c>
      <c r="D3547" t="s">
        <v>458</v>
      </c>
      <c r="E3547">
        <v>0</v>
      </c>
    </row>
    <row r="3548" spans="1:5">
      <c r="A3548">
        <v>18626</v>
      </c>
      <c r="B3548">
        <v>1830197</v>
      </c>
      <c r="C3548" s="5">
        <v>46060</v>
      </c>
      <c r="D3548" t="s">
        <v>458</v>
      </c>
      <c r="E3548">
        <v>0</v>
      </c>
    </row>
    <row r="3549" spans="1:5">
      <c r="A3549">
        <v>18640</v>
      </c>
      <c r="B3549">
        <v>1830197</v>
      </c>
      <c r="C3549" s="5">
        <v>46060</v>
      </c>
      <c r="D3549" t="s">
        <v>458</v>
      </c>
      <c r="E3549">
        <v>0</v>
      </c>
    </row>
    <row r="3550" spans="1:5">
      <c r="A3550">
        <v>18649</v>
      </c>
      <c r="B3550">
        <v>1830197</v>
      </c>
      <c r="C3550" s="5">
        <v>46060</v>
      </c>
      <c r="D3550" t="s">
        <v>458</v>
      </c>
      <c r="E3550">
        <v>25</v>
      </c>
    </row>
    <row r="3551" spans="1:5">
      <c r="A3551">
        <v>19050</v>
      </c>
      <c r="B3551">
        <v>1830197</v>
      </c>
      <c r="C3551" s="5">
        <v>46060</v>
      </c>
      <c r="D3551" t="s">
        <v>458</v>
      </c>
      <c r="E3551">
        <v>0</v>
      </c>
    </row>
    <row r="3552" spans="1:5">
      <c r="A3552">
        <v>19051</v>
      </c>
      <c r="B3552">
        <v>1830197</v>
      </c>
      <c r="C3552" s="5">
        <v>46060</v>
      </c>
      <c r="D3552" t="s">
        <v>458</v>
      </c>
      <c r="E3552">
        <v>0</v>
      </c>
    </row>
    <row r="3553" spans="1:5">
      <c r="A3553">
        <v>19060</v>
      </c>
      <c r="B3553">
        <v>1830197</v>
      </c>
      <c r="C3553" s="5">
        <v>46060</v>
      </c>
      <c r="D3553" t="s">
        <v>458</v>
      </c>
      <c r="E3553">
        <v>0</v>
      </c>
    </row>
    <row r="3554" spans="1:5">
      <c r="A3554">
        <v>19235</v>
      </c>
      <c r="B3554">
        <v>1830197</v>
      </c>
      <c r="C3554" s="5">
        <v>46060</v>
      </c>
      <c r="D3554" t="s">
        <v>458</v>
      </c>
      <c r="E3554">
        <v>0</v>
      </c>
    </row>
    <row r="3555" spans="1:5">
      <c r="A3555">
        <v>19236</v>
      </c>
      <c r="B3555">
        <v>1830197</v>
      </c>
      <c r="C3555" s="5">
        <v>46060</v>
      </c>
      <c r="D3555" t="s">
        <v>458</v>
      </c>
      <c r="E3555">
        <v>0</v>
      </c>
    </row>
    <row r="3556" spans="1:5">
      <c r="A3556">
        <v>19346</v>
      </c>
      <c r="B3556">
        <v>1830197</v>
      </c>
      <c r="C3556" s="5">
        <v>46060</v>
      </c>
      <c r="D3556" t="s">
        <v>458</v>
      </c>
      <c r="E3556">
        <v>0</v>
      </c>
    </row>
    <row r="3557" spans="1:5">
      <c r="A3557">
        <v>19500</v>
      </c>
      <c r="B3557">
        <v>1830197</v>
      </c>
      <c r="C3557" s="5">
        <v>46060</v>
      </c>
      <c r="D3557" t="s">
        <v>458</v>
      </c>
      <c r="E3557">
        <v>0</v>
      </c>
    </row>
    <row r="3558" spans="1:5">
      <c r="A3558">
        <v>19541</v>
      </c>
      <c r="B3558">
        <v>1830197</v>
      </c>
      <c r="C3558" s="5">
        <v>46060</v>
      </c>
      <c r="D3558" t="s">
        <v>458</v>
      </c>
      <c r="E3558">
        <v>0</v>
      </c>
    </row>
    <row r="3559" spans="1:5">
      <c r="A3559">
        <v>19670</v>
      </c>
      <c r="B3559">
        <v>1830197</v>
      </c>
      <c r="C3559" s="5">
        <v>46060</v>
      </c>
      <c r="D3559" t="s">
        <v>458</v>
      </c>
      <c r="E3559">
        <v>0</v>
      </c>
    </row>
    <row r="3560" spans="1:5">
      <c r="A3560">
        <v>19701</v>
      </c>
      <c r="B3560">
        <v>1830197</v>
      </c>
      <c r="C3560" s="5">
        <v>46060</v>
      </c>
      <c r="D3560" t="s">
        <v>458</v>
      </c>
      <c r="E3560">
        <v>0</v>
      </c>
    </row>
    <row r="3561" spans="1:5">
      <c r="A3561">
        <v>20091</v>
      </c>
      <c r="B3561">
        <v>1830197</v>
      </c>
      <c r="C3561" s="5">
        <v>46060</v>
      </c>
      <c r="D3561" t="s">
        <v>458</v>
      </c>
      <c r="E3561">
        <v>0.5</v>
      </c>
    </row>
    <row r="3562" spans="1:5">
      <c r="A3562">
        <v>20096</v>
      </c>
      <c r="B3562">
        <v>1830197</v>
      </c>
      <c r="C3562" s="5">
        <v>46060</v>
      </c>
      <c r="D3562" t="s">
        <v>458</v>
      </c>
      <c r="E3562">
        <v>-2</v>
      </c>
    </row>
    <row r="3563" spans="1:5">
      <c r="A3563">
        <v>20124</v>
      </c>
      <c r="B3563">
        <v>1830197</v>
      </c>
      <c r="C3563" s="5">
        <v>46060</v>
      </c>
      <c r="D3563" t="s">
        <v>458</v>
      </c>
      <c r="E3563">
        <v>12</v>
      </c>
    </row>
    <row r="3564" spans="1:5">
      <c r="A3564">
        <v>20245</v>
      </c>
      <c r="B3564">
        <v>1830197</v>
      </c>
      <c r="C3564" s="5">
        <v>46060</v>
      </c>
      <c r="D3564" t="s">
        <v>458</v>
      </c>
      <c r="E3564">
        <v>0</v>
      </c>
    </row>
    <row r="3565" spans="1:5">
      <c r="A3565">
        <v>22061</v>
      </c>
      <c r="B3565">
        <v>1830197</v>
      </c>
      <c r="C3565" s="5">
        <v>46060</v>
      </c>
      <c r="D3565" t="s">
        <v>458</v>
      </c>
      <c r="E3565">
        <v>0</v>
      </c>
    </row>
    <row r="3566" spans="1:5">
      <c r="A3566">
        <v>22070</v>
      </c>
      <c r="B3566">
        <v>1830197</v>
      </c>
      <c r="C3566" s="5">
        <v>46060</v>
      </c>
      <c r="D3566" t="s">
        <v>458</v>
      </c>
      <c r="E3566">
        <v>0</v>
      </c>
    </row>
    <row r="3567" spans="1:5">
      <c r="A3567">
        <v>22388</v>
      </c>
      <c r="B3567">
        <v>1830197</v>
      </c>
      <c r="C3567" s="5">
        <v>46060</v>
      </c>
      <c r="D3567" t="s">
        <v>458</v>
      </c>
      <c r="E3567">
        <v>25</v>
      </c>
    </row>
    <row r="3568" spans="1:5">
      <c r="A3568">
        <v>23991</v>
      </c>
      <c r="B3568">
        <v>1830197</v>
      </c>
      <c r="C3568" s="5">
        <v>46060</v>
      </c>
      <c r="D3568" t="s">
        <v>458</v>
      </c>
      <c r="E3568">
        <v>1.03</v>
      </c>
    </row>
    <row r="3569" spans="1:5">
      <c r="A3569">
        <v>24276</v>
      </c>
      <c r="B3569">
        <v>1830197</v>
      </c>
      <c r="C3569" s="5">
        <v>46060</v>
      </c>
      <c r="D3569" t="s">
        <v>458</v>
      </c>
      <c r="E3569">
        <v>0</v>
      </c>
    </row>
    <row r="3570" spans="1:5">
      <c r="A3570">
        <v>24737</v>
      </c>
      <c r="B3570">
        <v>1830197</v>
      </c>
      <c r="C3570" s="5">
        <v>46060</v>
      </c>
      <c r="D3570" t="s">
        <v>458</v>
      </c>
      <c r="E3570">
        <v>0</v>
      </c>
    </row>
    <row r="3571" spans="1:5">
      <c r="A3571">
        <v>24738</v>
      </c>
      <c r="B3571">
        <v>1830197</v>
      </c>
      <c r="C3571" s="5">
        <v>46060</v>
      </c>
      <c r="D3571" t="s">
        <v>458</v>
      </c>
      <c r="E3571">
        <v>0</v>
      </c>
    </row>
    <row r="3572" spans="1:5">
      <c r="A3572">
        <v>30139</v>
      </c>
      <c r="B3572">
        <v>1830197</v>
      </c>
      <c r="C3572" s="5">
        <v>46060</v>
      </c>
      <c r="D3572" t="s">
        <v>458</v>
      </c>
      <c r="E3572">
        <v>2</v>
      </c>
    </row>
    <row r="3573" spans="1:5">
      <c r="A3573">
        <v>30140</v>
      </c>
      <c r="B3573">
        <v>1830197</v>
      </c>
      <c r="C3573" s="5">
        <v>46060</v>
      </c>
      <c r="D3573" t="s">
        <v>458</v>
      </c>
      <c r="E3573">
        <v>4</v>
      </c>
    </row>
    <row r="3574" spans="1:5">
      <c r="A3574">
        <v>30154</v>
      </c>
      <c r="B3574">
        <v>1830197</v>
      </c>
      <c r="C3574" s="5">
        <v>46060</v>
      </c>
      <c r="D3574" t="s">
        <v>458</v>
      </c>
      <c r="E3574">
        <v>0.5</v>
      </c>
    </row>
    <row r="3575" spans="1:5">
      <c r="A3575">
        <v>34120</v>
      </c>
      <c r="B3575">
        <v>1830197</v>
      </c>
      <c r="C3575" s="5">
        <v>46060</v>
      </c>
      <c r="D3575" t="s">
        <v>458</v>
      </c>
      <c r="E3575">
        <v>0</v>
      </c>
    </row>
    <row r="3576" spans="1:5">
      <c r="A3576">
        <v>36055</v>
      </c>
      <c r="B3576">
        <v>1830197</v>
      </c>
      <c r="C3576" s="5">
        <v>46060</v>
      </c>
      <c r="D3576" t="s">
        <v>458</v>
      </c>
      <c r="E3576">
        <v>0</v>
      </c>
    </row>
    <row r="3577" spans="1:5">
      <c r="A3577">
        <v>36061</v>
      </c>
      <c r="B3577">
        <v>1830197</v>
      </c>
      <c r="C3577" s="5">
        <v>46060</v>
      </c>
      <c r="D3577" t="s">
        <v>458</v>
      </c>
      <c r="E3577">
        <v>0</v>
      </c>
    </row>
    <row r="3578" spans="1:5">
      <c r="A3578">
        <v>37089</v>
      </c>
      <c r="B3578">
        <v>1830197</v>
      </c>
      <c r="C3578" s="5">
        <v>46060</v>
      </c>
      <c r="D3578" t="s">
        <v>458</v>
      </c>
      <c r="E3578">
        <v>0</v>
      </c>
    </row>
    <row r="3579" spans="1:5">
      <c r="A3579">
        <v>39852</v>
      </c>
      <c r="B3579">
        <v>1830197</v>
      </c>
      <c r="C3579" s="5">
        <v>46060</v>
      </c>
      <c r="D3579" t="s">
        <v>458</v>
      </c>
      <c r="E3579">
        <v>0</v>
      </c>
    </row>
    <row r="3580" spans="1:5">
      <c r="A3580">
        <v>40076</v>
      </c>
      <c r="B3580">
        <v>1830197</v>
      </c>
      <c r="C3580" s="5">
        <v>46060</v>
      </c>
      <c r="D3580" t="s">
        <v>458</v>
      </c>
      <c r="E3580">
        <v>197</v>
      </c>
    </row>
    <row r="3581" spans="1:5">
      <c r="A3581">
        <v>40077</v>
      </c>
      <c r="B3581">
        <v>1830197</v>
      </c>
      <c r="C3581" s="5">
        <v>46060</v>
      </c>
      <c r="D3581" t="s">
        <v>458</v>
      </c>
      <c r="E3581">
        <v>10</v>
      </c>
    </row>
    <row r="3582" spans="1:5">
      <c r="A3582">
        <v>40078</v>
      </c>
      <c r="B3582">
        <v>1830197</v>
      </c>
      <c r="C3582" s="5">
        <v>46060</v>
      </c>
      <c r="D3582" t="s">
        <v>458</v>
      </c>
      <c r="E3582">
        <v>7</v>
      </c>
    </row>
    <row r="3583" spans="1:5">
      <c r="A3583">
        <v>40079</v>
      </c>
      <c r="B3583">
        <v>1830197</v>
      </c>
      <c r="C3583" s="5">
        <v>46060</v>
      </c>
      <c r="D3583" t="s">
        <v>458</v>
      </c>
      <c r="E3583">
        <v>0</v>
      </c>
    </row>
    <row r="3584" spans="1:5">
      <c r="A3584">
        <v>45695</v>
      </c>
      <c r="B3584">
        <v>1830197</v>
      </c>
      <c r="C3584" s="5">
        <v>46060</v>
      </c>
      <c r="D3584" t="s">
        <v>458</v>
      </c>
      <c r="E3584">
        <v>25</v>
      </c>
    </row>
    <row r="3585" spans="1:5">
      <c r="A3585">
        <v>80174</v>
      </c>
      <c r="B3585">
        <v>1830197</v>
      </c>
      <c r="C3585" s="5">
        <v>46060</v>
      </c>
      <c r="D3585" t="s">
        <v>458</v>
      </c>
      <c r="E3585">
        <v>0</v>
      </c>
    </row>
    <row r="3586" spans="1:5">
      <c r="A3586">
        <v>84522</v>
      </c>
      <c r="B3586">
        <v>1830197</v>
      </c>
      <c r="C3586" s="5">
        <v>46060</v>
      </c>
      <c r="D3586" t="s">
        <v>458</v>
      </c>
      <c r="E3586">
        <v>2</v>
      </c>
    </row>
    <row r="3587" spans="1:5">
      <c r="A3587">
        <v>84523</v>
      </c>
      <c r="B3587">
        <v>1830197</v>
      </c>
      <c r="C3587" s="5">
        <v>46060</v>
      </c>
      <c r="D3587" t="s">
        <v>458</v>
      </c>
      <c r="E3587">
        <v>4</v>
      </c>
    </row>
    <row r="3588" spans="1:5">
      <c r="A3588">
        <v>87096</v>
      </c>
      <c r="B3588">
        <v>1830197</v>
      </c>
      <c r="C3588" s="5">
        <v>46060</v>
      </c>
      <c r="D3588" t="s">
        <v>458</v>
      </c>
      <c r="E3588">
        <v>0</v>
      </c>
    </row>
    <row r="3589" spans="1:5">
      <c r="A3589">
        <v>87098</v>
      </c>
      <c r="B3589">
        <v>1830197</v>
      </c>
      <c r="C3589" s="5">
        <v>46060</v>
      </c>
      <c r="D3589" t="s">
        <v>458</v>
      </c>
      <c r="E3589">
        <v>2</v>
      </c>
    </row>
    <row r="3590" spans="1:5">
      <c r="A3590">
        <v>91426</v>
      </c>
      <c r="B3590">
        <v>1830197</v>
      </c>
      <c r="C3590" s="5">
        <v>46060</v>
      </c>
      <c r="D3590" t="s">
        <v>458</v>
      </c>
      <c r="E3590">
        <v>0</v>
      </c>
    </row>
    <row r="3591" spans="1:5">
      <c r="A3591">
        <v>91427</v>
      </c>
      <c r="B3591">
        <v>1830197</v>
      </c>
      <c r="C3591" s="5">
        <v>46060</v>
      </c>
      <c r="D3591" t="s">
        <v>458</v>
      </c>
      <c r="E3591">
        <v>0</v>
      </c>
    </row>
    <row r="3592" spans="1:5">
      <c r="A3592">
        <v>91428</v>
      </c>
      <c r="B3592">
        <v>1830197</v>
      </c>
      <c r="C3592" s="5">
        <v>46060</v>
      </c>
      <c r="D3592" t="s">
        <v>458</v>
      </c>
      <c r="E3592">
        <v>0</v>
      </c>
    </row>
    <row r="3593" spans="1:5">
      <c r="A3593">
        <v>91429</v>
      </c>
      <c r="B3593">
        <v>1830197</v>
      </c>
      <c r="C3593" s="5">
        <v>46060</v>
      </c>
      <c r="D3593" t="s">
        <v>458</v>
      </c>
      <c r="E3593">
        <v>0</v>
      </c>
    </row>
    <row r="3594" spans="1:5">
      <c r="A3594">
        <v>91430</v>
      </c>
      <c r="B3594">
        <v>1830197</v>
      </c>
      <c r="C3594" s="5">
        <v>46060</v>
      </c>
      <c r="D3594" t="s">
        <v>458</v>
      </c>
      <c r="E3594">
        <v>0</v>
      </c>
    </row>
    <row r="3595" spans="1:5">
      <c r="A3595">
        <v>91431</v>
      </c>
      <c r="B3595">
        <v>1830197</v>
      </c>
      <c r="C3595" s="5">
        <v>46060</v>
      </c>
      <c r="D3595" t="s">
        <v>458</v>
      </c>
      <c r="E3595">
        <v>0</v>
      </c>
    </row>
    <row r="3596" spans="1:5">
      <c r="A3596">
        <v>91432</v>
      </c>
      <c r="B3596">
        <v>1830197</v>
      </c>
      <c r="C3596" s="5">
        <v>46060</v>
      </c>
      <c r="D3596" t="s">
        <v>458</v>
      </c>
      <c r="E3596">
        <v>0</v>
      </c>
    </row>
    <row r="3597" spans="1:5">
      <c r="A3597">
        <v>91433</v>
      </c>
      <c r="B3597">
        <v>1830197</v>
      </c>
      <c r="C3597" s="5">
        <v>46060</v>
      </c>
      <c r="D3597" t="s">
        <v>458</v>
      </c>
      <c r="E3597">
        <v>0</v>
      </c>
    </row>
    <row r="3598" spans="1:5">
      <c r="A3598">
        <v>92009</v>
      </c>
      <c r="B3598">
        <v>1830197</v>
      </c>
      <c r="C3598" s="5">
        <v>46060</v>
      </c>
      <c r="D3598" t="s">
        <v>458</v>
      </c>
      <c r="E3598">
        <v>0</v>
      </c>
    </row>
    <row r="3599" spans="1:5">
      <c r="A3599">
        <v>92084</v>
      </c>
      <c r="B3599">
        <v>1830197</v>
      </c>
      <c r="C3599" s="5">
        <v>46060</v>
      </c>
      <c r="D3599" t="s">
        <v>458</v>
      </c>
      <c r="E3599">
        <v>0</v>
      </c>
    </row>
    <row r="3600" spans="1:5">
      <c r="A3600">
        <v>93111</v>
      </c>
      <c r="B3600">
        <v>1830197</v>
      </c>
      <c r="C3600" s="5">
        <v>46060</v>
      </c>
      <c r="D3600" t="s">
        <v>458</v>
      </c>
      <c r="E3600">
        <v>0</v>
      </c>
    </row>
    <row r="3601" spans="1:5">
      <c r="A3601">
        <v>94827</v>
      </c>
      <c r="B3601">
        <v>1830197</v>
      </c>
      <c r="C3601" s="5">
        <v>46060</v>
      </c>
      <c r="D3601" t="s">
        <v>458</v>
      </c>
      <c r="E3601">
        <v>0</v>
      </c>
    </row>
    <row r="3602" spans="1:5">
      <c r="A3602">
        <v>94830</v>
      </c>
      <c r="B3602">
        <v>1830197</v>
      </c>
      <c r="C3602" s="5">
        <v>46060</v>
      </c>
      <c r="D3602" t="s">
        <v>458</v>
      </c>
      <c r="E3602">
        <v>0</v>
      </c>
    </row>
    <row r="3603" spans="1:5">
      <c r="A3603">
        <v>94833</v>
      </c>
      <c r="B3603">
        <v>1830197</v>
      </c>
      <c r="C3603" s="5">
        <v>46060</v>
      </c>
      <c r="D3603" t="s">
        <v>458</v>
      </c>
      <c r="E3603">
        <v>0</v>
      </c>
    </row>
    <row r="3604" spans="1:5">
      <c r="A3604">
        <v>94836</v>
      </c>
      <c r="B3604">
        <v>1830197</v>
      </c>
      <c r="C3604" s="5">
        <v>46060</v>
      </c>
      <c r="D3604" t="s">
        <v>458</v>
      </c>
      <c r="E3604">
        <v>0</v>
      </c>
    </row>
    <row r="3605" spans="1:5">
      <c r="A3605">
        <v>94839</v>
      </c>
      <c r="B3605">
        <v>1830197</v>
      </c>
      <c r="C3605" s="5">
        <v>46060</v>
      </c>
      <c r="D3605" t="s">
        <v>458</v>
      </c>
      <c r="E3605">
        <v>0</v>
      </c>
    </row>
    <row r="3606" spans="1:5">
      <c r="A3606">
        <v>94842</v>
      </c>
      <c r="B3606">
        <v>1830197</v>
      </c>
      <c r="C3606" s="5">
        <v>46060</v>
      </c>
      <c r="D3606" t="s">
        <v>458</v>
      </c>
      <c r="E3606">
        <v>0</v>
      </c>
    </row>
    <row r="3607" spans="1:5">
      <c r="A3607">
        <v>94845</v>
      </c>
      <c r="B3607">
        <v>1830197</v>
      </c>
      <c r="C3607" s="5">
        <v>46060</v>
      </c>
      <c r="D3607" t="s">
        <v>458</v>
      </c>
      <c r="E3607">
        <v>0</v>
      </c>
    </row>
    <row r="3608" spans="1:5">
      <c r="A3608">
        <v>94848</v>
      </c>
      <c r="B3608">
        <v>1830197</v>
      </c>
      <c r="C3608" s="5">
        <v>46060</v>
      </c>
      <c r="D3608" t="s">
        <v>458</v>
      </c>
      <c r="E3608">
        <v>0</v>
      </c>
    </row>
    <row r="3609" spans="1:5">
      <c r="A3609">
        <v>94872</v>
      </c>
      <c r="B3609">
        <v>1830197</v>
      </c>
      <c r="C3609" s="5">
        <v>46060</v>
      </c>
      <c r="D3609" t="s">
        <v>458</v>
      </c>
      <c r="E3609">
        <v>0</v>
      </c>
    </row>
    <row r="3610" spans="1:5">
      <c r="A3610">
        <v>99078</v>
      </c>
      <c r="B3610">
        <v>1830197</v>
      </c>
      <c r="C3610" s="5">
        <v>46060</v>
      </c>
      <c r="D3610" t="s">
        <v>458</v>
      </c>
      <c r="E3610">
        <v>0</v>
      </c>
    </row>
    <row r="3611" spans="1:5">
      <c r="A3611">
        <v>99165</v>
      </c>
      <c r="B3611">
        <v>1830197</v>
      </c>
      <c r="C3611" s="5">
        <v>46060</v>
      </c>
      <c r="D3611" t="s">
        <v>458</v>
      </c>
      <c r="E3611">
        <v>0</v>
      </c>
    </row>
    <row r="3612" spans="1:5">
      <c r="A3612">
        <v>99166</v>
      </c>
      <c r="B3612">
        <v>1830197</v>
      </c>
      <c r="C3612" s="5">
        <v>46060</v>
      </c>
      <c r="D3612" t="s">
        <v>458</v>
      </c>
      <c r="E3612">
        <v>0</v>
      </c>
    </row>
    <row r="3613" spans="1:5">
      <c r="A3613">
        <v>99168</v>
      </c>
      <c r="B3613">
        <v>1830197</v>
      </c>
      <c r="C3613" s="5">
        <v>46060</v>
      </c>
      <c r="D3613" t="s">
        <v>458</v>
      </c>
      <c r="E3613">
        <v>0</v>
      </c>
    </row>
    <row r="3614" spans="1:5">
      <c r="A3614">
        <v>99169</v>
      </c>
      <c r="B3614">
        <v>1830197</v>
      </c>
      <c r="C3614" s="5">
        <v>46060</v>
      </c>
      <c r="D3614" t="s">
        <v>458</v>
      </c>
      <c r="E3614">
        <v>0</v>
      </c>
    </row>
    <row r="3615" spans="1:5">
      <c r="A3615">
        <v>99170</v>
      </c>
      <c r="B3615">
        <v>1830197</v>
      </c>
      <c r="C3615" s="5">
        <v>46060</v>
      </c>
      <c r="D3615" t="s">
        <v>458</v>
      </c>
      <c r="E3615">
        <v>0</v>
      </c>
    </row>
    <row r="3616" spans="1:5">
      <c r="A3616">
        <v>99216</v>
      </c>
      <c r="B3616">
        <v>1830197</v>
      </c>
      <c r="C3616" s="5">
        <v>46060</v>
      </c>
      <c r="D3616" t="s">
        <v>458</v>
      </c>
      <c r="E3616">
        <v>0</v>
      </c>
    </row>
    <row r="3617" spans="1:5">
      <c r="A3617">
        <v>99249</v>
      </c>
      <c r="B3617">
        <v>1830197</v>
      </c>
      <c r="C3617" s="5">
        <v>46060</v>
      </c>
      <c r="D3617" t="s">
        <v>458</v>
      </c>
      <c r="E3617">
        <v>0</v>
      </c>
    </row>
    <row r="3618" spans="1:5">
      <c r="A3618">
        <v>99305</v>
      </c>
      <c r="B3618">
        <v>1830197</v>
      </c>
      <c r="C3618" s="5">
        <v>46060</v>
      </c>
      <c r="D3618" t="s">
        <v>458</v>
      </c>
      <c r="E3618">
        <v>0</v>
      </c>
    </row>
    <row r="3619" spans="1:5">
      <c r="A3619">
        <v>99378</v>
      </c>
      <c r="B3619">
        <v>1830197</v>
      </c>
      <c r="C3619" s="5">
        <v>46060</v>
      </c>
      <c r="D3619" t="s">
        <v>458</v>
      </c>
      <c r="E3619">
        <v>0.1</v>
      </c>
    </row>
    <row r="3620" spans="1:5">
      <c r="A3620">
        <v>99422</v>
      </c>
      <c r="B3620">
        <v>1830197</v>
      </c>
      <c r="C3620" s="5">
        <v>46060</v>
      </c>
      <c r="D3620" t="s">
        <v>458</v>
      </c>
      <c r="E3620">
        <v>0</v>
      </c>
    </row>
    <row r="3621" spans="1:5">
      <c r="A3621">
        <v>99903</v>
      </c>
      <c r="B3621">
        <v>1830197</v>
      </c>
      <c r="C3621" s="5">
        <v>46060</v>
      </c>
      <c r="D3621" t="s">
        <v>458</v>
      </c>
      <c r="E3621">
        <v>0</v>
      </c>
    </row>
    <row r="3622" spans="1:5">
      <c r="A3622">
        <v>99906</v>
      </c>
      <c r="B3622">
        <v>1830197</v>
      </c>
      <c r="C3622" s="5">
        <v>46060</v>
      </c>
      <c r="D3622" t="s">
        <v>458</v>
      </c>
      <c r="E3622">
        <v>8</v>
      </c>
    </row>
    <row r="3623" spans="1:5">
      <c r="A3623">
        <v>99907</v>
      </c>
      <c r="B3623">
        <v>1830197</v>
      </c>
      <c r="C3623" s="5">
        <v>46060</v>
      </c>
      <c r="D3623" t="s">
        <v>458</v>
      </c>
      <c r="E3623">
        <v>10</v>
      </c>
    </row>
    <row r="3624" spans="1:5">
      <c r="A3624">
        <v>99908</v>
      </c>
      <c r="B3624">
        <v>1830197</v>
      </c>
      <c r="C3624" s="5">
        <v>46060</v>
      </c>
      <c r="D3624" t="s">
        <v>458</v>
      </c>
      <c r="E3624">
        <v>0</v>
      </c>
    </row>
    <row r="3625" spans="1:5">
      <c r="A3625">
        <v>99912</v>
      </c>
      <c r="B3625">
        <v>1830197</v>
      </c>
      <c r="C3625" s="5">
        <v>46060</v>
      </c>
      <c r="D3625" t="s">
        <v>458</v>
      </c>
      <c r="E3625">
        <v>0</v>
      </c>
    </row>
    <row r="3626" spans="1:5">
      <c r="A3626">
        <v>99913</v>
      </c>
      <c r="B3626">
        <v>1830197</v>
      </c>
      <c r="C3626" s="5">
        <v>46060</v>
      </c>
      <c r="D3626" t="s">
        <v>458</v>
      </c>
      <c r="E3626">
        <v>0</v>
      </c>
    </row>
    <row r="3627" spans="1:5">
      <c r="A3627">
        <v>99914</v>
      </c>
      <c r="B3627">
        <v>1830197</v>
      </c>
      <c r="C3627" s="5">
        <v>46060</v>
      </c>
      <c r="D3627" t="s">
        <v>458</v>
      </c>
      <c r="E3627">
        <v>2</v>
      </c>
    </row>
    <row r="3628" spans="1:5">
      <c r="A3628">
        <v>99915</v>
      </c>
      <c r="B3628">
        <v>1830197</v>
      </c>
      <c r="C3628" s="5">
        <v>46060</v>
      </c>
      <c r="D3628" t="s">
        <v>458</v>
      </c>
      <c r="E3628">
        <v>0</v>
      </c>
    </row>
    <row r="3629" spans="1:5">
      <c r="A3629">
        <v>99916</v>
      </c>
      <c r="B3629">
        <v>1830197</v>
      </c>
      <c r="C3629" s="5">
        <v>46060</v>
      </c>
      <c r="D3629" t="s">
        <v>458</v>
      </c>
      <c r="E3629">
        <v>1</v>
      </c>
    </row>
    <row r="3630" spans="1:5">
      <c r="A3630">
        <v>99917</v>
      </c>
      <c r="B3630">
        <v>1830197</v>
      </c>
      <c r="C3630" s="5">
        <v>46060</v>
      </c>
      <c r="D3630" t="s">
        <v>458</v>
      </c>
      <c r="E3630">
        <v>0</v>
      </c>
    </row>
    <row r="3631" spans="1:5">
      <c r="A3631">
        <v>99920</v>
      </c>
      <c r="B3631">
        <v>1830197</v>
      </c>
      <c r="C3631" s="5">
        <v>46060</v>
      </c>
      <c r="D3631" t="s">
        <v>458</v>
      </c>
      <c r="E3631">
        <v>0</v>
      </c>
    </row>
    <row r="3632" spans="1:5">
      <c r="A3632">
        <v>99929</v>
      </c>
      <c r="B3632">
        <v>1830197</v>
      </c>
      <c r="C3632" s="5">
        <v>46060</v>
      </c>
      <c r="D3632" t="s">
        <v>458</v>
      </c>
      <c r="E3632">
        <v>0</v>
      </c>
    </row>
    <row r="3633" spans="1:5">
      <c r="A3633">
        <v>99931</v>
      </c>
      <c r="B3633">
        <v>1830197</v>
      </c>
      <c r="C3633" s="5">
        <v>46060</v>
      </c>
      <c r="D3633" t="s">
        <v>458</v>
      </c>
      <c r="E3633">
        <v>0</v>
      </c>
    </row>
    <row r="3634" spans="1:5">
      <c r="A3634">
        <v>99932</v>
      </c>
      <c r="B3634">
        <v>1830197</v>
      </c>
      <c r="C3634" s="5">
        <v>46060</v>
      </c>
      <c r="D3634" t="s">
        <v>458</v>
      </c>
      <c r="E3634">
        <v>0</v>
      </c>
    </row>
    <row r="3635" spans="1:5">
      <c r="A3635">
        <v>99946</v>
      </c>
      <c r="B3635">
        <v>1830197</v>
      </c>
      <c r="C3635" s="5">
        <v>46060</v>
      </c>
      <c r="D3635" t="s">
        <v>458</v>
      </c>
      <c r="E3635">
        <v>0</v>
      </c>
    </row>
    <row r="3636" spans="1:5">
      <c r="A3636">
        <v>99967</v>
      </c>
      <c r="B3636">
        <v>1830197</v>
      </c>
      <c r="C3636" s="5">
        <v>46060</v>
      </c>
      <c r="D3636" t="s">
        <v>458</v>
      </c>
      <c r="E3636">
        <v>0</v>
      </c>
    </row>
    <row r="3637" spans="1:5">
      <c r="A3637">
        <v>99968</v>
      </c>
      <c r="B3637">
        <v>1830197</v>
      </c>
      <c r="C3637" s="5">
        <v>46060</v>
      </c>
      <c r="D3637" t="s">
        <v>458</v>
      </c>
      <c r="E3637">
        <v>0</v>
      </c>
    </row>
    <row r="3638" spans="1:5">
      <c r="A3638">
        <v>99969</v>
      </c>
      <c r="B3638">
        <v>1830197</v>
      </c>
      <c r="C3638" s="5">
        <v>46060</v>
      </c>
      <c r="D3638" t="s">
        <v>458</v>
      </c>
      <c r="E3638">
        <v>0</v>
      </c>
    </row>
    <row r="3639" spans="1:5">
      <c r="A3639">
        <v>99970</v>
      </c>
      <c r="B3639">
        <v>1830197</v>
      </c>
      <c r="C3639" s="5">
        <v>46060</v>
      </c>
      <c r="D3639" t="s">
        <v>458</v>
      </c>
      <c r="E3639">
        <v>1</v>
      </c>
    </row>
    <row r="3640" spans="1:5">
      <c r="A3640">
        <v>99971</v>
      </c>
      <c r="B3640">
        <v>1830197</v>
      </c>
      <c r="C3640" s="5">
        <v>46060</v>
      </c>
      <c r="D3640" t="s">
        <v>458</v>
      </c>
      <c r="E3640">
        <v>3</v>
      </c>
    </row>
    <row r="3641" spans="1:5">
      <c r="A3641">
        <v>99972</v>
      </c>
      <c r="B3641">
        <v>1830197</v>
      </c>
      <c r="C3641" s="5">
        <v>46060</v>
      </c>
      <c r="D3641" t="s">
        <v>458</v>
      </c>
      <c r="E3641">
        <v>0</v>
      </c>
    </row>
    <row r="3642" spans="1:5">
      <c r="A3642">
        <v>99973</v>
      </c>
      <c r="B3642">
        <v>1830197</v>
      </c>
      <c r="C3642" s="5">
        <v>46060</v>
      </c>
      <c r="D3642" t="s">
        <v>458</v>
      </c>
      <c r="E3642">
        <v>0</v>
      </c>
    </row>
    <row r="3643" spans="1:5">
      <c r="A3643">
        <v>99974</v>
      </c>
      <c r="B3643">
        <v>1830197</v>
      </c>
      <c r="C3643" s="5">
        <v>46060</v>
      </c>
      <c r="D3643" t="s">
        <v>458</v>
      </c>
      <c r="E3643">
        <v>0.1</v>
      </c>
    </row>
    <row r="3644" spans="1:5">
      <c r="A3644">
        <v>99977</v>
      </c>
      <c r="B3644">
        <v>1830197</v>
      </c>
      <c r="C3644" s="5">
        <v>46060</v>
      </c>
      <c r="D3644" t="s">
        <v>458</v>
      </c>
      <c r="E3644">
        <v>0</v>
      </c>
    </row>
    <row r="3645" spans="1:5">
      <c r="A3645">
        <v>99978</v>
      </c>
      <c r="B3645">
        <v>1830197</v>
      </c>
      <c r="C3645" s="5">
        <v>46060</v>
      </c>
      <c r="D3645" t="s">
        <v>458</v>
      </c>
      <c r="E3645">
        <v>0</v>
      </c>
    </row>
    <row r="3646" spans="1:5">
      <c r="A3646">
        <v>99979</v>
      </c>
      <c r="B3646">
        <v>1830197</v>
      </c>
      <c r="C3646" s="5">
        <v>46060</v>
      </c>
      <c r="D3646" t="s">
        <v>458</v>
      </c>
      <c r="E3646">
        <v>0</v>
      </c>
    </row>
    <row r="3647" spans="1:5">
      <c r="A3647">
        <v>99980</v>
      </c>
      <c r="B3647">
        <v>1830197</v>
      </c>
      <c r="C3647" s="5">
        <v>46060</v>
      </c>
      <c r="D3647" t="s">
        <v>458</v>
      </c>
      <c r="E3647">
        <v>0</v>
      </c>
    </row>
    <row r="3648" spans="1:5">
      <c r="A3648">
        <v>99981</v>
      </c>
      <c r="B3648">
        <v>1830197</v>
      </c>
      <c r="C3648" s="5">
        <v>46060</v>
      </c>
      <c r="D3648" t="s">
        <v>458</v>
      </c>
      <c r="E3648">
        <v>0</v>
      </c>
    </row>
    <row r="3649" spans="1:5">
      <c r="A3649">
        <v>99982</v>
      </c>
      <c r="B3649">
        <v>1830197</v>
      </c>
      <c r="C3649" s="5">
        <v>46060</v>
      </c>
      <c r="D3649" t="s">
        <v>458</v>
      </c>
      <c r="E3649">
        <v>0</v>
      </c>
    </row>
    <row r="3650" spans="1:5">
      <c r="A3650">
        <v>99983</v>
      </c>
      <c r="B3650">
        <v>1830197</v>
      </c>
      <c r="C3650" s="5">
        <v>46060</v>
      </c>
      <c r="D3650" t="s">
        <v>458</v>
      </c>
      <c r="E3650">
        <v>0</v>
      </c>
    </row>
    <row r="3651" spans="1:5">
      <c r="A3651">
        <v>99984</v>
      </c>
      <c r="B3651">
        <v>1830197</v>
      </c>
      <c r="C3651" s="5">
        <v>46060</v>
      </c>
      <c r="D3651" t="s">
        <v>458</v>
      </c>
      <c r="E3651">
        <v>0</v>
      </c>
    </row>
    <row r="3652" spans="1:5">
      <c r="A3652">
        <v>99985</v>
      </c>
      <c r="B3652">
        <v>1830197</v>
      </c>
      <c r="C3652" s="5">
        <v>46060</v>
      </c>
      <c r="D3652" t="s">
        <v>458</v>
      </c>
      <c r="E3652">
        <v>0</v>
      </c>
    </row>
    <row r="3653" spans="1:5">
      <c r="A3653">
        <v>99988</v>
      </c>
      <c r="B3653">
        <v>1830197</v>
      </c>
      <c r="C3653" s="5">
        <v>46060</v>
      </c>
      <c r="D3653" t="s">
        <v>458</v>
      </c>
      <c r="E3653">
        <v>0</v>
      </c>
    </row>
    <row r="3654" spans="1:5">
      <c r="A3654">
        <v>99989</v>
      </c>
      <c r="B3654">
        <v>1830197</v>
      </c>
      <c r="C3654" s="5">
        <v>46060</v>
      </c>
      <c r="D3654" t="s">
        <v>458</v>
      </c>
      <c r="E3654">
        <v>0</v>
      </c>
    </row>
    <row r="3655" spans="1:5">
      <c r="A3655">
        <v>99990</v>
      </c>
      <c r="B3655">
        <v>1830197</v>
      </c>
      <c r="C3655" s="5">
        <v>46060</v>
      </c>
      <c r="D3655" t="s">
        <v>458</v>
      </c>
      <c r="E3655">
        <v>0</v>
      </c>
    </row>
    <row r="3656" spans="1:5">
      <c r="A3656">
        <v>99991</v>
      </c>
      <c r="B3656">
        <v>1830197</v>
      </c>
      <c r="C3656" s="5">
        <v>46060</v>
      </c>
      <c r="D3656" t="s">
        <v>458</v>
      </c>
      <c r="E3656">
        <v>0</v>
      </c>
    </row>
    <row r="3657" spans="1:5">
      <c r="A3657">
        <v>99992</v>
      </c>
      <c r="B3657">
        <v>1830197</v>
      </c>
      <c r="C3657" s="5">
        <v>46060</v>
      </c>
      <c r="D3657" t="s">
        <v>458</v>
      </c>
      <c r="E3657">
        <v>0</v>
      </c>
    </row>
    <row r="3658" spans="1:5">
      <c r="A3658">
        <v>99993</v>
      </c>
      <c r="B3658">
        <v>1830197</v>
      </c>
      <c r="C3658" s="5">
        <v>46060</v>
      </c>
      <c r="D3658" t="s">
        <v>458</v>
      </c>
      <c r="E3658">
        <v>0</v>
      </c>
    </row>
    <row r="3659" spans="1:5">
      <c r="A3659">
        <v>99994</v>
      </c>
      <c r="B3659">
        <v>1830197</v>
      </c>
      <c r="C3659" s="5">
        <v>46060</v>
      </c>
      <c r="D3659" t="s">
        <v>458</v>
      </c>
      <c r="E3659">
        <v>0</v>
      </c>
    </row>
    <row r="3660" spans="1:5">
      <c r="A3660">
        <v>99995</v>
      </c>
      <c r="B3660">
        <v>1830197</v>
      </c>
      <c r="C3660" s="5">
        <v>46060</v>
      </c>
      <c r="D3660" t="s">
        <v>458</v>
      </c>
      <c r="E3660">
        <v>0</v>
      </c>
    </row>
    <row r="3661" spans="1:5">
      <c r="A3661">
        <v>99996</v>
      </c>
      <c r="B3661">
        <v>1830197</v>
      </c>
      <c r="C3661" s="5">
        <v>46060</v>
      </c>
      <c r="D3661" t="s">
        <v>458</v>
      </c>
      <c r="E3661">
        <v>0</v>
      </c>
    </row>
    <row r="3662" spans="1:5">
      <c r="A3662">
        <v>99999</v>
      </c>
      <c r="B3662">
        <v>1830197</v>
      </c>
      <c r="C3662" s="5">
        <v>46060</v>
      </c>
      <c r="D3662" t="s">
        <v>458</v>
      </c>
      <c r="E36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77B4-1543-464C-A64A-D35C4CEF4631}">
  <dimension ref="A1:E524"/>
  <sheetViews>
    <sheetView workbookViewId="0">
      <selection activeCell="K521" sqref="K521"/>
    </sheetView>
  </sheetViews>
  <sheetFormatPr defaultRowHeight="14.5"/>
  <cols>
    <col min="3" max="3" width="9.453125" bestFit="1" customWidth="1"/>
  </cols>
  <sheetData>
    <row r="1" spans="1:5">
      <c r="A1" t="s">
        <v>453</v>
      </c>
      <c r="B1" t="s">
        <v>454</v>
      </c>
      <c r="C1" t="s">
        <v>455</v>
      </c>
      <c r="D1" t="s">
        <v>456</v>
      </c>
      <c r="E1" t="s">
        <v>457</v>
      </c>
    </row>
    <row r="2" spans="1:5">
      <c r="A2">
        <v>1</v>
      </c>
      <c r="B2">
        <v>1830197</v>
      </c>
      <c r="C2" s="5">
        <v>46053</v>
      </c>
      <c r="D2" t="s">
        <v>459</v>
      </c>
      <c r="E2">
        <v>284</v>
      </c>
    </row>
    <row r="3" spans="1:5">
      <c r="A3">
        <v>2</v>
      </c>
      <c r="B3">
        <v>1830197</v>
      </c>
      <c r="C3" s="5">
        <v>46053</v>
      </c>
      <c r="D3" t="s">
        <v>459</v>
      </c>
      <c r="E3">
        <v>117</v>
      </c>
    </row>
    <row r="4" spans="1:5">
      <c r="A4">
        <v>3</v>
      </c>
      <c r="B4">
        <v>1830197</v>
      </c>
      <c r="C4" s="5">
        <v>46053</v>
      </c>
      <c r="D4" t="s">
        <v>459</v>
      </c>
      <c r="E4">
        <v>191</v>
      </c>
    </row>
    <row r="5" spans="1:5">
      <c r="A5">
        <v>4</v>
      </c>
      <c r="B5">
        <v>1830197</v>
      </c>
      <c r="C5" s="5">
        <v>46053</v>
      </c>
      <c r="D5" t="s">
        <v>459</v>
      </c>
      <c r="E5">
        <v>2496</v>
      </c>
    </row>
    <row r="6" spans="1:5">
      <c r="A6">
        <v>5</v>
      </c>
      <c r="B6">
        <v>1830197</v>
      </c>
      <c r="C6" s="5">
        <v>46053</v>
      </c>
      <c r="D6" t="s">
        <v>459</v>
      </c>
      <c r="E6">
        <v>3641</v>
      </c>
    </row>
    <row r="7" spans="1:5">
      <c r="A7">
        <v>6</v>
      </c>
      <c r="B7">
        <v>1830197</v>
      </c>
      <c r="C7" s="5">
        <v>46053</v>
      </c>
      <c r="D7" t="s">
        <v>459</v>
      </c>
      <c r="E7">
        <v>720</v>
      </c>
    </row>
    <row r="8" spans="1:5">
      <c r="A8">
        <v>7</v>
      </c>
      <c r="B8">
        <v>1830197</v>
      </c>
      <c r="C8" s="5">
        <v>46053</v>
      </c>
      <c r="D8" t="s">
        <v>459</v>
      </c>
      <c r="E8">
        <v>1959</v>
      </c>
    </row>
    <row r="9" spans="1:5">
      <c r="A9">
        <v>8</v>
      </c>
      <c r="B9">
        <v>1830197</v>
      </c>
      <c r="C9" s="5">
        <v>46053</v>
      </c>
      <c r="D9" t="s">
        <v>459</v>
      </c>
      <c r="E9">
        <v>0</v>
      </c>
    </row>
    <row r="10" spans="1:5">
      <c r="A10">
        <v>9</v>
      </c>
      <c r="B10">
        <v>1830197</v>
      </c>
      <c r="C10" s="5">
        <v>46053</v>
      </c>
      <c r="D10" t="s">
        <v>459</v>
      </c>
      <c r="E10">
        <v>0</v>
      </c>
    </row>
    <row r="11" spans="1:5">
      <c r="A11">
        <v>10</v>
      </c>
      <c r="B11">
        <v>1830197</v>
      </c>
      <c r="C11" s="5">
        <v>46053</v>
      </c>
      <c r="D11" t="s">
        <v>459</v>
      </c>
      <c r="E11">
        <v>130</v>
      </c>
    </row>
    <row r="12" spans="1:5">
      <c r="A12">
        <v>12</v>
      </c>
      <c r="B12">
        <v>1830197</v>
      </c>
      <c r="C12" s="5">
        <v>46053</v>
      </c>
      <c r="D12" t="s">
        <v>459</v>
      </c>
      <c r="E12">
        <v>400</v>
      </c>
    </row>
    <row r="13" spans="1:5">
      <c r="A13">
        <v>13</v>
      </c>
      <c r="B13">
        <v>1830197</v>
      </c>
      <c r="C13" s="5">
        <v>46053</v>
      </c>
      <c r="D13" t="s">
        <v>459</v>
      </c>
      <c r="E13">
        <v>6320</v>
      </c>
    </row>
    <row r="14" spans="1:5">
      <c r="A14">
        <v>19</v>
      </c>
      <c r="B14">
        <v>1830197</v>
      </c>
      <c r="C14" s="5">
        <v>46053</v>
      </c>
      <c r="D14" t="s">
        <v>459</v>
      </c>
      <c r="E14">
        <v>160</v>
      </c>
    </row>
    <row r="15" spans="1:5">
      <c r="A15">
        <v>20</v>
      </c>
      <c r="B15">
        <v>1830197</v>
      </c>
      <c r="C15" s="5">
        <v>46053</v>
      </c>
      <c r="D15" t="s">
        <v>459</v>
      </c>
      <c r="E15">
        <v>231</v>
      </c>
    </row>
    <row r="16" spans="1:5">
      <c r="A16">
        <v>21</v>
      </c>
      <c r="B16">
        <v>1830197</v>
      </c>
      <c r="C16" s="5">
        <v>46053</v>
      </c>
      <c r="D16" t="s">
        <v>459</v>
      </c>
      <c r="E16">
        <v>58</v>
      </c>
    </row>
    <row r="17" spans="1:5">
      <c r="A17">
        <v>23</v>
      </c>
      <c r="B17">
        <v>1830197</v>
      </c>
      <c r="C17" s="5">
        <v>46053</v>
      </c>
      <c r="D17" t="s">
        <v>459</v>
      </c>
      <c r="E17">
        <v>2454</v>
      </c>
    </row>
    <row r="18" spans="1:5">
      <c r="A18">
        <v>26</v>
      </c>
      <c r="B18">
        <v>1830197</v>
      </c>
      <c r="C18" s="5">
        <v>46053</v>
      </c>
      <c r="D18" t="s">
        <v>459</v>
      </c>
      <c r="E18">
        <v>10.95</v>
      </c>
    </row>
    <row r="19" spans="1:5">
      <c r="A19">
        <v>31</v>
      </c>
      <c r="B19">
        <v>1830197</v>
      </c>
      <c r="C19" s="5">
        <v>46053</v>
      </c>
      <c r="D19" t="s">
        <v>459</v>
      </c>
      <c r="E19">
        <v>0</v>
      </c>
    </row>
    <row r="20" spans="1:5">
      <c r="A20">
        <v>33</v>
      </c>
      <c r="B20">
        <v>1830197</v>
      </c>
      <c r="C20" s="5">
        <v>46053</v>
      </c>
      <c r="D20" t="s">
        <v>459</v>
      </c>
      <c r="E20">
        <v>0</v>
      </c>
    </row>
    <row r="21" spans="1:5">
      <c r="A21">
        <v>42</v>
      </c>
      <c r="B21">
        <v>1830197</v>
      </c>
      <c r="C21" s="5">
        <v>46053</v>
      </c>
      <c r="D21" t="s">
        <v>459</v>
      </c>
      <c r="E21">
        <v>0</v>
      </c>
    </row>
    <row r="22" spans="1:5">
      <c r="A22">
        <v>45</v>
      </c>
      <c r="B22">
        <v>1830197</v>
      </c>
      <c r="C22" s="5">
        <v>46053</v>
      </c>
      <c r="D22" t="s">
        <v>459</v>
      </c>
      <c r="E22">
        <v>5676</v>
      </c>
    </row>
    <row r="23" spans="1:5">
      <c r="A23">
        <v>48</v>
      </c>
      <c r="B23">
        <v>1830197</v>
      </c>
      <c r="C23" s="5">
        <v>46053</v>
      </c>
      <c r="D23" t="s">
        <v>459</v>
      </c>
      <c r="E23">
        <v>0</v>
      </c>
    </row>
    <row r="24" spans="1:5">
      <c r="A24">
        <v>50</v>
      </c>
      <c r="B24">
        <v>1830197</v>
      </c>
      <c r="C24" s="5">
        <v>46053</v>
      </c>
      <c r="D24" t="s">
        <v>459</v>
      </c>
      <c r="E24">
        <v>141</v>
      </c>
    </row>
    <row r="25" spans="1:5">
      <c r="A25">
        <v>55</v>
      </c>
      <c r="B25">
        <v>1830197</v>
      </c>
      <c r="C25" s="5">
        <v>46053</v>
      </c>
      <c r="D25" t="s">
        <v>459</v>
      </c>
      <c r="E25">
        <v>50</v>
      </c>
    </row>
    <row r="26" spans="1:5">
      <c r="A26">
        <v>56</v>
      </c>
      <c r="B26">
        <v>1830197</v>
      </c>
      <c r="C26" s="5">
        <v>46053</v>
      </c>
      <c r="D26" t="s">
        <v>459</v>
      </c>
      <c r="E26">
        <v>9.99</v>
      </c>
    </row>
    <row r="27" spans="1:5">
      <c r="A27">
        <v>62</v>
      </c>
      <c r="B27">
        <v>1830197</v>
      </c>
      <c r="C27" s="5">
        <v>46053</v>
      </c>
      <c r="D27" t="s">
        <v>459</v>
      </c>
      <c r="E27">
        <v>0</v>
      </c>
    </row>
    <row r="28" spans="1:5">
      <c r="A28">
        <v>63</v>
      </c>
      <c r="B28">
        <v>1830197</v>
      </c>
      <c r="C28" s="5">
        <v>46053</v>
      </c>
      <c r="D28" t="s">
        <v>459</v>
      </c>
      <c r="E28">
        <v>2</v>
      </c>
    </row>
    <row r="29" spans="1:5">
      <c r="A29">
        <v>65</v>
      </c>
      <c r="B29">
        <v>1830197</v>
      </c>
      <c r="C29" s="5">
        <v>46053</v>
      </c>
      <c r="D29" t="s">
        <v>459</v>
      </c>
      <c r="E29">
        <v>70</v>
      </c>
    </row>
    <row r="30" spans="1:5">
      <c r="A30">
        <v>67</v>
      </c>
      <c r="B30">
        <v>1830197</v>
      </c>
      <c r="C30" s="5">
        <v>46053</v>
      </c>
      <c r="D30" t="s">
        <v>459</v>
      </c>
      <c r="E30">
        <v>0</v>
      </c>
    </row>
    <row r="31" spans="1:5">
      <c r="A31">
        <v>69</v>
      </c>
      <c r="B31">
        <v>1830197</v>
      </c>
      <c r="C31" s="5">
        <v>46053</v>
      </c>
      <c r="D31" t="s">
        <v>459</v>
      </c>
      <c r="E31">
        <v>192</v>
      </c>
    </row>
    <row r="32" spans="1:5">
      <c r="A32">
        <v>70</v>
      </c>
      <c r="B32">
        <v>1830197</v>
      </c>
      <c r="C32" s="5">
        <v>46053</v>
      </c>
      <c r="D32" t="s">
        <v>459</v>
      </c>
      <c r="E32">
        <v>2</v>
      </c>
    </row>
    <row r="33" spans="1:5">
      <c r="A33">
        <v>76</v>
      </c>
      <c r="B33">
        <v>1830197</v>
      </c>
      <c r="C33" s="5">
        <v>46053</v>
      </c>
      <c r="D33" t="s">
        <v>459</v>
      </c>
      <c r="E33">
        <v>665</v>
      </c>
    </row>
    <row r="34" spans="1:5">
      <c r="A34">
        <v>86</v>
      </c>
      <c r="B34">
        <v>1830197</v>
      </c>
      <c r="C34" s="5">
        <v>46053</v>
      </c>
      <c r="D34" t="s">
        <v>459</v>
      </c>
      <c r="E34">
        <v>579</v>
      </c>
    </row>
    <row r="35" spans="1:5">
      <c r="A35">
        <v>90</v>
      </c>
      <c r="B35">
        <v>1830197</v>
      </c>
      <c r="C35" s="5">
        <v>46053</v>
      </c>
      <c r="D35" t="s">
        <v>459</v>
      </c>
      <c r="E35">
        <v>338</v>
      </c>
    </row>
    <row r="36" spans="1:5">
      <c r="A36">
        <v>93</v>
      </c>
      <c r="B36">
        <v>1830197</v>
      </c>
      <c r="C36" s="5">
        <v>46053</v>
      </c>
      <c r="D36" t="s">
        <v>459</v>
      </c>
      <c r="E36">
        <v>14</v>
      </c>
    </row>
    <row r="37" spans="1:5">
      <c r="A37">
        <v>94</v>
      </c>
      <c r="B37">
        <v>1830197</v>
      </c>
      <c r="C37" s="5">
        <v>46053</v>
      </c>
      <c r="D37" t="s">
        <v>459</v>
      </c>
      <c r="E37">
        <v>123</v>
      </c>
    </row>
    <row r="38" spans="1:5">
      <c r="A38">
        <v>97</v>
      </c>
      <c r="B38">
        <v>1830197</v>
      </c>
      <c r="C38" s="5">
        <v>46053</v>
      </c>
      <c r="D38" t="s">
        <v>459</v>
      </c>
      <c r="E38">
        <v>2</v>
      </c>
    </row>
    <row r="39" spans="1:5">
      <c r="A39">
        <v>98</v>
      </c>
      <c r="B39">
        <v>1830197</v>
      </c>
      <c r="C39" s="5">
        <v>46053</v>
      </c>
      <c r="D39" t="s">
        <v>459</v>
      </c>
      <c r="E39">
        <v>0</v>
      </c>
    </row>
    <row r="40" spans="1:5">
      <c r="A40">
        <v>101</v>
      </c>
      <c r="B40">
        <v>1830197</v>
      </c>
      <c r="C40" s="5">
        <v>46053</v>
      </c>
      <c r="D40" t="s">
        <v>459</v>
      </c>
      <c r="E40">
        <v>430</v>
      </c>
    </row>
    <row r="41" spans="1:5">
      <c r="A41">
        <v>102</v>
      </c>
      <c r="B41">
        <v>1830197</v>
      </c>
      <c r="C41" s="5">
        <v>46053</v>
      </c>
      <c r="D41" t="s">
        <v>459</v>
      </c>
      <c r="E41">
        <v>0</v>
      </c>
    </row>
    <row r="42" spans="1:5">
      <c r="A42">
        <v>103</v>
      </c>
      <c r="B42">
        <v>1830197</v>
      </c>
      <c r="C42" s="5">
        <v>46053</v>
      </c>
      <c r="D42" t="s">
        <v>459</v>
      </c>
      <c r="E42">
        <v>90</v>
      </c>
    </row>
    <row r="43" spans="1:5">
      <c r="A43">
        <v>109</v>
      </c>
      <c r="B43">
        <v>1830197</v>
      </c>
      <c r="C43" s="5">
        <v>46053</v>
      </c>
      <c r="D43" t="s">
        <v>459</v>
      </c>
      <c r="E43">
        <v>1100</v>
      </c>
    </row>
    <row r="44" spans="1:5">
      <c r="A44">
        <v>110</v>
      </c>
      <c r="B44">
        <v>1830197</v>
      </c>
      <c r="C44" s="5">
        <v>46053</v>
      </c>
      <c r="D44" t="s">
        <v>459</v>
      </c>
      <c r="E44">
        <v>1350</v>
      </c>
    </row>
    <row r="45" spans="1:5">
      <c r="A45">
        <v>111</v>
      </c>
      <c r="B45">
        <v>1830197</v>
      </c>
      <c r="C45" s="5">
        <v>46053</v>
      </c>
      <c r="D45" t="s">
        <v>459</v>
      </c>
      <c r="E45">
        <v>375</v>
      </c>
    </row>
    <row r="46" spans="1:5">
      <c r="A46">
        <v>116</v>
      </c>
      <c r="B46">
        <v>1830197</v>
      </c>
      <c r="C46" s="5">
        <v>46053</v>
      </c>
      <c r="D46" t="s">
        <v>459</v>
      </c>
      <c r="E46">
        <v>4650</v>
      </c>
    </row>
    <row r="47" spans="1:5">
      <c r="A47">
        <v>117</v>
      </c>
      <c r="B47">
        <v>1830197</v>
      </c>
      <c r="C47" s="5">
        <v>46053</v>
      </c>
      <c r="D47" t="s">
        <v>459</v>
      </c>
      <c r="E47">
        <v>18490</v>
      </c>
    </row>
    <row r="48" spans="1:5">
      <c r="A48">
        <v>118</v>
      </c>
      <c r="B48">
        <v>1830197</v>
      </c>
      <c r="C48" s="5">
        <v>46053</v>
      </c>
      <c r="D48" t="s">
        <v>459</v>
      </c>
      <c r="E48">
        <v>0</v>
      </c>
    </row>
    <row r="49" spans="1:5">
      <c r="A49">
        <v>127</v>
      </c>
      <c r="B49">
        <v>1830197</v>
      </c>
      <c r="C49" s="5">
        <v>46053</v>
      </c>
      <c r="D49" t="s">
        <v>459</v>
      </c>
      <c r="E49">
        <v>5620</v>
      </c>
    </row>
    <row r="50" spans="1:5">
      <c r="A50">
        <v>128</v>
      </c>
      <c r="B50">
        <v>1830197</v>
      </c>
      <c r="C50" s="5">
        <v>46053</v>
      </c>
      <c r="D50" t="s">
        <v>459</v>
      </c>
      <c r="E50">
        <v>80</v>
      </c>
    </row>
    <row r="51" spans="1:5">
      <c r="A51">
        <v>131</v>
      </c>
      <c r="B51">
        <v>1830197</v>
      </c>
      <c r="C51" s="5">
        <v>46053</v>
      </c>
      <c r="D51" t="s">
        <v>459</v>
      </c>
      <c r="E51">
        <v>1000</v>
      </c>
    </row>
    <row r="52" spans="1:5">
      <c r="A52">
        <v>141</v>
      </c>
      <c r="B52">
        <v>1830197</v>
      </c>
      <c r="C52" s="5">
        <v>46053</v>
      </c>
      <c r="D52" t="s">
        <v>459</v>
      </c>
      <c r="E52">
        <v>0</v>
      </c>
    </row>
    <row r="53" spans="1:5">
      <c r="A53">
        <v>142</v>
      </c>
      <c r="B53">
        <v>1830197</v>
      </c>
      <c r="C53" s="5">
        <v>46053</v>
      </c>
      <c r="D53" t="s">
        <v>459</v>
      </c>
      <c r="E53">
        <v>0</v>
      </c>
    </row>
    <row r="54" spans="1:5">
      <c r="A54">
        <v>143</v>
      </c>
      <c r="B54">
        <v>1830197</v>
      </c>
      <c r="C54" s="5">
        <v>46053</v>
      </c>
      <c r="D54" t="s">
        <v>459</v>
      </c>
      <c r="E54">
        <v>750</v>
      </c>
    </row>
    <row r="55" spans="1:5">
      <c r="A55">
        <v>155</v>
      </c>
      <c r="B55">
        <v>1830197</v>
      </c>
      <c r="C55" s="5">
        <v>46053</v>
      </c>
      <c r="D55" t="s">
        <v>459</v>
      </c>
      <c r="E55">
        <v>3311</v>
      </c>
    </row>
    <row r="56" spans="1:5">
      <c r="A56">
        <v>163</v>
      </c>
      <c r="B56">
        <v>1830197</v>
      </c>
      <c r="C56" s="5">
        <v>46053</v>
      </c>
      <c r="D56" t="s">
        <v>459</v>
      </c>
      <c r="E56">
        <v>5800</v>
      </c>
    </row>
    <row r="57" spans="1:5">
      <c r="A57">
        <v>166</v>
      </c>
      <c r="B57">
        <v>1830197</v>
      </c>
      <c r="C57" s="5">
        <v>46053</v>
      </c>
      <c r="D57" t="s">
        <v>459</v>
      </c>
      <c r="E57">
        <v>1802</v>
      </c>
    </row>
    <row r="58" spans="1:5">
      <c r="A58">
        <v>168</v>
      </c>
      <c r="B58">
        <v>1830197</v>
      </c>
      <c r="C58" s="5">
        <v>46053</v>
      </c>
      <c r="D58" t="s">
        <v>459</v>
      </c>
      <c r="E58">
        <v>78</v>
      </c>
    </row>
    <row r="59" spans="1:5">
      <c r="A59">
        <v>170</v>
      </c>
      <c r="B59">
        <v>1830197</v>
      </c>
      <c r="C59" s="5">
        <v>46053</v>
      </c>
      <c r="D59" t="s">
        <v>459</v>
      </c>
      <c r="E59">
        <v>0</v>
      </c>
    </row>
    <row r="60" spans="1:5">
      <c r="A60">
        <v>187</v>
      </c>
      <c r="B60">
        <v>1830197</v>
      </c>
      <c r="C60" s="5">
        <v>46053</v>
      </c>
      <c r="D60" t="s">
        <v>459</v>
      </c>
      <c r="E60">
        <v>113</v>
      </c>
    </row>
    <row r="61" spans="1:5">
      <c r="A61">
        <v>193</v>
      </c>
      <c r="B61">
        <v>1830197</v>
      </c>
      <c r="C61" s="5">
        <v>46053</v>
      </c>
      <c r="D61" t="s">
        <v>459</v>
      </c>
      <c r="E61">
        <v>30249</v>
      </c>
    </row>
    <row r="62" spans="1:5">
      <c r="A62">
        <v>205</v>
      </c>
      <c r="B62">
        <v>1830197</v>
      </c>
      <c r="C62" s="5">
        <v>46053</v>
      </c>
      <c r="D62" t="s">
        <v>459</v>
      </c>
      <c r="E62">
        <v>0</v>
      </c>
    </row>
    <row r="63" spans="1:5">
      <c r="A63">
        <v>206</v>
      </c>
      <c r="B63">
        <v>1830197</v>
      </c>
      <c r="C63" s="5">
        <v>46053</v>
      </c>
      <c r="D63" t="s">
        <v>459</v>
      </c>
      <c r="E63">
        <v>114</v>
      </c>
    </row>
    <row r="64" spans="1:5">
      <c r="A64">
        <v>209</v>
      </c>
      <c r="B64">
        <v>1830197</v>
      </c>
      <c r="C64" s="5">
        <v>46053</v>
      </c>
      <c r="D64" t="s">
        <v>459</v>
      </c>
      <c r="E64">
        <v>0</v>
      </c>
    </row>
    <row r="65" spans="1:5">
      <c r="A65">
        <v>210</v>
      </c>
      <c r="B65">
        <v>1830197</v>
      </c>
      <c r="C65" s="5">
        <v>46053</v>
      </c>
      <c r="D65" t="s">
        <v>459</v>
      </c>
      <c r="E65">
        <v>234</v>
      </c>
    </row>
    <row r="66" spans="1:5">
      <c r="A66">
        <v>223</v>
      </c>
      <c r="B66">
        <v>1830197</v>
      </c>
      <c r="C66" s="5">
        <v>46053</v>
      </c>
      <c r="D66" t="s">
        <v>459</v>
      </c>
      <c r="E66">
        <v>33780</v>
      </c>
    </row>
    <row r="67" spans="1:5">
      <c r="A67">
        <v>247</v>
      </c>
      <c r="B67">
        <v>1830197</v>
      </c>
      <c r="C67" s="5">
        <v>46053</v>
      </c>
      <c r="D67" t="s">
        <v>459</v>
      </c>
      <c r="E67">
        <v>120</v>
      </c>
    </row>
    <row r="68" spans="1:5">
      <c r="A68">
        <v>253</v>
      </c>
      <c r="B68">
        <v>1830197</v>
      </c>
      <c r="C68" s="5">
        <v>46053</v>
      </c>
      <c r="D68" t="s">
        <v>459</v>
      </c>
      <c r="E68">
        <v>15</v>
      </c>
    </row>
    <row r="69" spans="1:5">
      <c r="A69">
        <v>254</v>
      </c>
      <c r="B69">
        <v>1830197</v>
      </c>
      <c r="C69" s="5">
        <v>46053</v>
      </c>
      <c r="D69" t="s">
        <v>459</v>
      </c>
      <c r="E69">
        <v>3330</v>
      </c>
    </row>
    <row r="70" spans="1:5">
      <c r="A70">
        <v>261</v>
      </c>
      <c r="B70">
        <v>1830197</v>
      </c>
      <c r="C70" s="5">
        <v>46053</v>
      </c>
      <c r="D70" t="s">
        <v>459</v>
      </c>
      <c r="E70">
        <v>700</v>
      </c>
    </row>
    <row r="71" spans="1:5">
      <c r="A71">
        <v>262</v>
      </c>
      <c r="B71">
        <v>1830197</v>
      </c>
      <c r="C71" s="5">
        <v>46053</v>
      </c>
      <c r="D71" t="s">
        <v>459</v>
      </c>
      <c r="E71">
        <v>0</v>
      </c>
    </row>
    <row r="72" spans="1:5">
      <c r="A72">
        <v>268</v>
      </c>
      <c r="B72">
        <v>1830197</v>
      </c>
      <c r="C72" s="5">
        <v>46053</v>
      </c>
      <c r="D72" t="s">
        <v>459</v>
      </c>
      <c r="E72">
        <v>2315</v>
      </c>
    </row>
    <row r="73" spans="1:5">
      <c r="A73">
        <v>269</v>
      </c>
      <c r="B73">
        <v>1830197</v>
      </c>
      <c r="C73" s="5">
        <v>46053</v>
      </c>
      <c r="D73" t="s">
        <v>459</v>
      </c>
      <c r="E73">
        <v>2520</v>
      </c>
    </row>
    <row r="74" spans="1:5">
      <c r="A74">
        <v>284</v>
      </c>
      <c r="B74">
        <v>1830197</v>
      </c>
      <c r="C74" s="5">
        <v>46053</v>
      </c>
      <c r="D74" t="s">
        <v>459</v>
      </c>
      <c r="E74">
        <v>1129</v>
      </c>
    </row>
    <row r="75" spans="1:5">
      <c r="A75">
        <v>285</v>
      </c>
      <c r="B75">
        <v>1830197</v>
      </c>
      <c r="C75" s="5">
        <v>46053</v>
      </c>
      <c r="D75" t="s">
        <v>459</v>
      </c>
      <c r="E75">
        <v>4500</v>
      </c>
    </row>
    <row r="76" spans="1:5">
      <c r="A76">
        <v>288</v>
      </c>
      <c r="B76">
        <v>1830197</v>
      </c>
      <c r="C76" s="5">
        <v>46053</v>
      </c>
      <c r="D76" t="s">
        <v>459</v>
      </c>
      <c r="E76">
        <v>1340</v>
      </c>
    </row>
    <row r="77" spans="1:5">
      <c r="A77">
        <v>289</v>
      </c>
      <c r="B77">
        <v>1830197</v>
      </c>
      <c r="C77" s="5">
        <v>46053</v>
      </c>
      <c r="D77" t="s">
        <v>459</v>
      </c>
      <c r="E77">
        <v>0</v>
      </c>
    </row>
    <row r="78" spans="1:5">
      <c r="A78">
        <v>295</v>
      </c>
      <c r="B78">
        <v>1830197</v>
      </c>
      <c r="C78" s="5">
        <v>46053</v>
      </c>
      <c r="D78" t="s">
        <v>459</v>
      </c>
      <c r="E78">
        <v>1019</v>
      </c>
    </row>
    <row r="79" spans="1:5">
      <c r="A79">
        <v>300</v>
      </c>
      <c r="B79">
        <v>1830197</v>
      </c>
      <c r="C79" s="5">
        <v>46053</v>
      </c>
      <c r="D79" t="s">
        <v>459</v>
      </c>
      <c r="E79">
        <v>0</v>
      </c>
    </row>
    <row r="80" spans="1:5">
      <c r="A80">
        <v>311</v>
      </c>
      <c r="B80">
        <v>1830197</v>
      </c>
      <c r="C80" s="5">
        <v>46053</v>
      </c>
      <c r="D80" t="s">
        <v>459</v>
      </c>
      <c r="E80">
        <v>0</v>
      </c>
    </row>
    <row r="81" spans="1:5">
      <c r="A81">
        <v>330</v>
      </c>
      <c r="B81">
        <v>1830197</v>
      </c>
      <c r="C81" s="5">
        <v>46053</v>
      </c>
      <c r="D81" t="s">
        <v>459</v>
      </c>
      <c r="E81">
        <v>2670</v>
      </c>
    </row>
    <row r="82" spans="1:5">
      <c r="A82">
        <v>335</v>
      </c>
      <c r="B82">
        <v>1830197</v>
      </c>
      <c r="C82" s="5">
        <v>46053</v>
      </c>
      <c r="D82" t="s">
        <v>459</v>
      </c>
      <c r="E82">
        <v>459</v>
      </c>
    </row>
    <row r="83" spans="1:5">
      <c r="A83">
        <v>336</v>
      </c>
      <c r="B83">
        <v>1830197</v>
      </c>
      <c r="C83" s="5">
        <v>46053</v>
      </c>
      <c r="D83" t="s">
        <v>459</v>
      </c>
      <c r="E83">
        <v>0</v>
      </c>
    </row>
    <row r="84" spans="1:5">
      <c r="A84">
        <v>337</v>
      </c>
      <c r="B84">
        <v>1830197</v>
      </c>
      <c r="C84" s="5">
        <v>46053</v>
      </c>
      <c r="D84" t="s">
        <v>459</v>
      </c>
      <c r="E84">
        <v>0</v>
      </c>
    </row>
    <row r="85" spans="1:5">
      <c r="A85">
        <v>382</v>
      </c>
      <c r="B85">
        <v>1830197</v>
      </c>
      <c r="C85" s="5">
        <v>46053</v>
      </c>
      <c r="D85" t="s">
        <v>459</v>
      </c>
      <c r="E85">
        <v>30</v>
      </c>
    </row>
    <row r="86" spans="1:5">
      <c r="A86">
        <v>385</v>
      </c>
      <c r="B86">
        <v>1830197</v>
      </c>
      <c r="C86" s="5">
        <v>46053</v>
      </c>
      <c r="D86" t="s">
        <v>459</v>
      </c>
      <c r="E86">
        <v>5968</v>
      </c>
    </row>
    <row r="87" spans="1:5">
      <c r="A87">
        <v>386</v>
      </c>
      <c r="B87">
        <v>1830197</v>
      </c>
      <c r="C87" s="5">
        <v>46053</v>
      </c>
      <c r="D87" t="s">
        <v>459</v>
      </c>
      <c r="E87">
        <v>999</v>
      </c>
    </row>
    <row r="88" spans="1:5">
      <c r="A88">
        <v>391</v>
      </c>
      <c r="B88">
        <v>1830197</v>
      </c>
      <c r="C88" s="5">
        <v>46053</v>
      </c>
      <c r="D88" t="s">
        <v>459</v>
      </c>
      <c r="E88">
        <v>0</v>
      </c>
    </row>
    <row r="89" spans="1:5">
      <c r="A89">
        <v>397</v>
      </c>
      <c r="B89">
        <v>1830197</v>
      </c>
      <c r="C89" s="5">
        <v>46053</v>
      </c>
      <c r="D89" t="s">
        <v>459</v>
      </c>
      <c r="E89">
        <v>769</v>
      </c>
    </row>
    <row r="90" spans="1:5">
      <c r="A90">
        <v>398</v>
      </c>
      <c r="B90">
        <v>1830197</v>
      </c>
      <c r="C90" s="5">
        <v>46053</v>
      </c>
      <c r="D90" t="s">
        <v>459</v>
      </c>
      <c r="E90">
        <v>6000</v>
      </c>
    </row>
    <row r="91" spans="1:5">
      <c r="A91">
        <v>406</v>
      </c>
      <c r="B91">
        <v>1830197</v>
      </c>
      <c r="C91" s="5">
        <v>46053</v>
      </c>
      <c r="D91" t="s">
        <v>459</v>
      </c>
      <c r="E91">
        <v>18</v>
      </c>
    </row>
    <row r="92" spans="1:5">
      <c r="A92">
        <v>407</v>
      </c>
      <c r="B92">
        <v>1830197</v>
      </c>
      <c r="C92" s="5">
        <v>46053</v>
      </c>
      <c r="D92" t="s">
        <v>459</v>
      </c>
      <c r="E92">
        <v>17139</v>
      </c>
    </row>
    <row r="93" spans="1:5">
      <c r="A93">
        <v>408</v>
      </c>
      <c r="B93">
        <v>1830197</v>
      </c>
      <c r="C93" s="5">
        <v>46053</v>
      </c>
      <c r="D93" t="s">
        <v>459</v>
      </c>
      <c r="E93">
        <v>552</v>
      </c>
    </row>
    <row r="94" spans="1:5">
      <c r="A94">
        <v>409</v>
      </c>
      <c r="B94">
        <v>1830197</v>
      </c>
      <c r="C94" s="5">
        <v>46053</v>
      </c>
      <c r="D94" t="s">
        <v>459</v>
      </c>
      <c r="E94">
        <v>0</v>
      </c>
    </row>
    <row r="95" spans="1:5">
      <c r="A95">
        <v>410</v>
      </c>
      <c r="B95">
        <v>1830197</v>
      </c>
      <c r="C95" s="5">
        <v>46053</v>
      </c>
      <c r="D95" t="s">
        <v>459</v>
      </c>
      <c r="E95">
        <v>1000</v>
      </c>
    </row>
    <row r="96" spans="1:5">
      <c r="A96">
        <v>419</v>
      </c>
      <c r="B96">
        <v>1830197</v>
      </c>
      <c r="C96" s="5">
        <v>46053</v>
      </c>
      <c r="D96" t="s">
        <v>459</v>
      </c>
      <c r="E96">
        <v>1776</v>
      </c>
    </row>
    <row r="97" spans="1:5">
      <c r="A97">
        <v>472</v>
      </c>
      <c r="B97">
        <v>1830197</v>
      </c>
      <c r="C97" s="5">
        <v>46053</v>
      </c>
      <c r="D97" t="s">
        <v>459</v>
      </c>
      <c r="E97">
        <v>0</v>
      </c>
    </row>
    <row r="98" spans="1:5">
      <c r="A98">
        <v>483</v>
      </c>
      <c r="B98">
        <v>1830197</v>
      </c>
      <c r="C98" s="5">
        <v>46053</v>
      </c>
      <c r="D98" t="s">
        <v>459</v>
      </c>
      <c r="E98">
        <v>1174</v>
      </c>
    </row>
    <row r="99" spans="1:5">
      <c r="A99">
        <v>591</v>
      </c>
      <c r="B99">
        <v>1830197</v>
      </c>
      <c r="C99" s="5">
        <v>46053</v>
      </c>
      <c r="D99" t="s">
        <v>459</v>
      </c>
      <c r="E99">
        <v>215</v>
      </c>
    </row>
    <row r="100" spans="1:5">
      <c r="A100">
        <v>592</v>
      </c>
      <c r="B100">
        <v>1830197</v>
      </c>
      <c r="C100" s="5">
        <v>46053</v>
      </c>
      <c r="D100" t="s">
        <v>459</v>
      </c>
      <c r="E100">
        <v>196</v>
      </c>
    </row>
    <row r="101" spans="1:5">
      <c r="A101">
        <v>609</v>
      </c>
      <c r="B101">
        <v>1830197</v>
      </c>
      <c r="C101" s="5">
        <v>46053</v>
      </c>
      <c r="D101" t="s">
        <v>459</v>
      </c>
      <c r="E101">
        <v>6762</v>
      </c>
    </row>
    <row r="102" spans="1:5">
      <c r="A102">
        <v>708</v>
      </c>
      <c r="B102">
        <v>1830197</v>
      </c>
      <c r="C102" s="5">
        <v>46053</v>
      </c>
      <c r="D102" t="s">
        <v>459</v>
      </c>
      <c r="E102">
        <v>122</v>
      </c>
    </row>
    <row r="103" spans="1:5">
      <c r="A103">
        <v>731</v>
      </c>
      <c r="B103">
        <v>1830197</v>
      </c>
      <c r="C103" s="5">
        <v>46053</v>
      </c>
      <c r="D103" t="s">
        <v>459</v>
      </c>
      <c r="E103">
        <v>0</v>
      </c>
    </row>
    <row r="104" spans="1:5">
      <c r="A104">
        <v>736</v>
      </c>
      <c r="B104">
        <v>1830197</v>
      </c>
      <c r="C104" s="5">
        <v>46053</v>
      </c>
      <c r="D104" t="s">
        <v>459</v>
      </c>
      <c r="E104">
        <v>250</v>
      </c>
    </row>
    <row r="105" spans="1:5">
      <c r="A105">
        <v>803</v>
      </c>
      <c r="B105">
        <v>1830197</v>
      </c>
      <c r="C105" s="5">
        <v>46053</v>
      </c>
      <c r="D105" t="s">
        <v>459</v>
      </c>
      <c r="E105">
        <v>0</v>
      </c>
    </row>
    <row r="106" spans="1:5">
      <c r="A106">
        <v>804</v>
      </c>
      <c r="B106">
        <v>1830197</v>
      </c>
      <c r="C106" s="5">
        <v>46053</v>
      </c>
      <c r="D106" t="s">
        <v>459</v>
      </c>
      <c r="E106">
        <v>0</v>
      </c>
    </row>
    <row r="107" spans="1:5">
      <c r="A107">
        <v>808</v>
      </c>
      <c r="B107">
        <v>1830197</v>
      </c>
      <c r="C107" s="5">
        <v>46053</v>
      </c>
      <c r="D107" t="s">
        <v>459</v>
      </c>
      <c r="E107">
        <v>1180</v>
      </c>
    </row>
    <row r="108" spans="1:5">
      <c r="A108">
        <v>821</v>
      </c>
      <c r="B108">
        <v>1830197</v>
      </c>
      <c r="C108" s="5">
        <v>46053</v>
      </c>
      <c r="D108" t="s">
        <v>459</v>
      </c>
      <c r="E108">
        <v>325</v>
      </c>
    </row>
    <row r="109" spans="1:5">
      <c r="A109">
        <v>880</v>
      </c>
      <c r="B109">
        <v>1830197</v>
      </c>
      <c r="C109" s="5">
        <v>46053</v>
      </c>
      <c r="D109" t="s">
        <v>459</v>
      </c>
      <c r="E109">
        <v>0</v>
      </c>
    </row>
    <row r="110" spans="1:5">
      <c r="A110">
        <v>894</v>
      </c>
      <c r="B110">
        <v>1830197</v>
      </c>
      <c r="C110" s="5">
        <v>46053</v>
      </c>
      <c r="D110" t="s">
        <v>459</v>
      </c>
      <c r="E110">
        <v>2038</v>
      </c>
    </row>
    <row r="111" spans="1:5">
      <c r="A111">
        <v>994</v>
      </c>
      <c r="B111">
        <v>1830197</v>
      </c>
      <c r="C111" s="5">
        <v>46053</v>
      </c>
      <c r="D111" t="s">
        <v>459</v>
      </c>
      <c r="E111">
        <v>0</v>
      </c>
    </row>
    <row r="112" spans="1:5">
      <c r="A112">
        <v>995</v>
      </c>
      <c r="B112">
        <v>1830197</v>
      </c>
      <c r="C112" s="5">
        <v>46053</v>
      </c>
      <c r="D112" t="s">
        <v>459</v>
      </c>
      <c r="E112">
        <v>0</v>
      </c>
    </row>
    <row r="113" spans="1:5">
      <c r="A113">
        <v>996</v>
      </c>
      <c r="B113">
        <v>1830197</v>
      </c>
      <c r="C113" s="5">
        <v>46053</v>
      </c>
      <c r="D113" t="s">
        <v>459</v>
      </c>
      <c r="E113">
        <v>0</v>
      </c>
    </row>
    <row r="114" spans="1:5">
      <c r="A114">
        <v>997</v>
      </c>
      <c r="B114">
        <v>1830197</v>
      </c>
      <c r="C114" s="5">
        <v>46053</v>
      </c>
      <c r="D114" t="s">
        <v>459</v>
      </c>
      <c r="E114">
        <v>0</v>
      </c>
    </row>
    <row r="115" spans="1:5">
      <c r="A115">
        <v>1007</v>
      </c>
      <c r="B115">
        <v>1830197</v>
      </c>
      <c r="C115" s="5">
        <v>46053</v>
      </c>
      <c r="D115" t="s">
        <v>459</v>
      </c>
      <c r="E115">
        <v>20.84</v>
      </c>
    </row>
    <row r="116" spans="1:5">
      <c r="A116">
        <v>1116</v>
      </c>
      <c r="B116">
        <v>1830197</v>
      </c>
      <c r="C116" s="5">
        <v>46053</v>
      </c>
      <c r="D116" t="s">
        <v>459</v>
      </c>
      <c r="E116">
        <v>190</v>
      </c>
    </row>
    <row r="117" spans="1:5">
      <c r="A117">
        <v>1125</v>
      </c>
      <c r="B117">
        <v>1830197</v>
      </c>
      <c r="C117" s="5">
        <v>46053</v>
      </c>
      <c r="D117" t="s">
        <v>459</v>
      </c>
      <c r="E117">
        <v>560</v>
      </c>
    </row>
    <row r="118" spans="1:5">
      <c r="A118">
        <v>1127</v>
      </c>
      <c r="B118">
        <v>1830197</v>
      </c>
      <c r="C118" s="5">
        <v>46053</v>
      </c>
      <c r="D118" t="s">
        <v>459</v>
      </c>
      <c r="E118">
        <v>0</v>
      </c>
    </row>
    <row r="119" spans="1:5">
      <c r="A119">
        <v>1131</v>
      </c>
      <c r="B119">
        <v>1830197</v>
      </c>
      <c r="C119" s="5">
        <v>46053</v>
      </c>
      <c r="D119" t="s">
        <v>459</v>
      </c>
      <c r="E119">
        <v>0</v>
      </c>
    </row>
    <row r="120" spans="1:5">
      <c r="A120">
        <v>1139</v>
      </c>
      <c r="B120">
        <v>1830197</v>
      </c>
      <c r="C120" s="5">
        <v>46053</v>
      </c>
      <c r="D120" t="s">
        <v>459</v>
      </c>
      <c r="E120">
        <v>9135</v>
      </c>
    </row>
    <row r="121" spans="1:5">
      <c r="A121">
        <v>1146</v>
      </c>
      <c r="B121">
        <v>1830197</v>
      </c>
      <c r="C121" s="5">
        <v>46053</v>
      </c>
      <c r="D121" t="s">
        <v>459</v>
      </c>
      <c r="E121">
        <v>1186</v>
      </c>
    </row>
    <row r="122" spans="1:5">
      <c r="A122">
        <v>1179</v>
      </c>
      <c r="B122">
        <v>1830197</v>
      </c>
      <c r="C122" s="5">
        <v>46053</v>
      </c>
      <c r="D122" t="s">
        <v>459</v>
      </c>
      <c r="E122">
        <v>20</v>
      </c>
    </row>
    <row r="123" spans="1:5">
      <c r="A123">
        <v>1224</v>
      </c>
      <c r="B123">
        <v>1830197</v>
      </c>
      <c r="C123" s="5">
        <v>46053</v>
      </c>
      <c r="D123" t="s">
        <v>459</v>
      </c>
      <c r="E123">
        <v>0</v>
      </c>
    </row>
    <row r="124" spans="1:5">
      <c r="A124">
        <v>1242</v>
      </c>
      <c r="B124">
        <v>1830197</v>
      </c>
      <c r="C124" s="5">
        <v>46053</v>
      </c>
      <c r="D124" t="s">
        <v>459</v>
      </c>
      <c r="E124">
        <v>912</v>
      </c>
    </row>
    <row r="125" spans="1:5">
      <c r="A125">
        <v>1243</v>
      </c>
      <c r="B125">
        <v>1830197</v>
      </c>
      <c r="C125" s="5">
        <v>46053</v>
      </c>
      <c r="D125" t="s">
        <v>459</v>
      </c>
      <c r="E125">
        <v>0</v>
      </c>
    </row>
    <row r="126" spans="1:5">
      <c r="A126">
        <v>1244</v>
      </c>
      <c r="B126">
        <v>1830197</v>
      </c>
      <c r="C126" s="5">
        <v>46053</v>
      </c>
      <c r="D126" t="s">
        <v>459</v>
      </c>
      <c r="E126">
        <v>0</v>
      </c>
    </row>
    <row r="127" spans="1:5">
      <c r="A127">
        <v>1245</v>
      </c>
      <c r="B127">
        <v>1830197</v>
      </c>
      <c r="C127" s="5">
        <v>46053</v>
      </c>
      <c r="D127" t="s">
        <v>459</v>
      </c>
      <c r="E127">
        <v>0</v>
      </c>
    </row>
    <row r="128" spans="1:5">
      <c r="A128">
        <v>1394</v>
      </c>
      <c r="B128">
        <v>1830197</v>
      </c>
      <c r="C128" s="5">
        <v>46053</v>
      </c>
      <c r="D128" t="s">
        <v>459</v>
      </c>
      <c r="E128">
        <v>0</v>
      </c>
    </row>
    <row r="129" spans="1:5">
      <c r="A129">
        <v>1441</v>
      </c>
      <c r="B129">
        <v>1830197</v>
      </c>
      <c r="C129" s="5">
        <v>46053</v>
      </c>
      <c r="D129" t="s">
        <v>459</v>
      </c>
      <c r="E129">
        <v>1230</v>
      </c>
    </row>
    <row r="130" spans="1:5">
      <c r="A130">
        <v>1494</v>
      </c>
      <c r="B130">
        <v>1830197</v>
      </c>
      <c r="C130" s="5">
        <v>46053</v>
      </c>
      <c r="D130" t="s">
        <v>459</v>
      </c>
      <c r="E130">
        <v>0</v>
      </c>
    </row>
    <row r="131" spans="1:5">
      <c r="A131">
        <v>1503</v>
      </c>
      <c r="B131">
        <v>1830197</v>
      </c>
      <c r="C131" s="5">
        <v>46053</v>
      </c>
      <c r="D131" t="s">
        <v>459</v>
      </c>
      <c r="E131">
        <v>2.5</v>
      </c>
    </row>
    <row r="132" spans="1:5">
      <c r="A132">
        <v>1541</v>
      </c>
      <c r="B132">
        <v>1830197</v>
      </c>
      <c r="C132" s="5">
        <v>46053</v>
      </c>
      <c r="D132" t="s">
        <v>459</v>
      </c>
      <c r="E132">
        <v>500</v>
      </c>
    </row>
    <row r="133" spans="1:5">
      <c r="A133">
        <v>1637</v>
      </c>
      <c r="B133">
        <v>1830197</v>
      </c>
      <c r="C133" s="5">
        <v>46053</v>
      </c>
      <c r="D133" t="s">
        <v>459</v>
      </c>
      <c r="E133">
        <v>4598</v>
      </c>
    </row>
    <row r="134" spans="1:5">
      <c r="A134">
        <v>1782</v>
      </c>
      <c r="B134">
        <v>1830197</v>
      </c>
      <c r="C134" s="5">
        <v>46053</v>
      </c>
      <c r="D134" t="s">
        <v>459</v>
      </c>
      <c r="E134">
        <v>0</v>
      </c>
    </row>
    <row r="135" spans="1:5">
      <c r="A135">
        <v>1798</v>
      </c>
      <c r="B135">
        <v>1830197</v>
      </c>
      <c r="C135" s="5">
        <v>46053</v>
      </c>
      <c r="D135" t="s">
        <v>459</v>
      </c>
      <c r="E135">
        <v>0</v>
      </c>
    </row>
    <row r="136" spans="1:5">
      <c r="A136">
        <v>1799</v>
      </c>
      <c r="B136">
        <v>1830197</v>
      </c>
      <c r="C136" s="5">
        <v>46053</v>
      </c>
      <c r="D136" t="s">
        <v>459</v>
      </c>
      <c r="E136">
        <v>0</v>
      </c>
    </row>
    <row r="137" spans="1:5">
      <c r="A137">
        <v>1811</v>
      </c>
      <c r="B137">
        <v>1830197</v>
      </c>
      <c r="C137" s="5">
        <v>46053</v>
      </c>
      <c r="D137" t="s">
        <v>459</v>
      </c>
      <c r="E137">
        <v>332</v>
      </c>
    </row>
    <row r="138" spans="1:5">
      <c r="A138">
        <v>1812</v>
      </c>
      <c r="B138">
        <v>1830197</v>
      </c>
      <c r="C138" s="5">
        <v>46053</v>
      </c>
      <c r="D138" t="s">
        <v>459</v>
      </c>
      <c r="E138">
        <v>3170</v>
      </c>
    </row>
    <row r="139" spans="1:5">
      <c r="A139">
        <v>1850</v>
      </c>
      <c r="B139">
        <v>1830197</v>
      </c>
      <c r="C139" s="5">
        <v>46053</v>
      </c>
      <c r="D139" t="s">
        <v>459</v>
      </c>
      <c r="E139">
        <v>0</v>
      </c>
    </row>
    <row r="140" spans="1:5">
      <c r="A140">
        <v>1863</v>
      </c>
      <c r="B140">
        <v>1830197</v>
      </c>
      <c r="C140" s="5">
        <v>46053</v>
      </c>
      <c r="D140" t="s">
        <v>459</v>
      </c>
      <c r="E140">
        <v>0</v>
      </c>
    </row>
    <row r="141" spans="1:5">
      <c r="A141">
        <v>1870</v>
      </c>
      <c r="B141">
        <v>1830197</v>
      </c>
      <c r="C141" s="5">
        <v>46053</v>
      </c>
      <c r="D141" t="s">
        <v>459</v>
      </c>
      <c r="E141">
        <v>0</v>
      </c>
    </row>
    <row r="142" spans="1:5">
      <c r="A142">
        <v>1912</v>
      </c>
      <c r="B142">
        <v>1830197</v>
      </c>
      <c r="C142" s="5">
        <v>46053</v>
      </c>
      <c r="D142" t="s">
        <v>459</v>
      </c>
      <c r="E142">
        <v>0</v>
      </c>
    </row>
    <row r="143" spans="1:5">
      <c r="A143">
        <v>2016</v>
      </c>
      <c r="B143">
        <v>1830197</v>
      </c>
      <c r="C143" s="5">
        <v>46053</v>
      </c>
      <c r="D143" t="s">
        <v>459</v>
      </c>
      <c r="E143">
        <v>0</v>
      </c>
    </row>
    <row r="144" spans="1:5">
      <c r="A144">
        <v>2254</v>
      </c>
      <c r="B144">
        <v>1830197</v>
      </c>
      <c r="C144" s="5">
        <v>46053</v>
      </c>
      <c r="D144" t="s">
        <v>459</v>
      </c>
      <c r="E144">
        <v>62</v>
      </c>
    </row>
    <row r="145" spans="1:5">
      <c r="A145">
        <v>2255</v>
      </c>
      <c r="B145">
        <v>1830197</v>
      </c>
      <c r="C145" s="5">
        <v>46053</v>
      </c>
      <c r="D145" t="s">
        <v>459</v>
      </c>
      <c r="E145">
        <v>302</v>
      </c>
    </row>
    <row r="146" spans="1:5">
      <c r="A146">
        <v>2399</v>
      </c>
      <c r="B146">
        <v>1830197</v>
      </c>
      <c r="C146" s="5">
        <v>46053</v>
      </c>
      <c r="D146" t="s">
        <v>459</v>
      </c>
      <c r="E146">
        <v>66</v>
      </c>
    </row>
    <row r="147" spans="1:5">
      <c r="A147">
        <v>2441</v>
      </c>
      <c r="B147">
        <v>1830197</v>
      </c>
      <c r="C147" s="5">
        <v>46053</v>
      </c>
      <c r="D147" t="s">
        <v>459</v>
      </c>
      <c r="E147">
        <v>0</v>
      </c>
    </row>
    <row r="148" spans="1:5">
      <c r="A148">
        <v>2442</v>
      </c>
      <c r="B148">
        <v>1830197</v>
      </c>
      <c r="C148" s="5">
        <v>46053</v>
      </c>
      <c r="D148" t="s">
        <v>459</v>
      </c>
      <c r="E148">
        <v>0</v>
      </c>
    </row>
    <row r="149" spans="1:5">
      <c r="A149">
        <v>2481</v>
      </c>
      <c r="B149">
        <v>1830197</v>
      </c>
      <c r="C149" s="5">
        <v>46053</v>
      </c>
      <c r="D149" t="s">
        <v>459</v>
      </c>
      <c r="E149">
        <v>1.48</v>
      </c>
    </row>
    <row r="150" spans="1:5">
      <c r="A150">
        <v>2540</v>
      </c>
      <c r="B150">
        <v>1830197</v>
      </c>
      <c r="C150" s="5">
        <v>46053</v>
      </c>
      <c r="D150" t="s">
        <v>459</v>
      </c>
      <c r="E150">
        <v>940</v>
      </c>
    </row>
    <row r="151" spans="1:5">
      <c r="A151">
        <v>2549</v>
      </c>
      <c r="B151">
        <v>1830197</v>
      </c>
      <c r="C151" s="5">
        <v>46053</v>
      </c>
      <c r="D151" t="s">
        <v>459</v>
      </c>
      <c r="E151">
        <v>101</v>
      </c>
    </row>
    <row r="152" spans="1:5">
      <c r="A152">
        <v>2550</v>
      </c>
      <c r="B152">
        <v>1830197</v>
      </c>
      <c r="C152" s="5">
        <v>46053</v>
      </c>
      <c r="D152" t="s">
        <v>459</v>
      </c>
      <c r="E152">
        <v>271</v>
      </c>
    </row>
    <row r="153" spans="1:5">
      <c r="A153">
        <v>2589</v>
      </c>
      <c r="B153">
        <v>1830197</v>
      </c>
      <c r="C153" s="5">
        <v>46053</v>
      </c>
      <c r="D153" t="s">
        <v>459</v>
      </c>
      <c r="E153">
        <v>22</v>
      </c>
    </row>
    <row r="154" spans="1:5">
      <c r="A154">
        <v>2590</v>
      </c>
      <c r="B154">
        <v>1830197</v>
      </c>
      <c r="C154" s="5">
        <v>46053</v>
      </c>
      <c r="D154" t="s">
        <v>459</v>
      </c>
      <c r="E154">
        <v>0</v>
      </c>
    </row>
    <row r="155" spans="1:5">
      <c r="A155">
        <v>2591</v>
      </c>
      <c r="B155">
        <v>1830197</v>
      </c>
      <c r="C155" s="5">
        <v>46053</v>
      </c>
      <c r="D155" t="s">
        <v>459</v>
      </c>
      <c r="E155">
        <v>224</v>
      </c>
    </row>
    <row r="156" spans="1:5">
      <c r="A156">
        <v>2601</v>
      </c>
      <c r="B156">
        <v>1830197</v>
      </c>
      <c r="C156" s="5">
        <v>46053</v>
      </c>
      <c r="D156" t="s">
        <v>459</v>
      </c>
      <c r="E156">
        <v>2.9</v>
      </c>
    </row>
    <row r="157" spans="1:5">
      <c r="A157">
        <v>2679</v>
      </c>
      <c r="B157">
        <v>1830197</v>
      </c>
      <c r="C157" s="5">
        <v>46053</v>
      </c>
      <c r="D157" t="s">
        <v>459</v>
      </c>
      <c r="E157">
        <v>41.96</v>
      </c>
    </row>
    <row r="158" spans="1:5">
      <c r="A158">
        <v>2683</v>
      </c>
      <c r="B158">
        <v>1830197</v>
      </c>
      <c r="C158" s="5">
        <v>46053</v>
      </c>
      <c r="D158" t="s">
        <v>459</v>
      </c>
      <c r="E158">
        <v>0</v>
      </c>
    </row>
    <row r="159" spans="1:5">
      <c r="A159">
        <v>2684</v>
      </c>
      <c r="B159">
        <v>1830197</v>
      </c>
      <c r="C159" s="5">
        <v>46053</v>
      </c>
      <c r="D159" t="s">
        <v>459</v>
      </c>
      <c r="E159">
        <v>0</v>
      </c>
    </row>
    <row r="160" spans="1:5">
      <c r="A160">
        <v>2685</v>
      </c>
      <c r="B160">
        <v>1830197</v>
      </c>
      <c r="C160" s="5">
        <v>46053</v>
      </c>
      <c r="D160" t="s">
        <v>459</v>
      </c>
      <c r="E160">
        <v>0</v>
      </c>
    </row>
    <row r="161" spans="1:5">
      <c r="A161">
        <v>2784</v>
      </c>
      <c r="B161">
        <v>1830197</v>
      </c>
      <c r="C161" s="5">
        <v>46053</v>
      </c>
      <c r="D161" t="s">
        <v>459</v>
      </c>
      <c r="E161">
        <v>12</v>
      </c>
    </row>
    <row r="162" spans="1:5">
      <c r="A162">
        <v>2785</v>
      </c>
      <c r="B162">
        <v>1830197</v>
      </c>
      <c r="C162" s="5">
        <v>46053</v>
      </c>
      <c r="D162" t="s">
        <v>459</v>
      </c>
      <c r="E162">
        <v>1</v>
      </c>
    </row>
    <row r="163" spans="1:5">
      <c r="A163">
        <v>2786</v>
      </c>
      <c r="B163">
        <v>1830197</v>
      </c>
      <c r="C163" s="5">
        <v>46053</v>
      </c>
      <c r="D163" t="s">
        <v>459</v>
      </c>
      <c r="E163">
        <v>1</v>
      </c>
    </row>
    <row r="164" spans="1:5">
      <c r="A164">
        <v>2787</v>
      </c>
      <c r="B164">
        <v>1830197</v>
      </c>
      <c r="C164" s="5">
        <v>46053</v>
      </c>
      <c r="D164" t="s">
        <v>459</v>
      </c>
      <c r="E164">
        <v>81</v>
      </c>
    </row>
    <row r="165" spans="1:5">
      <c r="A165">
        <v>2814</v>
      </c>
      <c r="B165">
        <v>1830197</v>
      </c>
      <c r="C165" s="5">
        <v>46053</v>
      </c>
      <c r="D165" t="s">
        <v>459</v>
      </c>
      <c r="E165">
        <v>0</v>
      </c>
    </row>
    <row r="166" spans="1:5">
      <c r="A166">
        <v>2815</v>
      </c>
      <c r="B166">
        <v>1830197</v>
      </c>
      <c r="C166" s="5">
        <v>46053</v>
      </c>
      <c r="D166" t="s">
        <v>459</v>
      </c>
      <c r="E166">
        <v>0</v>
      </c>
    </row>
    <row r="167" spans="1:5">
      <c r="A167">
        <v>2816</v>
      </c>
      <c r="B167">
        <v>1830197</v>
      </c>
      <c r="C167" s="5">
        <v>46053</v>
      </c>
      <c r="D167" t="s">
        <v>459</v>
      </c>
      <c r="E167">
        <v>0</v>
      </c>
    </row>
    <row r="168" spans="1:5">
      <c r="A168">
        <v>2817</v>
      </c>
      <c r="B168">
        <v>1830197</v>
      </c>
      <c r="C168" s="5">
        <v>46053</v>
      </c>
      <c r="D168" t="s">
        <v>459</v>
      </c>
      <c r="E168">
        <v>0</v>
      </c>
    </row>
    <row r="169" spans="1:5">
      <c r="A169">
        <v>2856</v>
      </c>
      <c r="B169">
        <v>1830197</v>
      </c>
      <c r="C169" s="5">
        <v>46053</v>
      </c>
      <c r="D169" t="s">
        <v>459</v>
      </c>
      <c r="E169">
        <v>0</v>
      </c>
    </row>
    <row r="170" spans="1:5">
      <c r="A170">
        <v>2872</v>
      </c>
      <c r="B170">
        <v>1830197</v>
      </c>
      <c r="C170" s="5">
        <v>46053</v>
      </c>
      <c r="D170" t="s">
        <v>459</v>
      </c>
      <c r="E170">
        <v>0</v>
      </c>
    </row>
    <row r="171" spans="1:5">
      <c r="A171">
        <v>2956</v>
      </c>
      <c r="B171">
        <v>1830197</v>
      </c>
      <c r="C171" s="5">
        <v>46053</v>
      </c>
      <c r="D171" t="s">
        <v>459</v>
      </c>
      <c r="E171">
        <v>2.5</v>
      </c>
    </row>
    <row r="172" spans="1:5">
      <c r="A172">
        <v>2963</v>
      </c>
      <c r="B172">
        <v>1830197</v>
      </c>
      <c r="C172" s="5">
        <v>46053</v>
      </c>
      <c r="D172" t="s">
        <v>459</v>
      </c>
      <c r="E172">
        <v>0</v>
      </c>
    </row>
    <row r="173" spans="1:5">
      <c r="A173">
        <v>3034</v>
      </c>
      <c r="B173">
        <v>1830197</v>
      </c>
      <c r="C173" s="5">
        <v>46053</v>
      </c>
      <c r="D173" t="s">
        <v>459</v>
      </c>
      <c r="E173">
        <v>1730</v>
      </c>
    </row>
    <row r="174" spans="1:5">
      <c r="A174">
        <v>3087</v>
      </c>
      <c r="B174">
        <v>1830197</v>
      </c>
      <c r="C174" s="5">
        <v>46053</v>
      </c>
      <c r="D174" t="s">
        <v>459</v>
      </c>
      <c r="E174">
        <v>1750</v>
      </c>
    </row>
    <row r="175" spans="1:5">
      <c r="A175">
        <v>3143</v>
      </c>
      <c r="B175">
        <v>1830197</v>
      </c>
      <c r="C175" s="5">
        <v>46053</v>
      </c>
      <c r="D175" t="s">
        <v>459</v>
      </c>
      <c r="E175">
        <v>0</v>
      </c>
    </row>
    <row r="176" spans="1:5">
      <c r="A176">
        <v>3206</v>
      </c>
      <c r="B176">
        <v>1830197</v>
      </c>
      <c r="C176" s="5">
        <v>46053</v>
      </c>
      <c r="D176" t="s">
        <v>459</v>
      </c>
      <c r="E176">
        <v>2</v>
      </c>
    </row>
    <row r="177" spans="1:5">
      <c r="A177">
        <v>3236</v>
      </c>
      <c r="B177">
        <v>1830197</v>
      </c>
      <c r="C177" s="5">
        <v>46053</v>
      </c>
      <c r="D177" t="s">
        <v>459</v>
      </c>
      <c r="E177">
        <v>4360</v>
      </c>
    </row>
    <row r="178" spans="1:5">
      <c r="A178">
        <v>3278</v>
      </c>
      <c r="B178">
        <v>1830197</v>
      </c>
      <c r="C178" s="5">
        <v>46053</v>
      </c>
      <c r="D178" t="s">
        <v>459</v>
      </c>
      <c r="E178">
        <v>2925</v>
      </c>
    </row>
    <row r="179" spans="1:5">
      <c r="A179">
        <v>3297</v>
      </c>
      <c r="B179">
        <v>1830197</v>
      </c>
      <c r="C179" s="5">
        <v>46053</v>
      </c>
      <c r="D179" t="s">
        <v>459</v>
      </c>
      <c r="E179">
        <v>0</v>
      </c>
    </row>
    <row r="180" spans="1:5">
      <c r="A180">
        <v>3309</v>
      </c>
      <c r="B180">
        <v>1830197</v>
      </c>
      <c r="C180" s="5">
        <v>46053</v>
      </c>
      <c r="D180" t="s">
        <v>459</v>
      </c>
      <c r="E180">
        <v>1001</v>
      </c>
    </row>
    <row r="181" spans="1:5">
      <c r="A181">
        <v>3423</v>
      </c>
      <c r="B181">
        <v>1830197</v>
      </c>
      <c r="C181" s="5">
        <v>46053</v>
      </c>
      <c r="D181" t="s">
        <v>459</v>
      </c>
      <c r="E181">
        <v>2.89</v>
      </c>
    </row>
    <row r="182" spans="1:5">
      <c r="A182">
        <v>3439</v>
      </c>
      <c r="B182">
        <v>1830197</v>
      </c>
      <c r="C182" s="5">
        <v>46053</v>
      </c>
      <c r="D182" t="s">
        <v>459</v>
      </c>
      <c r="E182">
        <v>0</v>
      </c>
    </row>
    <row r="183" spans="1:5">
      <c r="A183">
        <v>3471</v>
      </c>
      <c r="B183">
        <v>1830197</v>
      </c>
      <c r="C183" s="5">
        <v>46053</v>
      </c>
      <c r="D183" t="s">
        <v>459</v>
      </c>
      <c r="E183">
        <v>12.69</v>
      </c>
    </row>
    <row r="184" spans="1:5">
      <c r="A184">
        <v>3488</v>
      </c>
      <c r="B184">
        <v>1830197</v>
      </c>
      <c r="C184" s="5">
        <v>46053</v>
      </c>
      <c r="D184" t="s">
        <v>459</v>
      </c>
      <c r="E184">
        <v>0</v>
      </c>
    </row>
    <row r="185" spans="1:5">
      <c r="A185">
        <v>3496</v>
      </c>
      <c r="B185">
        <v>1830197</v>
      </c>
      <c r="C185" s="5">
        <v>46053</v>
      </c>
      <c r="D185" t="s">
        <v>459</v>
      </c>
      <c r="E185">
        <v>12</v>
      </c>
    </row>
    <row r="186" spans="1:5">
      <c r="A186">
        <v>3557</v>
      </c>
      <c r="B186">
        <v>1830197</v>
      </c>
      <c r="C186" s="5">
        <v>46053</v>
      </c>
      <c r="D186" t="s">
        <v>459</v>
      </c>
      <c r="E186">
        <v>0</v>
      </c>
    </row>
    <row r="187" spans="1:5">
      <c r="A187">
        <v>3584</v>
      </c>
      <c r="B187">
        <v>1830197</v>
      </c>
      <c r="C187" s="5">
        <v>46053</v>
      </c>
      <c r="D187" t="s">
        <v>459</v>
      </c>
      <c r="E187">
        <v>3791</v>
      </c>
    </row>
    <row r="188" spans="1:5">
      <c r="A188">
        <v>3593</v>
      </c>
      <c r="B188">
        <v>1830197</v>
      </c>
      <c r="C188" s="5">
        <v>46053</v>
      </c>
      <c r="D188" t="s">
        <v>459</v>
      </c>
      <c r="E188">
        <v>832</v>
      </c>
    </row>
    <row r="189" spans="1:5">
      <c r="A189">
        <v>3594</v>
      </c>
      <c r="B189">
        <v>1830197</v>
      </c>
      <c r="C189" s="5">
        <v>46053</v>
      </c>
      <c r="D189" t="s">
        <v>459</v>
      </c>
      <c r="E189">
        <v>1228</v>
      </c>
    </row>
    <row r="190" spans="1:5">
      <c r="A190">
        <v>3595</v>
      </c>
      <c r="B190">
        <v>1830197</v>
      </c>
      <c r="C190" s="5">
        <v>46053</v>
      </c>
      <c r="D190" t="s">
        <v>459</v>
      </c>
      <c r="E190">
        <v>0</v>
      </c>
    </row>
    <row r="191" spans="1:5">
      <c r="A191">
        <v>3596</v>
      </c>
      <c r="B191">
        <v>1830197</v>
      </c>
      <c r="C191" s="5">
        <v>46053</v>
      </c>
      <c r="D191" t="s">
        <v>459</v>
      </c>
      <c r="E191">
        <v>0</v>
      </c>
    </row>
    <row r="192" spans="1:5">
      <c r="A192">
        <v>3597</v>
      </c>
      <c r="B192">
        <v>1830197</v>
      </c>
      <c r="C192" s="5">
        <v>46053</v>
      </c>
      <c r="D192" t="s">
        <v>459</v>
      </c>
      <c r="E192">
        <v>601</v>
      </c>
    </row>
    <row r="193" spans="1:5">
      <c r="A193">
        <v>3617</v>
      </c>
      <c r="B193">
        <v>1830197</v>
      </c>
      <c r="C193" s="5">
        <v>46053</v>
      </c>
      <c r="D193" t="s">
        <v>459</v>
      </c>
      <c r="E193">
        <v>20</v>
      </c>
    </row>
    <row r="194" spans="1:5">
      <c r="A194">
        <v>3636</v>
      </c>
      <c r="B194">
        <v>1830197</v>
      </c>
      <c r="C194" s="5">
        <v>46053</v>
      </c>
      <c r="D194" t="s">
        <v>459</v>
      </c>
      <c r="E194">
        <v>0</v>
      </c>
    </row>
    <row r="195" spans="1:5">
      <c r="A195">
        <v>3646</v>
      </c>
      <c r="B195">
        <v>1830197</v>
      </c>
      <c r="C195" s="5">
        <v>46053</v>
      </c>
      <c r="D195" t="s">
        <v>459</v>
      </c>
      <c r="E195">
        <v>492</v>
      </c>
    </row>
    <row r="196" spans="1:5">
      <c r="A196">
        <v>3647</v>
      </c>
      <c r="B196">
        <v>1830197</v>
      </c>
      <c r="C196" s="5">
        <v>46053</v>
      </c>
      <c r="D196" t="s">
        <v>459</v>
      </c>
      <c r="E196">
        <v>0</v>
      </c>
    </row>
    <row r="197" spans="1:5">
      <c r="A197">
        <v>3648</v>
      </c>
      <c r="B197">
        <v>1830197</v>
      </c>
      <c r="C197" s="5">
        <v>46053</v>
      </c>
      <c r="D197" t="s">
        <v>459</v>
      </c>
      <c r="E197">
        <v>0</v>
      </c>
    </row>
    <row r="198" spans="1:5">
      <c r="A198">
        <v>3735</v>
      </c>
      <c r="B198">
        <v>1830197</v>
      </c>
      <c r="C198" s="5">
        <v>46053</v>
      </c>
      <c r="D198" t="s">
        <v>459</v>
      </c>
      <c r="E198">
        <v>0</v>
      </c>
    </row>
    <row r="199" spans="1:5">
      <c r="A199">
        <v>3761</v>
      </c>
      <c r="B199">
        <v>1830197</v>
      </c>
      <c r="C199" s="5">
        <v>46053</v>
      </c>
      <c r="D199" t="s">
        <v>459</v>
      </c>
      <c r="E199">
        <v>5680</v>
      </c>
    </row>
    <row r="200" spans="1:5">
      <c r="A200">
        <v>3815</v>
      </c>
      <c r="B200">
        <v>1830197</v>
      </c>
      <c r="C200" s="5">
        <v>46053</v>
      </c>
      <c r="D200" t="s">
        <v>459</v>
      </c>
      <c r="E200">
        <v>0</v>
      </c>
    </row>
    <row r="201" spans="1:5">
      <c r="A201">
        <v>3866</v>
      </c>
      <c r="B201">
        <v>1830197</v>
      </c>
      <c r="C201" s="5">
        <v>46053</v>
      </c>
      <c r="D201" t="s">
        <v>459</v>
      </c>
      <c r="E201">
        <v>0</v>
      </c>
    </row>
    <row r="202" spans="1:5">
      <c r="A202">
        <v>3867</v>
      </c>
      <c r="B202">
        <v>1830197</v>
      </c>
      <c r="C202" s="5">
        <v>46053</v>
      </c>
      <c r="D202" t="s">
        <v>459</v>
      </c>
      <c r="E202">
        <v>0</v>
      </c>
    </row>
    <row r="203" spans="1:5">
      <c r="A203">
        <v>3868</v>
      </c>
      <c r="B203">
        <v>1830197</v>
      </c>
      <c r="C203" s="5">
        <v>46053</v>
      </c>
      <c r="D203" t="s">
        <v>459</v>
      </c>
      <c r="E203">
        <v>0</v>
      </c>
    </row>
    <row r="204" spans="1:5">
      <c r="A204">
        <v>4027</v>
      </c>
      <c r="B204">
        <v>1830197</v>
      </c>
      <c r="C204" s="5">
        <v>46053</v>
      </c>
      <c r="D204" t="s">
        <v>459</v>
      </c>
      <c r="E204">
        <v>0</v>
      </c>
    </row>
    <row r="205" spans="1:5">
      <c r="A205">
        <v>4111</v>
      </c>
      <c r="B205">
        <v>1830197</v>
      </c>
      <c r="C205" s="5">
        <v>46053</v>
      </c>
      <c r="D205" t="s">
        <v>459</v>
      </c>
      <c r="E205">
        <v>27</v>
      </c>
    </row>
    <row r="206" spans="1:5">
      <c r="A206">
        <v>4209</v>
      </c>
      <c r="B206">
        <v>1830197</v>
      </c>
      <c r="C206" s="5">
        <v>46053</v>
      </c>
      <c r="D206" t="s">
        <v>459</v>
      </c>
      <c r="E206">
        <v>1</v>
      </c>
    </row>
    <row r="207" spans="1:5">
      <c r="A207">
        <v>4334</v>
      </c>
      <c r="B207">
        <v>1830197</v>
      </c>
      <c r="C207" s="5">
        <v>46053</v>
      </c>
      <c r="D207" t="s">
        <v>459</v>
      </c>
      <c r="E207">
        <v>0</v>
      </c>
    </row>
    <row r="208" spans="1:5">
      <c r="A208">
        <v>4422</v>
      </c>
      <c r="B208">
        <v>1830197</v>
      </c>
      <c r="C208" s="5">
        <v>46053</v>
      </c>
      <c r="D208" t="s">
        <v>459</v>
      </c>
      <c r="E208">
        <v>0</v>
      </c>
    </row>
    <row r="209" spans="1:5">
      <c r="A209">
        <v>4551</v>
      </c>
      <c r="B209">
        <v>1830197</v>
      </c>
      <c r="C209" s="5">
        <v>46053</v>
      </c>
      <c r="D209" t="s">
        <v>459</v>
      </c>
      <c r="E209">
        <v>1067</v>
      </c>
    </row>
    <row r="210" spans="1:5">
      <c r="A210">
        <v>4596</v>
      </c>
      <c r="B210">
        <v>1830197</v>
      </c>
      <c r="C210" s="5">
        <v>46053</v>
      </c>
      <c r="D210" t="s">
        <v>459</v>
      </c>
      <c r="E210">
        <v>0</v>
      </c>
    </row>
    <row r="211" spans="1:5">
      <c r="A211">
        <v>4607</v>
      </c>
      <c r="B211">
        <v>1830197</v>
      </c>
      <c r="C211" s="5">
        <v>46053</v>
      </c>
      <c r="D211" t="s">
        <v>459</v>
      </c>
      <c r="E211">
        <v>4200</v>
      </c>
    </row>
    <row r="212" spans="1:5">
      <c r="A212">
        <v>4703</v>
      </c>
      <c r="B212">
        <v>1830197</v>
      </c>
      <c r="C212" s="5">
        <v>46053</v>
      </c>
      <c r="D212" t="s">
        <v>459</v>
      </c>
      <c r="E212">
        <v>139</v>
      </c>
    </row>
    <row r="213" spans="1:5">
      <c r="A213">
        <v>4704</v>
      </c>
      <c r="B213">
        <v>1830197</v>
      </c>
      <c r="C213" s="5">
        <v>46053</v>
      </c>
      <c r="D213" t="s">
        <v>459</v>
      </c>
      <c r="E213">
        <v>3190</v>
      </c>
    </row>
    <row r="214" spans="1:5">
      <c r="A214">
        <v>4853</v>
      </c>
      <c r="B214">
        <v>1830197</v>
      </c>
      <c r="C214" s="5">
        <v>46053</v>
      </c>
      <c r="D214" t="s">
        <v>459</v>
      </c>
      <c r="E214">
        <v>1306</v>
      </c>
    </row>
    <row r="215" spans="1:5">
      <c r="A215">
        <v>4887</v>
      </c>
      <c r="B215">
        <v>1830197</v>
      </c>
      <c r="C215" s="5">
        <v>46053</v>
      </c>
      <c r="D215" t="s">
        <v>459</v>
      </c>
      <c r="E215">
        <v>0</v>
      </c>
    </row>
    <row r="216" spans="1:5">
      <c r="A216">
        <v>4926</v>
      </c>
      <c r="B216">
        <v>1830197</v>
      </c>
      <c r="C216" s="5">
        <v>46053</v>
      </c>
      <c r="D216" t="s">
        <v>459</v>
      </c>
      <c r="E216">
        <v>0</v>
      </c>
    </row>
    <row r="217" spans="1:5">
      <c r="A217">
        <v>4954</v>
      </c>
      <c r="B217">
        <v>1830197</v>
      </c>
      <c r="C217" s="5">
        <v>46053</v>
      </c>
      <c r="D217" t="s">
        <v>459</v>
      </c>
      <c r="E217">
        <v>0</v>
      </c>
    </row>
    <row r="218" spans="1:5">
      <c r="A218">
        <v>4970</v>
      </c>
      <c r="B218">
        <v>1830197</v>
      </c>
      <c r="C218" s="5">
        <v>46053</v>
      </c>
      <c r="D218" t="s">
        <v>459</v>
      </c>
      <c r="E218">
        <v>2400</v>
      </c>
    </row>
    <row r="219" spans="1:5">
      <c r="A219">
        <v>4980</v>
      </c>
      <c r="B219">
        <v>1830197</v>
      </c>
      <c r="C219" s="5">
        <v>46053</v>
      </c>
      <c r="D219" t="s">
        <v>459</v>
      </c>
      <c r="E219">
        <v>0</v>
      </c>
    </row>
    <row r="220" spans="1:5">
      <c r="A220">
        <v>4995</v>
      </c>
      <c r="B220">
        <v>1830197</v>
      </c>
      <c r="C220" s="5">
        <v>46053</v>
      </c>
      <c r="D220" t="s">
        <v>459</v>
      </c>
      <c r="E220">
        <v>0</v>
      </c>
    </row>
    <row r="221" spans="1:5">
      <c r="A221">
        <v>4996</v>
      </c>
      <c r="B221">
        <v>1830197</v>
      </c>
      <c r="C221" s="5">
        <v>46053</v>
      </c>
      <c r="D221" t="s">
        <v>459</v>
      </c>
      <c r="E221">
        <v>730</v>
      </c>
    </row>
    <row r="222" spans="1:5">
      <c r="A222">
        <v>4997</v>
      </c>
      <c r="B222">
        <v>1830197</v>
      </c>
      <c r="C222" s="5">
        <v>46053</v>
      </c>
      <c r="D222" t="s">
        <v>459</v>
      </c>
      <c r="E222">
        <v>1200</v>
      </c>
    </row>
    <row r="223" spans="1:5">
      <c r="A223">
        <v>4998</v>
      </c>
      <c r="B223">
        <v>1830197</v>
      </c>
      <c r="C223" s="5">
        <v>46053</v>
      </c>
      <c r="D223" t="s">
        <v>459</v>
      </c>
      <c r="E223">
        <v>2990</v>
      </c>
    </row>
    <row r="224" spans="1:5">
      <c r="A224">
        <v>4999</v>
      </c>
      <c r="B224">
        <v>1830197</v>
      </c>
      <c r="C224" s="5">
        <v>46053</v>
      </c>
      <c r="D224" t="s">
        <v>459</v>
      </c>
      <c r="E224">
        <v>2035</v>
      </c>
    </row>
    <row r="225" spans="1:5">
      <c r="A225">
        <v>5012</v>
      </c>
      <c r="B225">
        <v>1830197</v>
      </c>
      <c r="C225" s="5">
        <v>46053</v>
      </c>
      <c r="D225" t="s">
        <v>459</v>
      </c>
      <c r="E225">
        <v>48.5</v>
      </c>
    </row>
    <row r="226" spans="1:5">
      <c r="A226">
        <v>5054</v>
      </c>
      <c r="B226">
        <v>1830197</v>
      </c>
      <c r="C226" s="5">
        <v>46053</v>
      </c>
      <c r="D226" t="s">
        <v>459</v>
      </c>
      <c r="E226">
        <v>99</v>
      </c>
    </row>
    <row r="227" spans="1:5">
      <c r="A227">
        <v>5163</v>
      </c>
      <c r="B227">
        <v>1830197</v>
      </c>
      <c r="C227" s="5">
        <v>46053</v>
      </c>
      <c r="D227" t="s">
        <v>459</v>
      </c>
      <c r="E227">
        <v>0</v>
      </c>
    </row>
    <row r="228" spans="1:5">
      <c r="A228">
        <v>5209</v>
      </c>
      <c r="B228">
        <v>1830197</v>
      </c>
      <c r="C228" s="5">
        <v>46053</v>
      </c>
      <c r="D228" t="s">
        <v>459</v>
      </c>
      <c r="E228">
        <v>31</v>
      </c>
    </row>
    <row r="229" spans="1:5">
      <c r="A229">
        <v>5349</v>
      </c>
      <c r="B229">
        <v>1830197</v>
      </c>
      <c r="C229" s="5">
        <v>46053</v>
      </c>
      <c r="D229" t="s">
        <v>459</v>
      </c>
      <c r="E229">
        <v>0</v>
      </c>
    </row>
    <row r="230" spans="1:5">
      <c r="A230">
        <v>5351</v>
      </c>
      <c r="B230">
        <v>1830197</v>
      </c>
      <c r="C230" s="5">
        <v>46053</v>
      </c>
      <c r="D230" t="s">
        <v>459</v>
      </c>
      <c r="E230">
        <v>0</v>
      </c>
    </row>
    <row r="231" spans="1:5">
      <c r="A231">
        <v>5358</v>
      </c>
      <c r="B231">
        <v>1830197</v>
      </c>
      <c r="C231" s="5">
        <v>46053</v>
      </c>
      <c r="D231" t="s">
        <v>459</v>
      </c>
      <c r="E231">
        <v>0</v>
      </c>
    </row>
    <row r="232" spans="1:5">
      <c r="A232">
        <v>5378</v>
      </c>
      <c r="B232">
        <v>1830197</v>
      </c>
      <c r="C232" s="5">
        <v>46053</v>
      </c>
      <c r="D232" t="s">
        <v>459</v>
      </c>
      <c r="E232">
        <v>0</v>
      </c>
    </row>
    <row r="233" spans="1:5">
      <c r="A233">
        <v>5391</v>
      </c>
      <c r="B233">
        <v>1830197</v>
      </c>
      <c r="C233" s="5">
        <v>46053</v>
      </c>
      <c r="D233" t="s">
        <v>459</v>
      </c>
      <c r="E233">
        <v>1500</v>
      </c>
    </row>
    <row r="234" spans="1:5">
      <c r="A234">
        <v>5429</v>
      </c>
      <c r="B234">
        <v>1830197</v>
      </c>
      <c r="C234" s="5">
        <v>46053</v>
      </c>
      <c r="D234" t="s">
        <v>459</v>
      </c>
      <c r="E234">
        <v>1760</v>
      </c>
    </row>
    <row r="235" spans="1:5">
      <c r="A235">
        <v>5430</v>
      </c>
      <c r="B235">
        <v>1830197</v>
      </c>
      <c r="C235" s="5">
        <v>46053</v>
      </c>
      <c r="D235" t="s">
        <v>459</v>
      </c>
      <c r="E235">
        <v>700</v>
      </c>
    </row>
    <row r="236" spans="1:5">
      <c r="A236">
        <v>5431</v>
      </c>
      <c r="B236">
        <v>1830197</v>
      </c>
      <c r="C236" s="5">
        <v>46053</v>
      </c>
      <c r="D236" t="s">
        <v>459</v>
      </c>
      <c r="E236">
        <v>1200</v>
      </c>
    </row>
    <row r="237" spans="1:5">
      <c r="A237">
        <v>5432</v>
      </c>
      <c r="B237">
        <v>1830197</v>
      </c>
      <c r="C237" s="5">
        <v>46053</v>
      </c>
      <c r="D237" t="s">
        <v>459</v>
      </c>
      <c r="E237">
        <v>500</v>
      </c>
    </row>
    <row r="238" spans="1:5">
      <c r="A238">
        <v>5444</v>
      </c>
      <c r="B238">
        <v>1830197</v>
      </c>
      <c r="C238" s="5">
        <v>46053</v>
      </c>
      <c r="D238" t="s">
        <v>459</v>
      </c>
      <c r="E238">
        <v>0</v>
      </c>
    </row>
    <row r="239" spans="1:5">
      <c r="A239">
        <v>5478</v>
      </c>
      <c r="B239">
        <v>1830197</v>
      </c>
      <c r="C239" s="5">
        <v>46053</v>
      </c>
      <c r="D239" t="s">
        <v>459</v>
      </c>
      <c r="E239">
        <v>0</v>
      </c>
    </row>
    <row r="240" spans="1:5">
      <c r="A240">
        <v>5481</v>
      </c>
      <c r="B240">
        <v>1830197</v>
      </c>
      <c r="C240" s="5">
        <v>46053</v>
      </c>
      <c r="D240" t="s">
        <v>459</v>
      </c>
      <c r="E240">
        <v>0</v>
      </c>
    </row>
    <row r="241" spans="1:5">
      <c r="A241">
        <v>5551</v>
      </c>
      <c r="B241">
        <v>1830197</v>
      </c>
      <c r="C241" s="5">
        <v>46053</v>
      </c>
      <c r="D241" t="s">
        <v>459</v>
      </c>
      <c r="E241">
        <v>0</v>
      </c>
    </row>
    <row r="242" spans="1:5">
      <c r="A242">
        <v>5552</v>
      </c>
      <c r="B242">
        <v>1830197</v>
      </c>
      <c r="C242" s="5">
        <v>46053</v>
      </c>
      <c r="D242" t="s">
        <v>459</v>
      </c>
      <c r="E242">
        <v>1125</v>
      </c>
    </row>
    <row r="243" spans="1:5">
      <c r="A243">
        <v>5565</v>
      </c>
      <c r="B243">
        <v>1830197</v>
      </c>
      <c r="C243" s="5">
        <v>46053</v>
      </c>
      <c r="D243" t="s">
        <v>459</v>
      </c>
      <c r="E243">
        <v>250</v>
      </c>
    </row>
    <row r="244" spans="1:5">
      <c r="A244">
        <v>5664</v>
      </c>
      <c r="B244">
        <v>1830197</v>
      </c>
      <c r="C244" s="5">
        <v>46053</v>
      </c>
      <c r="D244" t="s">
        <v>459</v>
      </c>
      <c r="E244">
        <v>630</v>
      </c>
    </row>
    <row r="245" spans="1:5">
      <c r="A245">
        <v>5876</v>
      </c>
      <c r="B245">
        <v>1830197</v>
      </c>
      <c r="C245" s="5">
        <v>46053</v>
      </c>
      <c r="D245" t="s">
        <v>459</v>
      </c>
      <c r="E245">
        <v>0</v>
      </c>
    </row>
    <row r="246" spans="1:5">
      <c r="A246">
        <v>5935</v>
      </c>
      <c r="B246">
        <v>1830197</v>
      </c>
      <c r="C246" s="5">
        <v>46053</v>
      </c>
      <c r="D246" t="s">
        <v>459</v>
      </c>
      <c r="E246">
        <v>0</v>
      </c>
    </row>
    <row r="247" spans="1:5">
      <c r="A247">
        <v>5939</v>
      </c>
      <c r="B247">
        <v>1830197</v>
      </c>
      <c r="C247" s="5">
        <v>46053</v>
      </c>
      <c r="D247" t="s">
        <v>459</v>
      </c>
      <c r="E247">
        <v>0</v>
      </c>
    </row>
    <row r="248" spans="1:5">
      <c r="A248">
        <v>5983</v>
      </c>
      <c r="B248">
        <v>1830197</v>
      </c>
      <c r="C248" s="5">
        <v>46053</v>
      </c>
      <c r="D248" t="s">
        <v>459</v>
      </c>
      <c r="E248">
        <v>14</v>
      </c>
    </row>
    <row r="249" spans="1:5">
      <c r="A249">
        <v>6053</v>
      </c>
      <c r="B249">
        <v>1830197</v>
      </c>
      <c r="C249" s="5">
        <v>46053</v>
      </c>
      <c r="D249" t="s">
        <v>459</v>
      </c>
      <c r="E249">
        <v>0</v>
      </c>
    </row>
    <row r="250" spans="1:5">
      <c r="A250">
        <v>6094</v>
      </c>
      <c r="B250">
        <v>1830197</v>
      </c>
      <c r="C250" s="5">
        <v>46053</v>
      </c>
      <c r="D250" t="s">
        <v>459</v>
      </c>
      <c r="E250">
        <v>16</v>
      </c>
    </row>
    <row r="251" spans="1:5">
      <c r="A251">
        <v>6373</v>
      </c>
      <c r="B251">
        <v>1830197</v>
      </c>
      <c r="C251" s="5">
        <v>46053</v>
      </c>
      <c r="D251" t="s">
        <v>459</v>
      </c>
      <c r="E251">
        <v>0</v>
      </c>
    </row>
    <row r="252" spans="1:5">
      <c r="A252">
        <v>6374</v>
      </c>
      <c r="B252">
        <v>1830197</v>
      </c>
      <c r="C252" s="5">
        <v>46053</v>
      </c>
      <c r="D252" t="s">
        <v>459</v>
      </c>
      <c r="E252">
        <v>0</v>
      </c>
    </row>
    <row r="253" spans="1:5">
      <c r="A253">
        <v>6375</v>
      </c>
      <c r="B253">
        <v>1830197</v>
      </c>
      <c r="C253" s="5">
        <v>46053</v>
      </c>
      <c r="D253" t="s">
        <v>459</v>
      </c>
      <c r="E253">
        <v>0</v>
      </c>
    </row>
    <row r="254" spans="1:5">
      <c r="A254">
        <v>6376</v>
      </c>
      <c r="B254">
        <v>1830197</v>
      </c>
      <c r="C254" s="5">
        <v>46053</v>
      </c>
      <c r="D254" t="s">
        <v>459</v>
      </c>
      <c r="E254">
        <v>0</v>
      </c>
    </row>
    <row r="255" spans="1:5">
      <c r="A255">
        <v>6472</v>
      </c>
      <c r="B255">
        <v>1830197</v>
      </c>
      <c r="C255" s="5">
        <v>46053</v>
      </c>
      <c r="D255" t="s">
        <v>459</v>
      </c>
      <c r="E255">
        <v>3120</v>
      </c>
    </row>
    <row r="256" spans="1:5">
      <c r="A256">
        <v>6477</v>
      </c>
      <c r="B256">
        <v>1830197</v>
      </c>
      <c r="C256" s="5">
        <v>46053</v>
      </c>
      <c r="D256" t="s">
        <v>459</v>
      </c>
      <c r="E256">
        <v>0</v>
      </c>
    </row>
    <row r="257" spans="1:5">
      <c r="A257">
        <v>6724</v>
      </c>
      <c r="B257">
        <v>1830197</v>
      </c>
      <c r="C257" s="5">
        <v>46053</v>
      </c>
      <c r="D257" t="s">
        <v>459</v>
      </c>
      <c r="E257">
        <v>0</v>
      </c>
    </row>
    <row r="258" spans="1:5">
      <c r="A258">
        <v>6757</v>
      </c>
      <c r="B258">
        <v>1830197</v>
      </c>
      <c r="C258" s="5">
        <v>46053</v>
      </c>
      <c r="D258" t="s">
        <v>459</v>
      </c>
      <c r="E258">
        <v>0</v>
      </c>
    </row>
    <row r="259" spans="1:5">
      <c r="A259">
        <v>6761</v>
      </c>
      <c r="B259">
        <v>1830197</v>
      </c>
      <c r="C259" s="5">
        <v>46053</v>
      </c>
      <c r="D259" t="s">
        <v>459</v>
      </c>
      <c r="E259">
        <v>0</v>
      </c>
    </row>
    <row r="260" spans="1:5">
      <c r="A260">
        <v>6776</v>
      </c>
      <c r="B260">
        <v>1830197</v>
      </c>
      <c r="C260" s="5">
        <v>46053</v>
      </c>
      <c r="D260" t="s">
        <v>459</v>
      </c>
      <c r="E260">
        <v>0</v>
      </c>
    </row>
    <row r="261" spans="1:5">
      <c r="A261">
        <v>6810</v>
      </c>
      <c r="B261">
        <v>1830197</v>
      </c>
      <c r="C261" s="5">
        <v>46053</v>
      </c>
      <c r="D261" t="s">
        <v>459</v>
      </c>
      <c r="E261">
        <v>0</v>
      </c>
    </row>
    <row r="262" spans="1:5">
      <c r="A262">
        <v>6811</v>
      </c>
      <c r="B262">
        <v>1830197</v>
      </c>
      <c r="C262" s="5">
        <v>46053</v>
      </c>
      <c r="D262" t="s">
        <v>459</v>
      </c>
      <c r="E262">
        <v>2976</v>
      </c>
    </row>
    <row r="263" spans="1:5">
      <c r="A263">
        <v>6880</v>
      </c>
      <c r="B263">
        <v>1830197</v>
      </c>
      <c r="C263" s="5">
        <v>46053</v>
      </c>
      <c r="D263" t="s">
        <v>459</v>
      </c>
      <c r="E263">
        <v>0</v>
      </c>
    </row>
    <row r="264" spans="1:5">
      <c r="A264">
        <v>6928</v>
      </c>
      <c r="B264">
        <v>1830197</v>
      </c>
      <c r="C264" s="5">
        <v>46053</v>
      </c>
      <c r="D264" t="s">
        <v>459</v>
      </c>
      <c r="E264">
        <v>6</v>
      </c>
    </row>
    <row r="265" spans="1:5">
      <c r="A265">
        <v>7034</v>
      </c>
      <c r="B265">
        <v>1830197</v>
      </c>
      <c r="C265" s="5">
        <v>46053</v>
      </c>
      <c r="D265" t="s">
        <v>459</v>
      </c>
      <c r="E265">
        <v>0</v>
      </c>
    </row>
    <row r="266" spans="1:5">
      <c r="A266">
        <v>7127</v>
      </c>
      <c r="B266">
        <v>1830197</v>
      </c>
      <c r="C266" s="5">
        <v>46053</v>
      </c>
      <c r="D266" t="s">
        <v>459</v>
      </c>
      <c r="E266">
        <v>731</v>
      </c>
    </row>
    <row r="267" spans="1:5">
      <c r="A267">
        <v>7205</v>
      </c>
      <c r="B267">
        <v>1830197</v>
      </c>
      <c r="C267" s="5">
        <v>46053</v>
      </c>
      <c r="D267" t="s">
        <v>459</v>
      </c>
      <c r="E267">
        <v>1092</v>
      </c>
    </row>
    <row r="268" spans="1:5">
      <c r="A268">
        <v>7206</v>
      </c>
      <c r="B268">
        <v>1830197</v>
      </c>
      <c r="C268" s="5">
        <v>46053</v>
      </c>
      <c r="D268" t="s">
        <v>459</v>
      </c>
      <c r="E268">
        <v>230</v>
      </c>
    </row>
    <row r="269" spans="1:5">
      <c r="A269">
        <v>7223</v>
      </c>
      <c r="B269">
        <v>1830197</v>
      </c>
      <c r="C269" s="5">
        <v>46053</v>
      </c>
      <c r="D269" t="s">
        <v>459</v>
      </c>
      <c r="E269">
        <v>0</v>
      </c>
    </row>
    <row r="270" spans="1:5">
      <c r="A270">
        <v>7301</v>
      </c>
      <c r="B270">
        <v>1830197</v>
      </c>
      <c r="C270" s="5">
        <v>46053</v>
      </c>
      <c r="D270" t="s">
        <v>459</v>
      </c>
      <c r="E270">
        <v>1100</v>
      </c>
    </row>
    <row r="271" spans="1:5">
      <c r="A271">
        <v>7311</v>
      </c>
      <c r="B271">
        <v>1830197</v>
      </c>
      <c r="C271" s="5">
        <v>46053</v>
      </c>
      <c r="D271" t="s">
        <v>459</v>
      </c>
      <c r="E271">
        <v>0</v>
      </c>
    </row>
    <row r="272" spans="1:5">
      <c r="A272">
        <v>7312</v>
      </c>
      <c r="B272">
        <v>1830197</v>
      </c>
      <c r="C272" s="5">
        <v>46053</v>
      </c>
      <c r="D272" t="s">
        <v>459</v>
      </c>
      <c r="E272">
        <v>225</v>
      </c>
    </row>
    <row r="273" spans="1:5">
      <c r="A273">
        <v>7313</v>
      </c>
      <c r="B273">
        <v>1830197</v>
      </c>
      <c r="C273" s="5">
        <v>46053</v>
      </c>
      <c r="D273" t="s">
        <v>459</v>
      </c>
      <c r="E273">
        <v>330</v>
      </c>
    </row>
    <row r="274" spans="1:5">
      <c r="A274">
        <v>7326</v>
      </c>
      <c r="B274">
        <v>1830197</v>
      </c>
      <c r="C274" s="5">
        <v>46053</v>
      </c>
      <c r="D274" t="s">
        <v>459</v>
      </c>
      <c r="E274">
        <v>0</v>
      </c>
    </row>
    <row r="275" spans="1:5">
      <c r="A275">
        <v>7333</v>
      </c>
      <c r="B275">
        <v>1830197</v>
      </c>
      <c r="C275" s="5">
        <v>46053</v>
      </c>
      <c r="D275" t="s">
        <v>459</v>
      </c>
      <c r="E275">
        <v>3530</v>
      </c>
    </row>
    <row r="276" spans="1:5">
      <c r="A276">
        <v>7421</v>
      </c>
      <c r="B276">
        <v>1830197</v>
      </c>
      <c r="C276" s="5">
        <v>46053</v>
      </c>
      <c r="D276" t="s">
        <v>459</v>
      </c>
      <c r="E276">
        <v>0</v>
      </c>
    </row>
    <row r="277" spans="1:5">
      <c r="A277">
        <v>7422</v>
      </c>
      <c r="B277">
        <v>1830197</v>
      </c>
      <c r="C277" s="5">
        <v>46053</v>
      </c>
      <c r="D277" t="s">
        <v>459</v>
      </c>
      <c r="E277">
        <v>3.8</v>
      </c>
    </row>
    <row r="278" spans="1:5">
      <c r="A278">
        <v>7634</v>
      </c>
      <c r="B278">
        <v>1830197</v>
      </c>
      <c r="C278" s="5">
        <v>46053</v>
      </c>
      <c r="D278" t="s">
        <v>459</v>
      </c>
      <c r="E278">
        <v>5135</v>
      </c>
    </row>
    <row r="279" spans="1:5">
      <c r="A279">
        <v>7919</v>
      </c>
      <c r="B279">
        <v>1830197</v>
      </c>
      <c r="C279" s="5">
        <v>46053</v>
      </c>
      <c r="D279" t="s">
        <v>459</v>
      </c>
      <c r="E279">
        <v>48</v>
      </c>
    </row>
    <row r="280" spans="1:5">
      <c r="A280">
        <v>7920</v>
      </c>
      <c r="B280">
        <v>1830197</v>
      </c>
      <c r="C280" s="5">
        <v>46053</v>
      </c>
      <c r="D280" t="s">
        <v>459</v>
      </c>
      <c r="E280">
        <v>1563</v>
      </c>
    </row>
    <row r="281" spans="1:5">
      <c r="A281">
        <v>7969</v>
      </c>
      <c r="B281">
        <v>1830197</v>
      </c>
      <c r="C281" s="5">
        <v>46053</v>
      </c>
      <c r="D281" t="s">
        <v>459</v>
      </c>
      <c r="E281">
        <v>0</v>
      </c>
    </row>
    <row r="282" spans="1:5">
      <c r="A282">
        <v>8159</v>
      </c>
      <c r="B282">
        <v>1830197</v>
      </c>
      <c r="C282" s="5">
        <v>46053</v>
      </c>
      <c r="D282" t="s">
        <v>459</v>
      </c>
      <c r="E282">
        <v>0</v>
      </c>
    </row>
    <row r="283" spans="1:5">
      <c r="A283">
        <v>8201</v>
      </c>
      <c r="B283">
        <v>1830197</v>
      </c>
      <c r="C283" s="5">
        <v>46053</v>
      </c>
      <c r="D283" t="s">
        <v>459</v>
      </c>
      <c r="E283">
        <v>2068</v>
      </c>
    </row>
    <row r="284" spans="1:5">
      <c r="A284">
        <v>8207</v>
      </c>
      <c r="B284">
        <v>1830197</v>
      </c>
      <c r="C284" s="5">
        <v>46053</v>
      </c>
      <c r="D284" t="s">
        <v>459</v>
      </c>
      <c r="E284">
        <v>0</v>
      </c>
    </row>
    <row r="285" spans="1:5">
      <c r="A285">
        <v>8322</v>
      </c>
      <c r="B285">
        <v>1830197</v>
      </c>
      <c r="C285" s="5">
        <v>46053</v>
      </c>
      <c r="D285" t="s">
        <v>459</v>
      </c>
      <c r="E285">
        <v>0</v>
      </c>
    </row>
    <row r="286" spans="1:5">
      <c r="A286">
        <v>8541</v>
      </c>
      <c r="B286">
        <v>1830197</v>
      </c>
      <c r="C286" s="5">
        <v>46053</v>
      </c>
      <c r="D286" t="s">
        <v>459</v>
      </c>
      <c r="E286">
        <v>861</v>
      </c>
    </row>
    <row r="287" spans="1:5">
      <c r="A287">
        <v>8800</v>
      </c>
      <c r="B287">
        <v>1830197</v>
      </c>
      <c r="C287" s="5">
        <v>46053</v>
      </c>
      <c r="D287" t="s">
        <v>459</v>
      </c>
      <c r="E287">
        <v>0</v>
      </c>
    </row>
    <row r="288" spans="1:5">
      <c r="A288">
        <v>8801</v>
      </c>
      <c r="B288">
        <v>1830197</v>
      </c>
      <c r="C288" s="5">
        <v>46053</v>
      </c>
      <c r="D288" t="s">
        <v>459</v>
      </c>
      <c r="E288">
        <v>0</v>
      </c>
    </row>
    <row r="289" spans="1:5">
      <c r="A289">
        <v>8886</v>
      </c>
      <c r="B289">
        <v>1830197</v>
      </c>
      <c r="C289" s="5">
        <v>46053</v>
      </c>
      <c r="D289" t="s">
        <v>459</v>
      </c>
      <c r="E289">
        <v>0</v>
      </c>
    </row>
    <row r="290" spans="1:5">
      <c r="A290">
        <v>8951</v>
      </c>
      <c r="B290">
        <v>1830197</v>
      </c>
      <c r="C290" s="5">
        <v>46053</v>
      </c>
      <c r="D290" t="s">
        <v>459</v>
      </c>
      <c r="E290">
        <v>0</v>
      </c>
    </row>
    <row r="291" spans="1:5">
      <c r="A291">
        <v>8970</v>
      </c>
      <c r="B291">
        <v>1830197</v>
      </c>
      <c r="C291" s="5">
        <v>46053</v>
      </c>
      <c r="D291" t="s">
        <v>459</v>
      </c>
      <c r="E291">
        <v>82.5</v>
      </c>
    </row>
    <row r="292" spans="1:5">
      <c r="A292">
        <v>9110</v>
      </c>
      <c r="B292">
        <v>1830197</v>
      </c>
      <c r="C292" s="5">
        <v>46053</v>
      </c>
      <c r="D292" t="s">
        <v>459</v>
      </c>
      <c r="E292">
        <v>3000</v>
      </c>
    </row>
    <row r="293" spans="1:5">
      <c r="A293">
        <v>9456</v>
      </c>
      <c r="B293">
        <v>1830197</v>
      </c>
      <c r="C293" s="5">
        <v>46053</v>
      </c>
      <c r="D293" t="s">
        <v>459</v>
      </c>
      <c r="E293">
        <v>0</v>
      </c>
    </row>
    <row r="294" spans="1:5">
      <c r="A294">
        <v>9903</v>
      </c>
      <c r="B294">
        <v>1830197</v>
      </c>
      <c r="C294" s="5">
        <v>46053</v>
      </c>
      <c r="D294" t="s">
        <v>459</v>
      </c>
      <c r="E294">
        <v>0</v>
      </c>
    </row>
    <row r="295" spans="1:5">
      <c r="A295">
        <v>9920</v>
      </c>
      <c r="B295">
        <v>1830197</v>
      </c>
      <c r="C295" s="5">
        <v>46053</v>
      </c>
      <c r="D295" t="s">
        <v>459</v>
      </c>
      <c r="E295">
        <v>0</v>
      </c>
    </row>
    <row r="296" spans="1:5">
      <c r="A296">
        <v>9930</v>
      </c>
      <c r="B296">
        <v>1830197</v>
      </c>
      <c r="C296" s="5">
        <v>46053</v>
      </c>
      <c r="D296" t="s">
        <v>459</v>
      </c>
      <c r="E296">
        <v>2</v>
      </c>
    </row>
    <row r="297" spans="1:5">
      <c r="A297">
        <v>9931</v>
      </c>
      <c r="B297">
        <v>1830197</v>
      </c>
      <c r="C297" s="5">
        <v>46053</v>
      </c>
      <c r="D297" t="s">
        <v>459</v>
      </c>
      <c r="E297">
        <v>14</v>
      </c>
    </row>
    <row r="298" spans="1:5">
      <c r="A298">
        <v>9972</v>
      </c>
      <c r="B298">
        <v>1830197</v>
      </c>
      <c r="C298" s="5">
        <v>46053</v>
      </c>
      <c r="D298" t="s">
        <v>459</v>
      </c>
      <c r="E298">
        <v>2.7</v>
      </c>
    </row>
    <row r="299" spans="1:5">
      <c r="A299">
        <v>10010</v>
      </c>
      <c r="B299">
        <v>1830197</v>
      </c>
      <c r="C299" s="5">
        <v>46053</v>
      </c>
      <c r="D299" t="s">
        <v>459</v>
      </c>
      <c r="E299">
        <v>0</v>
      </c>
    </row>
    <row r="300" spans="1:5">
      <c r="A300">
        <v>10264</v>
      </c>
      <c r="B300">
        <v>1830197</v>
      </c>
      <c r="C300" s="5">
        <v>46053</v>
      </c>
      <c r="D300" t="s">
        <v>459</v>
      </c>
      <c r="E300">
        <v>6.51</v>
      </c>
    </row>
    <row r="301" spans="1:5">
      <c r="A301">
        <v>10294</v>
      </c>
      <c r="B301">
        <v>1830197</v>
      </c>
      <c r="C301" s="5">
        <v>46053</v>
      </c>
      <c r="D301" t="s">
        <v>459</v>
      </c>
      <c r="E301">
        <v>6000</v>
      </c>
    </row>
    <row r="302" spans="1:5">
      <c r="A302">
        <v>10295</v>
      </c>
      <c r="B302">
        <v>1830197</v>
      </c>
      <c r="C302" s="5">
        <v>46053</v>
      </c>
      <c r="D302" t="s">
        <v>459</v>
      </c>
      <c r="E302">
        <v>0</v>
      </c>
    </row>
    <row r="303" spans="1:5">
      <c r="A303">
        <v>10296</v>
      </c>
      <c r="B303">
        <v>1830197</v>
      </c>
      <c r="C303" s="5">
        <v>46053</v>
      </c>
      <c r="D303" t="s">
        <v>459</v>
      </c>
      <c r="E303">
        <v>0</v>
      </c>
    </row>
    <row r="304" spans="1:5">
      <c r="A304">
        <v>10297</v>
      </c>
      <c r="B304">
        <v>1830197</v>
      </c>
      <c r="C304" s="5">
        <v>46053</v>
      </c>
      <c r="D304" t="s">
        <v>459</v>
      </c>
      <c r="E304">
        <v>0</v>
      </c>
    </row>
    <row r="305" spans="1:5">
      <c r="A305">
        <v>10298</v>
      </c>
      <c r="B305">
        <v>1830197</v>
      </c>
      <c r="C305" s="5">
        <v>46053</v>
      </c>
      <c r="D305" t="s">
        <v>459</v>
      </c>
      <c r="E305">
        <v>1800</v>
      </c>
    </row>
    <row r="306" spans="1:5">
      <c r="A306">
        <v>10299</v>
      </c>
      <c r="B306">
        <v>1830197</v>
      </c>
      <c r="C306" s="5">
        <v>46053</v>
      </c>
      <c r="D306" t="s">
        <v>459</v>
      </c>
      <c r="E306">
        <v>2800</v>
      </c>
    </row>
    <row r="307" spans="1:5">
      <c r="A307">
        <v>10458</v>
      </c>
      <c r="B307">
        <v>1830197</v>
      </c>
      <c r="C307" s="5">
        <v>46053</v>
      </c>
      <c r="D307" t="s">
        <v>459</v>
      </c>
      <c r="E307">
        <v>0</v>
      </c>
    </row>
    <row r="308" spans="1:5">
      <c r="A308">
        <v>10550</v>
      </c>
      <c r="B308">
        <v>1830197</v>
      </c>
      <c r="C308" s="5">
        <v>46053</v>
      </c>
      <c r="D308" t="s">
        <v>459</v>
      </c>
      <c r="E308">
        <v>67</v>
      </c>
    </row>
    <row r="309" spans="1:5">
      <c r="A309">
        <v>10594</v>
      </c>
      <c r="B309">
        <v>1830197</v>
      </c>
      <c r="C309" s="5">
        <v>46053</v>
      </c>
      <c r="D309" t="s">
        <v>459</v>
      </c>
      <c r="E309">
        <v>8</v>
      </c>
    </row>
    <row r="310" spans="1:5">
      <c r="A310">
        <v>10595</v>
      </c>
      <c r="B310">
        <v>1830197</v>
      </c>
      <c r="C310" s="5">
        <v>46053</v>
      </c>
      <c r="D310" t="s">
        <v>459</v>
      </c>
      <c r="E310">
        <v>10</v>
      </c>
    </row>
    <row r="311" spans="1:5">
      <c r="A311">
        <v>10596</v>
      </c>
      <c r="B311">
        <v>1830197</v>
      </c>
      <c r="C311" s="5">
        <v>46053</v>
      </c>
      <c r="D311" t="s">
        <v>459</v>
      </c>
      <c r="E311">
        <v>8</v>
      </c>
    </row>
    <row r="312" spans="1:5">
      <c r="A312">
        <v>10597</v>
      </c>
      <c r="B312">
        <v>1830197</v>
      </c>
      <c r="C312" s="5">
        <v>46053</v>
      </c>
      <c r="D312" t="s">
        <v>459</v>
      </c>
      <c r="E312">
        <v>17</v>
      </c>
    </row>
    <row r="313" spans="1:5">
      <c r="A313">
        <v>10598</v>
      </c>
      <c r="B313">
        <v>1830197</v>
      </c>
      <c r="C313" s="5">
        <v>46053</v>
      </c>
      <c r="D313" t="s">
        <v>459</v>
      </c>
      <c r="E313">
        <v>86</v>
      </c>
    </row>
    <row r="314" spans="1:5">
      <c r="A314">
        <v>10599</v>
      </c>
      <c r="B314">
        <v>1830197</v>
      </c>
      <c r="C314" s="5">
        <v>46053</v>
      </c>
      <c r="D314" t="s">
        <v>459</v>
      </c>
      <c r="E314">
        <v>0</v>
      </c>
    </row>
    <row r="315" spans="1:5">
      <c r="A315">
        <v>10629</v>
      </c>
      <c r="B315">
        <v>1830197</v>
      </c>
      <c r="C315" s="5">
        <v>46053</v>
      </c>
      <c r="D315" t="s">
        <v>459</v>
      </c>
      <c r="E315">
        <v>1781</v>
      </c>
    </row>
    <row r="316" spans="1:5">
      <c r="A316">
        <v>10683</v>
      </c>
      <c r="B316">
        <v>1830197</v>
      </c>
      <c r="C316" s="5">
        <v>46053</v>
      </c>
      <c r="D316" t="s">
        <v>459</v>
      </c>
      <c r="E316">
        <v>0</v>
      </c>
    </row>
    <row r="317" spans="1:5">
      <c r="A317">
        <v>10685</v>
      </c>
      <c r="B317">
        <v>1830197</v>
      </c>
      <c r="C317" s="5">
        <v>46053</v>
      </c>
      <c r="D317" t="s">
        <v>459</v>
      </c>
      <c r="E317">
        <v>0</v>
      </c>
    </row>
    <row r="318" spans="1:5">
      <c r="A318">
        <v>10754</v>
      </c>
      <c r="B318">
        <v>1830197</v>
      </c>
      <c r="C318" s="5">
        <v>46053</v>
      </c>
      <c r="D318" t="s">
        <v>459</v>
      </c>
      <c r="E318">
        <v>0</v>
      </c>
    </row>
    <row r="319" spans="1:5">
      <c r="A319">
        <v>10958</v>
      </c>
      <c r="B319">
        <v>1830197</v>
      </c>
      <c r="C319" s="5">
        <v>46053</v>
      </c>
      <c r="D319" t="s">
        <v>459</v>
      </c>
      <c r="E319">
        <v>3580</v>
      </c>
    </row>
    <row r="320" spans="1:5">
      <c r="A320">
        <v>11056</v>
      </c>
      <c r="B320">
        <v>1830197</v>
      </c>
      <c r="C320" s="5">
        <v>46053</v>
      </c>
      <c r="D320" t="s">
        <v>459</v>
      </c>
      <c r="E320">
        <v>0</v>
      </c>
    </row>
    <row r="321" spans="1:5">
      <c r="A321">
        <v>11162</v>
      </c>
      <c r="B321">
        <v>1830197</v>
      </c>
      <c r="C321" s="5">
        <v>46053</v>
      </c>
      <c r="D321" t="s">
        <v>459</v>
      </c>
      <c r="E321">
        <v>0</v>
      </c>
    </row>
    <row r="322" spans="1:5">
      <c r="A322">
        <v>11172</v>
      </c>
      <c r="B322">
        <v>1830197</v>
      </c>
      <c r="C322" s="5">
        <v>46053</v>
      </c>
      <c r="D322" t="s">
        <v>459</v>
      </c>
      <c r="E322">
        <v>0</v>
      </c>
    </row>
    <row r="323" spans="1:5">
      <c r="A323">
        <v>11312</v>
      </c>
      <c r="B323">
        <v>1830197</v>
      </c>
      <c r="C323" s="5">
        <v>46053</v>
      </c>
      <c r="D323" t="s">
        <v>459</v>
      </c>
      <c r="E323">
        <v>545</v>
      </c>
    </row>
    <row r="324" spans="1:5">
      <c r="A324">
        <v>11313</v>
      </c>
      <c r="B324">
        <v>1830197</v>
      </c>
      <c r="C324" s="5">
        <v>46053</v>
      </c>
      <c r="D324" t="s">
        <v>459</v>
      </c>
      <c r="E324">
        <v>0</v>
      </c>
    </row>
    <row r="325" spans="1:5">
      <c r="A325">
        <v>11322</v>
      </c>
      <c r="B325">
        <v>1830197</v>
      </c>
      <c r="C325" s="5">
        <v>46053</v>
      </c>
      <c r="D325" t="s">
        <v>459</v>
      </c>
      <c r="E325">
        <v>0</v>
      </c>
    </row>
    <row r="326" spans="1:5">
      <c r="A326">
        <v>11323</v>
      </c>
      <c r="B326">
        <v>1830197</v>
      </c>
      <c r="C326" s="5">
        <v>46053</v>
      </c>
      <c r="D326" t="s">
        <v>459</v>
      </c>
      <c r="E326">
        <v>0</v>
      </c>
    </row>
    <row r="327" spans="1:5">
      <c r="A327">
        <v>11588</v>
      </c>
      <c r="B327">
        <v>1830197</v>
      </c>
      <c r="C327" s="5">
        <v>46053</v>
      </c>
      <c r="D327" t="s">
        <v>459</v>
      </c>
      <c r="E327">
        <v>0</v>
      </c>
    </row>
    <row r="328" spans="1:5">
      <c r="A328">
        <v>11597</v>
      </c>
      <c r="B328">
        <v>1830197</v>
      </c>
      <c r="C328" s="5">
        <v>46053</v>
      </c>
      <c r="D328" t="s">
        <v>459</v>
      </c>
      <c r="E328">
        <v>0</v>
      </c>
    </row>
    <row r="329" spans="1:5">
      <c r="A329">
        <v>11662</v>
      </c>
      <c r="B329">
        <v>1830197</v>
      </c>
      <c r="C329" s="5">
        <v>46053</v>
      </c>
      <c r="D329" t="s">
        <v>459</v>
      </c>
      <c r="E329">
        <v>0</v>
      </c>
    </row>
    <row r="330" spans="1:5">
      <c r="A330">
        <v>11663</v>
      </c>
      <c r="B330">
        <v>1830197</v>
      </c>
      <c r="C330" s="5">
        <v>46053</v>
      </c>
      <c r="D330" t="s">
        <v>459</v>
      </c>
      <c r="E330">
        <v>0</v>
      </c>
    </row>
    <row r="331" spans="1:5">
      <c r="A331">
        <v>11676</v>
      </c>
      <c r="B331">
        <v>1830197</v>
      </c>
      <c r="C331" s="5">
        <v>46053</v>
      </c>
      <c r="D331" t="s">
        <v>459</v>
      </c>
      <c r="E331">
        <v>0</v>
      </c>
    </row>
    <row r="332" spans="1:5">
      <c r="A332">
        <v>11720</v>
      </c>
      <c r="B332">
        <v>1830197</v>
      </c>
      <c r="C332" s="5">
        <v>46053</v>
      </c>
      <c r="D332" t="s">
        <v>459</v>
      </c>
      <c r="E332">
        <v>0</v>
      </c>
    </row>
    <row r="333" spans="1:5">
      <c r="A333">
        <v>11883</v>
      </c>
      <c r="B333">
        <v>1830197</v>
      </c>
      <c r="C333" s="5">
        <v>46053</v>
      </c>
      <c r="D333" t="s">
        <v>459</v>
      </c>
      <c r="E333">
        <v>280</v>
      </c>
    </row>
    <row r="334" spans="1:5">
      <c r="A334">
        <v>12037</v>
      </c>
      <c r="B334">
        <v>1830197</v>
      </c>
      <c r="C334" s="5">
        <v>46053</v>
      </c>
      <c r="D334" t="s">
        <v>459</v>
      </c>
      <c r="E334">
        <v>0</v>
      </c>
    </row>
    <row r="335" spans="1:5">
      <c r="A335">
        <v>12063</v>
      </c>
      <c r="B335">
        <v>1830197</v>
      </c>
      <c r="C335" s="5">
        <v>46053</v>
      </c>
      <c r="D335" t="s">
        <v>459</v>
      </c>
      <c r="E335">
        <v>0</v>
      </c>
    </row>
    <row r="336" spans="1:5">
      <c r="A336">
        <v>12234</v>
      </c>
      <c r="B336">
        <v>1830197</v>
      </c>
      <c r="C336" s="5">
        <v>46053</v>
      </c>
      <c r="D336" t="s">
        <v>459</v>
      </c>
      <c r="E336">
        <v>857</v>
      </c>
    </row>
    <row r="337" spans="1:5">
      <c r="A337">
        <v>12244</v>
      </c>
      <c r="B337">
        <v>1830197</v>
      </c>
      <c r="C337" s="5">
        <v>46053</v>
      </c>
      <c r="D337" t="s">
        <v>459</v>
      </c>
      <c r="E337">
        <v>0</v>
      </c>
    </row>
    <row r="338" spans="1:5">
      <c r="A338">
        <v>12245</v>
      </c>
      <c r="B338">
        <v>1830197</v>
      </c>
      <c r="C338" s="5">
        <v>46053</v>
      </c>
      <c r="D338" t="s">
        <v>459</v>
      </c>
      <c r="E338">
        <v>0</v>
      </c>
    </row>
    <row r="339" spans="1:5">
      <c r="A339">
        <v>12322</v>
      </c>
      <c r="B339">
        <v>1830197</v>
      </c>
      <c r="C339" s="5">
        <v>46053</v>
      </c>
      <c r="D339" t="s">
        <v>459</v>
      </c>
      <c r="E339">
        <v>6000</v>
      </c>
    </row>
    <row r="340" spans="1:5">
      <c r="A340">
        <v>12713</v>
      </c>
      <c r="B340">
        <v>1830197</v>
      </c>
      <c r="C340" s="5">
        <v>46053</v>
      </c>
      <c r="D340" t="s">
        <v>459</v>
      </c>
      <c r="E340">
        <v>1490</v>
      </c>
    </row>
    <row r="341" spans="1:5">
      <c r="A341">
        <v>13201</v>
      </c>
      <c r="B341">
        <v>1830197</v>
      </c>
      <c r="C341" s="5">
        <v>46053</v>
      </c>
      <c r="D341" t="s">
        <v>459</v>
      </c>
      <c r="E341">
        <v>375</v>
      </c>
    </row>
    <row r="342" spans="1:5">
      <c r="A342">
        <v>13229</v>
      </c>
      <c r="B342">
        <v>1830197</v>
      </c>
      <c r="C342" s="5">
        <v>46053</v>
      </c>
      <c r="D342" t="s">
        <v>459</v>
      </c>
      <c r="E342">
        <v>382.5</v>
      </c>
    </row>
    <row r="343" spans="1:5">
      <c r="A343">
        <v>13322</v>
      </c>
      <c r="B343">
        <v>1830197</v>
      </c>
      <c r="C343" s="5">
        <v>46053</v>
      </c>
      <c r="D343" t="s">
        <v>459</v>
      </c>
      <c r="E343">
        <v>0</v>
      </c>
    </row>
    <row r="344" spans="1:5">
      <c r="A344">
        <v>13450</v>
      </c>
      <c r="B344">
        <v>1830197</v>
      </c>
      <c r="C344" s="5">
        <v>46053</v>
      </c>
      <c r="D344" t="s">
        <v>459</v>
      </c>
      <c r="E344">
        <v>0</v>
      </c>
    </row>
    <row r="345" spans="1:5">
      <c r="A345">
        <v>13451</v>
      </c>
      <c r="B345">
        <v>1830197</v>
      </c>
      <c r="C345" s="5">
        <v>46053</v>
      </c>
      <c r="D345" t="s">
        <v>459</v>
      </c>
      <c r="E345">
        <v>0</v>
      </c>
    </row>
    <row r="346" spans="1:5">
      <c r="A346">
        <v>13537</v>
      </c>
      <c r="B346">
        <v>1830197</v>
      </c>
      <c r="C346" s="5">
        <v>46053</v>
      </c>
      <c r="D346" t="s">
        <v>459</v>
      </c>
      <c r="E346">
        <v>0</v>
      </c>
    </row>
    <row r="347" spans="1:5">
      <c r="A347">
        <v>13539</v>
      </c>
      <c r="B347">
        <v>1830197</v>
      </c>
      <c r="C347" s="5">
        <v>46053</v>
      </c>
      <c r="D347" t="s">
        <v>459</v>
      </c>
      <c r="E347">
        <v>0</v>
      </c>
    </row>
    <row r="348" spans="1:5">
      <c r="A348">
        <v>13540</v>
      </c>
      <c r="B348">
        <v>1830197</v>
      </c>
      <c r="C348" s="5">
        <v>46053</v>
      </c>
      <c r="D348" t="s">
        <v>459</v>
      </c>
      <c r="E348">
        <v>0</v>
      </c>
    </row>
    <row r="349" spans="1:5">
      <c r="A349">
        <v>13541</v>
      </c>
      <c r="B349">
        <v>1830197</v>
      </c>
      <c r="C349" s="5">
        <v>46053</v>
      </c>
      <c r="D349" t="s">
        <v>459</v>
      </c>
      <c r="E349">
        <v>0</v>
      </c>
    </row>
    <row r="350" spans="1:5">
      <c r="A350">
        <v>13542</v>
      </c>
      <c r="B350">
        <v>1830197</v>
      </c>
      <c r="C350" s="5">
        <v>46053</v>
      </c>
      <c r="D350" t="s">
        <v>459</v>
      </c>
      <c r="E350">
        <v>0</v>
      </c>
    </row>
    <row r="351" spans="1:5">
      <c r="A351">
        <v>13837</v>
      </c>
      <c r="B351">
        <v>1830197</v>
      </c>
      <c r="C351" s="5">
        <v>46053</v>
      </c>
      <c r="D351" t="s">
        <v>459</v>
      </c>
      <c r="E351">
        <v>0</v>
      </c>
    </row>
    <row r="352" spans="1:5">
      <c r="A352">
        <v>13874</v>
      </c>
      <c r="B352">
        <v>1830197</v>
      </c>
      <c r="C352" s="5">
        <v>46053</v>
      </c>
      <c r="D352" t="s">
        <v>459</v>
      </c>
      <c r="E352">
        <v>0</v>
      </c>
    </row>
    <row r="353" spans="1:5">
      <c r="A353">
        <v>14069</v>
      </c>
      <c r="B353">
        <v>1830197</v>
      </c>
      <c r="C353" s="5">
        <v>46053</v>
      </c>
      <c r="D353" t="s">
        <v>459</v>
      </c>
      <c r="E353">
        <v>0</v>
      </c>
    </row>
    <row r="354" spans="1:5">
      <c r="A354">
        <v>14165</v>
      </c>
      <c r="B354">
        <v>1830197</v>
      </c>
      <c r="C354" s="5">
        <v>46053</v>
      </c>
      <c r="D354" t="s">
        <v>459</v>
      </c>
      <c r="E354">
        <v>4200</v>
      </c>
    </row>
    <row r="355" spans="1:5">
      <c r="A355">
        <v>14186</v>
      </c>
      <c r="B355">
        <v>1830197</v>
      </c>
      <c r="C355" s="5">
        <v>46053</v>
      </c>
      <c r="D355" t="s">
        <v>459</v>
      </c>
      <c r="E355">
        <v>1000</v>
      </c>
    </row>
    <row r="356" spans="1:5">
      <c r="A356">
        <v>14198</v>
      </c>
      <c r="B356">
        <v>1830197</v>
      </c>
      <c r="C356" s="5">
        <v>46053</v>
      </c>
      <c r="D356" t="s">
        <v>459</v>
      </c>
      <c r="E356">
        <v>1677</v>
      </c>
    </row>
    <row r="357" spans="1:5">
      <c r="A357">
        <v>14265</v>
      </c>
      <c r="B357">
        <v>1830197</v>
      </c>
      <c r="C357" s="5">
        <v>46053</v>
      </c>
      <c r="D357" t="s">
        <v>459</v>
      </c>
      <c r="E357">
        <v>0</v>
      </c>
    </row>
    <row r="358" spans="1:5">
      <c r="A358">
        <v>14410</v>
      </c>
      <c r="B358">
        <v>1830197</v>
      </c>
      <c r="C358" s="5">
        <v>46053</v>
      </c>
      <c r="D358" t="s">
        <v>459</v>
      </c>
      <c r="E358">
        <v>0</v>
      </c>
    </row>
    <row r="359" spans="1:5">
      <c r="A359">
        <v>14430</v>
      </c>
      <c r="B359">
        <v>1830197</v>
      </c>
      <c r="C359" s="5">
        <v>46053</v>
      </c>
      <c r="D359" t="s">
        <v>459</v>
      </c>
      <c r="E359">
        <v>12.3</v>
      </c>
    </row>
    <row r="360" spans="1:5">
      <c r="A360">
        <v>14540</v>
      </c>
      <c r="B360">
        <v>1830197</v>
      </c>
      <c r="C360" s="5">
        <v>46053</v>
      </c>
      <c r="D360" t="s">
        <v>459</v>
      </c>
      <c r="E360">
        <v>0</v>
      </c>
    </row>
    <row r="361" spans="1:5">
      <c r="A361">
        <v>14587</v>
      </c>
      <c r="B361">
        <v>1830197</v>
      </c>
      <c r="C361" s="5">
        <v>46053</v>
      </c>
      <c r="D361" t="s">
        <v>459</v>
      </c>
      <c r="E361">
        <v>0</v>
      </c>
    </row>
    <row r="362" spans="1:5">
      <c r="A362">
        <v>14707</v>
      </c>
      <c r="B362">
        <v>1830197</v>
      </c>
      <c r="C362" s="5">
        <v>46053</v>
      </c>
      <c r="D362" t="s">
        <v>459</v>
      </c>
      <c r="E362">
        <v>0</v>
      </c>
    </row>
    <row r="363" spans="1:5">
      <c r="A363">
        <v>14752</v>
      </c>
      <c r="B363">
        <v>1830197</v>
      </c>
      <c r="C363" s="5">
        <v>46053</v>
      </c>
      <c r="D363" t="s">
        <v>459</v>
      </c>
      <c r="E363">
        <v>0</v>
      </c>
    </row>
    <row r="364" spans="1:5">
      <c r="A364">
        <v>14838</v>
      </c>
      <c r="B364">
        <v>1830197</v>
      </c>
      <c r="C364" s="5">
        <v>46053</v>
      </c>
      <c r="D364" t="s">
        <v>459</v>
      </c>
      <c r="E364">
        <v>0</v>
      </c>
    </row>
    <row r="365" spans="1:5">
      <c r="A365">
        <v>15065</v>
      </c>
      <c r="B365">
        <v>1830197</v>
      </c>
      <c r="C365" s="5">
        <v>46053</v>
      </c>
      <c r="D365" t="s">
        <v>459</v>
      </c>
      <c r="E365">
        <v>0</v>
      </c>
    </row>
    <row r="366" spans="1:5">
      <c r="A366">
        <v>15114</v>
      </c>
      <c r="B366">
        <v>1830197</v>
      </c>
      <c r="C366" s="5">
        <v>46053</v>
      </c>
      <c r="D366" t="s">
        <v>459</v>
      </c>
      <c r="E366">
        <v>0</v>
      </c>
    </row>
    <row r="367" spans="1:5">
      <c r="A367">
        <v>15196</v>
      </c>
      <c r="B367">
        <v>1830197</v>
      </c>
      <c r="C367" s="5">
        <v>46053</v>
      </c>
      <c r="D367" t="s">
        <v>459</v>
      </c>
      <c r="E367">
        <v>0</v>
      </c>
    </row>
    <row r="368" spans="1:5">
      <c r="A368">
        <v>15306</v>
      </c>
      <c r="B368">
        <v>1830197</v>
      </c>
      <c r="C368" s="5">
        <v>46053</v>
      </c>
      <c r="D368" t="s">
        <v>459</v>
      </c>
      <c r="E368">
        <v>0</v>
      </c>
    </row>
    <row r="369" spans="1:5">
      <c r="A369">
        <v>15339</v>
      </c>
      <c r="B369">
        <v>1830197</v>
      </c>
      <c r="C369" s="5">
        <v>46053</v>
      </c>
      <c r="D369" t="s">
        <v>459</v>
      </c>
      <c r="E369">
        <v>0</v>
      </c>
    </row>
    <row r="370" spans="1:5">
      <c r="A370">
        <v>15394</v>
      </c>
      <c r="B370">
        <v>1830197</v>
      </c>
      <c r="C370" s="5">
        <v>46053</v>
      </c>
      <c r="D370" t="s">
        <v>459</v>
      </c>
      <c r="E370">
        <v>0</v>
      </c>
    </row>
    <row r="371" spans="1:5">
      <c r="A371">
        <v>15395</v>
      </c>
      <c r="B371">
        <v>1830197</v>
      </c>
      <c r="C371" s="5">
        <v>46053</v>
      </c>
      <c r="D371" t="s">
        <v>459</v>
      </c>
      <c r="E371">
        <v>0</v>
      </c>
    </row>
    <row r="372" spans="1:5">
      <c r="A372">
        <v>15652</v>
      </c>
      <c r="B372">
        <v>1830197</v>
      </c>
      <c r="C372" s="5">
        <v>46053</v>
      </c>
      <c r="D372" t="s">
        <v>459</v>
      </c>
      <c r="E372">
        <v>0</v>
      </c>
    </row>
    <row r="373" spans="1:5">
      <c r="A373">
        <v>15653</v>
      </c>
      <c r="B373">
        <v>1830197</v>
      </c>
      <c r="C373" s="5">
        <v>46053</v>
      </c>
      <c r="D373" t="s">
        <v>459</v>
      </c>
      <c r="E373">
        <v>0</v>
      </c>
    </row>
    <row r="374" spans="1:5">
      <c r="A374">
        <v>15678</v>
      </c>
      <c r="B374">
        <v>1830197</v>
      </c>
      <c r="C374" s="5">
        <v>46053</v>
      </c>
      <c r="D374" t="s">
        <v>459</v>
      </c>
      <c r="E374">
        <v>397</v>
      </c>
    </row>
    <row r="375" spans="1:5">
      <c r="A375">
        <v>15825</v>
      </c>
      <c r="B375">
        <v>1830197</v>
      </c>
      <c r="C375" s="5">
        <v>46053</v>
      </c>
      <c r="D375" t="s">
        <v>459</v>
      </c>
      <c r="E375">
        <v>10</v>
      </c>
    </row>
    <row r="376" spans="1:5">
      <c r="A376">
        <v>15982</v>
      </c>
      <c r="B376">
        <v>1830197</v>
      </c>
      <c r="C376" s="5">
        <v>46053</v>
      </c>
      <c r="D376" t="s">
        <v>459</v>
      </c>
      <c r="E376">
        <v>85</v>
      </c>
    </row>
    <row r="377" spans="1:5">
      <c r="A377">
        <v>16033</v>
      </c>
      <c r="B377">
        <v>1830197</v>
      </c>
      <c r="C377" s="5">
        <v>46053</v>
      </c>
      <c r="D377" t="s">
        <v>459</v>
      </c>
      <c r="E377">
        <v>0</v>
      </c>
    </row>
    <row r="378" spans="1:5">
      <c r="A378">
        <v>16045</v>
      </c>
      <c r="B378">
        <v>1830197</v>
      </c>
      <c r="C378" s="5">
        <v>46053</v>
      </c>
      <c r="D378" t="s">
        <v>459</v>
      </c>
      <c r="E378">
        <v>0</v>
      </c>
    </row>
    <row r="379" spans="1:5">
      <c r="A379">
        <v>16381</v>
      </c>
      <c r="B379">
        <v>1830197</v>
      </c>
      <c r="C379" s="5">
        <v>46053</v>
      </c>
      <c r="D379" t="s">
        <v>459</v>
      </c>
      <c r="E379">
        <v>0</v>
      </c>
    </row>
    <row r="380" spans="1:5">
      <c r="A380">
        <v>16387</v>
      </c>
      <c r="B380">
        <v>1830197</v>
      </c>
      <c r="C380" s="5">
        <v>46053</v>
      </c>
      <c r="D380" t="s">
        <v>459</v>
      </c>
      <c r="E380">
        <v>1834</v>
      </c>
    </row>
    <row r="381" spans="1:5">
      <c r="A381">
        <v>16564</v>
      </c>
      <c r="B381">
        <v>1830197</v>
      </c>
      <c r="C381" s="5">
        <v>46053</v>
      </c>
      <c r="D381" t="s">
        <v>459</v>
      </c>
      <c r="E381">
        <v>0</v>
      </c>
    </row>
    <row r="382" spans="1:5">
      <c r="A382">
        <v>16565</v>
      </c>
      <c r="B382">
        <v>1830197</v>
      </c>
      <c r="C382" s="5">
        <v>46053</v>
      </c>
      <c r="D382" t="s">
        <v>459</v>
      </c>
      <c r="E382">
        <v>0</v>
      </c>
    </row>
    <row r="383" spans="1:5">
      <c r="A383">
        <v>16569</v>
      </c>
      <c r="B383">
        <v>1830197</v>
      </c>
      <c r="C383" s="5">
        <v>46053</v>
      </c>
      <c r="D383" t="s">
        <v>459</v>
      </c>
      <c r="E383">
        <v>0</v>
      </c>
    </row>
    <row r="384" spans="1:5">
      <c r="A384">
        <v>17091</v>
      </c>
      <c r="B384">
        <v>1830197</v>
      </c>
      <c r="C384" s="5">
        <v>46053</v>
      </c>
      <c r="D384" t="s">
        <v>459</v>
      </c>
      <c r="E384">
        <v>0</v>
      </c>
    </row>
    <row r="385" spans="1:5">
      <c r="A385">
        <v>17113</v>
      </c>
      <c r="B385">
        <v>1830197</v>
      </c>
      <c r="C385" s="5">
        <v>46053</v>
      </c>
      <c r="D385" t="s">
        <v>459</v>
      </c>
      <c r="E385">
        <v>562</v>
      </c>
    </row>
    <row r="386" spans="1:5">
      <c r="A386">
        <v>17362</v>
      </c>
      <c r="B386">
        <v>1830197</v>
      </c>
      <c r="C386" s="5">
        <v>46053</v>
      </c>
      <c r="D386" t="s">
        <v>459</v>
      </c>
      <c r="E386">
        <v>0</v>
      </c>
    </row>
    <row r="387" spans="1:5">
      <c r="A387">
        <v>17363</v>
      </c>
      <c r="B387">
        <v>1830197</v>
      </c>
      <c r="C387" s="5">
        <v>46053</v>
      </c>
      <c r="D387" t="s">
        <v>459</v>
      </c>
      <c r="E387">
        <v>2</v>
      </c>
    </row>
    <row r="388" spans="1:5">
      <c r="A388">
        <v>17383</v>
      </c>
      <c r="B388">
        <v>1830197</v>
      </c>
      <c r="C388" s="5">
        <v>46053</v>
      </c>
      <c r="D388" t="s">
        <v>459</v>
      </c>
      <c r="E388">
        <v>0</v>
      </c>
    </row>
    <row r="389" spans="1:5">
      <c r="A389">
        <v>17384</v>
      </c>
      <c r="B389">
        <v>1830197</v>
      </c>
      <c r="C389" s="5">
        <v>46053</v>
      </c>
      <c r="D389" t="s">
        <v>459</v>
      </c>
      <c r="E389">
        <v>0</v>
      </c>
    </row>
    <row r="390" spans="1:5">
      <c r="A390">
        <v>17385</v>
      </c>
      <c r="B390">
        <v>1830197</v>
      </c>
      <c r="C390" s="5">
        <v>46053</v>
      </c>
      <c r="D390" t="s">
        <v>459</v>
      </c>
      <c r="E390">
        <v>9</v>
      </c>
    </row>
    <row r="391" spans="1:5">
      <c r="A391">
        <v>17482</v>
      </c>
      <c r="B391">
        <v>1830197</v>
      </c>
      <c r="C391" s="5">
        <v>46053</v>
      </c>
      <c r="D391" t="s">
        <v>459</v>
      </c>
      <c r="E391">
        <v>0</v>
      </c>
    </row>
    <row r="392" spans="1:5">
      <c r="A392">
        <v>17515</v>
      </c>
      <c r="B392">
        <v>1830197</v>
      </c>
      <c r="C392" s="5">
        <v>46053</v>
      </c>
      <c r="D392" t="s">
        <v>459</v>
      </c>
      <c r="E392">
        <v>64</v>
      </c>
    </row>
    <row r="393" spans="1:5">
      <c r="A393">
        <v>17581</v>
      </c>
      <c r="B393">
        <v>1830197</v>
      </c>
      <c r="C393" s="5">
        <v>46053</v>
      </c>
      <c r="D393" t="s">
        <v>459</v>
      </c>
      <c r="E393">
        <v>263</v>
      </c>
    </row>
    <row r="394" spans="1:5">
      <c r="A394">
        <v>17588</v>
      </c>
      <c r="B394">
        <v>1830197</v>
      </c>
      <c r="C394" s="5">
        <v>46053</v>
      </c>
      <c r="D394" t="s">
        <v>459</v>
      </c>
      <c r="E394">
        <v>0</v>
      </c>
    </row>
    <row r="395" spans="1:5">
      <c r="A395">
        <v>17639</v>
      </c>
      <c r="B395">
        <v>1830197</v>
      </c>
      <c r="C395" s="5">
        <v>46053</v>
      </c>
      <c r="D395" t="s">
        <v>459</v>
      </c>
      <c r="E395">
        <v>0</v>
      </c>
    </row>
    <row r="396" spans="1:5">
      <c r="A396">
        <v>17771</v>
      </c>
      <c r="B396">
        <v>1830197</v>
      </c>
      <c r="C396" s="5">
        <v>46053</v>
      </c>
      <c r="D396" t="s">
        <v>459</v>
      </c>
      <c r="E396">
        <v>2.2000000000000002</v>
      </c>
    </row>
    <row r="397" spans="1:5">
      <c r="A397">
        <v>17774</v>
      </c>
      <c r="B397">
        <v>1830197</v>
      </c>
      <c r="C397" s="5">
        <v>46053</v>
      </c>
      <c r="D397" t="s">
        <v>459</v>
      </c>
      <c r="E397">
        <v>0</v>
      </c>
    </row>
    <row r="398" spans="1:5">
      <c r="A398">
        <v>17775</v>
      </c>
      <c r="B398">
        <v>1830197</v>
      </c>
      <c r="C398" s="5">
        <v>46053</v>
      </c>
      <c r="D398" t="s">
        <v>459</v>
      </c>
      <c r="E398">
        <v>0</v>
      </c>
    </row>
    <row r="399" spans="1:5">
      <c r="A399">
        <v>17849</v>
      </c>
      <c r="B399">
        <v>1830197</v>
      </c>
      <c r="C399" s="5">
        <v>46053</v>
      </c>
      <c r="D399" t="s">
        <v>459</v>
      </c>
      <c r="E399">
        <v>0</v>
      </c>
    </row>
    <row r="400" spans="1:5">
      <c r="A400">
        <v>17947</v>
      </c>
      <c r="B400">
        <v>1830197</v>
      </c>
      <c r="C400" s="5">
        <v>46053</v>
      </c>
      <c r="D400" t="s">
        <v>459</v>
      </c>
      <c r="E400">
        <v>0</v>
      </c>
    </row>
    <row r="401" spans="1:5">
      <c r="A401">
        <v>18087</v>
      </c>
      <c r="B401">
        <v>1830197</v>
      </c>
      <c r="C401" s="5">
        <v>46053</v>
      </c>
      <c r="D401" t="s">
        <v>459</v>
      </c>
      <c r="E401">
        <v>0</v>
      </c>
    </row>
    <row r="402" spans="1:5">
      <c r="A402">
        <v>18088</v>
      </c>
      <c r="B402">
        <v>1830197</v>
      </c>
      <c r="C402" s="5">
        <v>46053</v>
      </c>
      <c r="D402" t="s">
        <v>459</v>
      </c>
      <c r="E402">
        <v>0</v>
      </c>
    </row>
    <row r="403" spans="1:5">
      <c r="A403">
        <v>18161</v>
      </c>
      <c r="B403">
        <v>1830197</v>
      </c>
      <c r="C403" s="5">
        <v>46053</v>
      </c>
      <c r="D403" t="s">
        <v>459</v>
      </c>
      <c r="E403">
        <v>0</v>
      </c>
    </row>
    <row r="404" spans="1:5">
      <c r="A404">
        <v>18229</v>
      </c>
      <c r="B404">
        <v>1830197</v>
      </c>
      <c r="C404" s="5">
        <v>46053</v>
      </c>
      <c r="D404" t="s">
        <v>459</v>
      </c>
      <c r="E404">
        <v>610</v>
      </c>
    </row>
    <row r="405" spans="1:5">
      <c r="A405">
        <v>18309</v>
      </c>
      <c r="B405">
        <v>1830197</v>
      </c>
      <c r="C405" s="5">
        <v>46053</v>
      </c>
      <c r="D405" t="s">
        <v>459</v>
      </c>
      <c r="E405">
        <v>1500</v>
      </c>
    </row>
    <row r="406" spans="1:5">
      <c r="A406">
        <v>18310</v>
      </c>
      <c r="B406">
        <v>1830197</v>
      </c>
      <c r="C406" s="5">
        <v>46053</v>
      </c>
      <c r="D406" t="s">
        <v>459</v>
      </c>
      <c r="E406">
        <v>0</v>
      </c>
    </row>
    <row r="407" spans="1:5">
      <c r="A407">
        <v>18342</v>
      </c>
      <c r="B407">
        <v>1830197</v>
      </c>
      <c r="C407" s="5">
        <v>46053</v>
      </c>
      <c r="D407" t="s">
        <v>459</v>
      </c>
      <c r="E407">
        <v>792</v>
      </c>
    </row>
    <row r="408" spans="1:5">
      <c r="A408">
        <v>18471</v>
      </c>
      <c r="B408">
        <v>1830197</v>
      </c>
      <c r="C408" s="5">
        <v>46053</v>
      </c>
      <c r="D408" t="s">
        <v>459</v>
      </c>
      <c r="E408">
        <v>0</v>
      </c>
    </row>
    <row r="409" spans="1:5">
      <c r="A409">
        <v>18472</v>
      </c>
      <c r="B409">
        <v>1830197</v>
      </c>
      <c r="C409" s="5">
        <v>46053</v>
      </c>
      <c r="D409" t="s">
        <v>459</v>
      </c>
      <c r="E409">
        <v>1500</v>
      </c>
    </row>
    <row r="410" spans="1:5">
      <c r="A410">
        <v>18626</v>
      </c>
      <c r="B410">
        <v>1830197</v>
      </c>
      <c r="C410" s="5">
        <v>46053</v>
      </c>
      <c r="D410" t="s">
        <v>459</v>
      </c>
      <c r="E410">
        <v>1500</v>
      </c>
    </row>
    <row r="411" spans="1:5">
      <c r="A411">
        <v>18640</v>
      </c>
      <c r="B411">
        <v>1830197</v>
      </c>
      <c r="C411" s="5">
        <v>46053</v>
      </c>
      <c r="D411" t="s">
        <v>459</v>
      </c>
      <c r="E411">
        <v>30</v>
      </c>
    </row>
    <row r="412" spans="1:5">
      <c r="A412">
        <v>18649</v>
      </c>
      <c r="B412">
        <v>1830197</v>
      </c>
      <c r="C412" s="5">
        <v>46053</v>
      </c>
      <c r="D412" t="s">
        <v>459</v>
      </c>
      <c r="E412">
        <v>662</v>
      </c>
    </row>
    <row r="413" spans="1:5">
      <c r="A413">
        <v>19050</v>
      </c>
      <c r="B413">
        <v>1830197</v>
      </c>
      <c r="C413" s="5">
        <v>46053</v>
      </c>
      <c r="D413" t="s">
        <v>459</v>
      </c>
      <c r="E413">
        <v>92</v>
      </c>
    </row>
    <row r="414" spans="1:5">
      <c r="A414">
        <v>19051</v>
      </c>
      <c r="B414">
        <v>1830197</v>
      </c>
      <c r="C414" s="5">
        <v>46053</v>
      </c>
      <c r="D414" t="s">
        <v>459</v>
      </c>
      <c r="E414">
        <v>16</v>
      </c>
    </row>
    <row r="415" spans="1:5">
      <c r="A415">
        <v>19060</v>
      </c>
      <c r="B415">
        <v>1830197</v>
      </c>
      <c r="C415" s="5">
        <v>46053</v>
      </c>
      <c r="D415" t="s">
        <v>459</v>
      </c>
      <c r="E415">
        <v>2800</v>
      </c>
    </row>
    <row r="416" spans="1:5">
      <c r="A416">
        <v>19235</v>
      </c>
      <c r="B416">
        <v>1830197</v>
      </c>
      <c r="C416" s="5">
        <v>46053</v>
      </c>
      <c r="D416" t="s">
        <v>459</v>
      </c>
      <c r="E416">
        <v>0</v>
      </c>
    </row>
    <row r="417" spans="1:5">
      <c r="A417">
        <v>19236</v>
      </c>
      <c r="B417">
        <v>1830197</v>
      </c>
      <c r="C417" s="5">
        <v>46053</v>
      </c>
      <c r="D417" t="s">
        <v>459</v>
      </c>
      <c r="E417">
        <v>1500</v>
      </c>
    </row>
    <row r="418" spans="1:5">
      <c r="A418">
        <v>19346</v>
      </c>
      <c r="B418">
        <v>1830197</v>
      </c>
      <c r="C418" s="5">
        <v>46053</v>
      </c>
      <c r="D418" t="s">
        <v>459</v>
      </c>
      <c r="E418">
        <v>1500</v>
      </c>
    </row>
    <row r="419" spans="1:5">
      <c r="A419">
        <v>19500</v>
      </c>
      <c r="B419">
        <v>1830197</v>
      </c>
      <c r="C419" s="5">
        <v>46053</v>
      </c>
      <c r="D419" t="s">
        <v>459</v>
      </c>
      <c r="E419">
        <v>40</v>
      </c>
    </row>
    <row r="420" spans="1:5">
      <c r="A420">
        <v>19541</v>
      </c>
      <c r="B420">
        <v>1830197</v>
      </c>
      <c r="C420" s="5">
        <v>46053</v>
      </c>
      <c r="D420" t="s">
        <v>459</v>
      </c>
      <c r="E420">
        <v>1500</v>
      </c>
    </row>
    <row r="421" spans="1:5">
      <c r="A421">
        <v>19670</v>
      </c>
      <c r="B421">
        <v>1830197</v>
      </c>
      <c r="C421" s="5">
        <v>46053</v>
      </c>
      <c r="D421" t="s">
        <v>459</v>
      </c>
      <c r="E421">
        <v>1400</v>
      </c>
    </row>
    <row r="422" spans="1:5">
      <c r="A422">
        <v>19701</v>
      </c>
      <c r="B422">
        <v>1830197</v>
      </c>
      <c r="C422" s="5">
        <v>46053</v>
      </c>
      <c r="D422" t="s">
        <v>459</v>
      </c>
      <c r="E422">
        <v>0</v>
      </c>
    </row>
    <row r="423" spans="1:5">
      <c r="A423">
        <v>20091</v>
      </c>
      <c r="B423">
        <v>1830197</v>
      </c>
      <c r="C423" s="5">
        <v>46053</v>
      </c>
      <c r="D423" t="s">
        <v>459</v>
      </c>
      <c r="E423">
        <v>3</v>
      </c>
    </row>
    <row r="424" spans="1:5">
      <c r="A424">
        <v>20096</v>
      </c>
      <c r="B424">
        <v>1830197</v>
      </c>
      <c r="C424" s="5">
        <v>46053</v>
      </c>
      <c r="D424" t="s">
        <v>459</v>
      </c>
      <c r="E424">
        <v>7</v>
      </c>
    </row>
    <row r="425" spans="1:5">
      <c r="A425">
        <v>20124</v>
      </c>
      <c r="B425">
        <v>1830197</v>
      </c>
      <c r="C425" s="5">
        <v>46053</v>
      </c>
      <c r="D425" t="s">
        <v>459</v>
      </c>
      <c r="E425">
        <v>636</v>
      </c>
    </row>
    <row r="426" spans="1:5">
      <c r="A426">
        <v>20245</v>
      </c>
      <c r="B426">
        <v>1830197</v>
      </c>
      <c r="C426" s="5">
        <v>46053</v>
      </c>
      <c r="D426" t="s">
        <v>459</v>
      </c>
      <c r="E426">
        <v>5000</v>
      </c>
    </row>
    <row r="427" spans="1:5">
      <c r="A427">
        <v>22061</v>
      </c>
      <c r="B427">
        <v>1830197</v>
      </c>
      <c r="C427" s="5">
        <v>46053</v>
      </c>
      <c r="D427" t="s">
        <v>459</v>
      </c>
      <c r="E427">
        <v>289.58999999999997</v>
      </c>
    </row>
    <row r="428" spans="1:5">
      <c r="A428">
        <v>22070</v>
      </c>
      <c r="B428">
        <v>1830197</v>
      </c>
      <c r="C428" s="5">
        <v>46053</v>
      </c>
      <c r="D428" t="s">
        <v>459</v>
      </c>
      <c r="E428">
        <v>0</v>
      </c>
    </row>
    <row r="429" spans="1:5">
      <c r="A429">
        <v>22388</v>
      </c>
      <c r="B429">
        <v>1830197</v>
      </c>
      <c r="C429" s="5">
        <v>46053</v>
      </c>
      <c r="D429" t="s">
        <v>459</v>
      </c>
      <c r="E429">
        <v>7700</v>
      </c>
    </row>
    <row r="430" spans="1:5">
      <c r="A430">
        <v>23991</v>
      </c>
      <c r="B430">
        <v>1830197</v>
      </c>
      <c r="C430" s="5">
        <v>46053</v>
      </c>
      <c r="D430" t="s">
        <v>459</v>
      </c>
      <c r="E430">
        <v>1</v>
      </c>
    </row>
    <row r="431" spans="1:5">
      <c r="A431">
        <v>24276</v>
      </c>
      <c r="B431">
        <v>1830197</v>
      </c>
      <c r="C431" s="5">
        <v>46053</v>
      </c>
      <c r="D431" t="s">
        <v>459</v>
      </c>
      <c r="E431">
        <v>0</v>
      </c>
    </row>
    <row r="432" spans="1:5">
      <c r="A432">
        <v>24737</v>
      </c>
      <c r="B432">
        <v>1830197</v>
      </c>
      <c r="C432" s="5">
        <v>46053</v>
      </c>
      <c r="D432" t="s">
        <v>459</v>
      </c>
      <c r="E432">
        <v>10</v>
      </c>
    </row>
    <row r="433" spans="1:5">
      <c r="A433">
        <v>24738</v>
      </c>
      <c r="B433">
        <v>1830197</v>
      </c>
      <c r="C433" s="5">
        <v>46053</v>
      </c>
      <c r="D433" t="s">
        <v>459</v>
      </c>
      <c r="E433">
        <v>0</v>
      </c>
    </row>
    <row r="434" spans="1:5">
      <c r="A434">
        <v>30139</v>
      </c>
      <c r="B434">
        <v>1830197</v>
      </c>
      <c r="C434" s="5">
        <v>46053</v>
      </c>
      <c r="D434" t="s">
        <v>459</v>
      </c>
      <c r="E434">
        <v>248</v>
      </c>
    </row>
    <row r="435" spans="1:5">
      <c r="A435">
        <v>30140</v>
      </c>
      <c r="B435">
        <v>1830197</v>
      </c>
      <c r="C435" s="5">
        <v>46053</v>
      </c>
      <c r="D435" t="s">
        <v>459</v>
      </c>
      <c r="E435">
        <v>54</v>
      </c>
    </row>
    <row r="436" spans="1:5">
      <c r="A436">
        <v>30154</v>
      </c>
      <c r="B436">
        <v>1830197</v>
      </c>
      <c r="C436" s="5">
        <v>46053</v>
      </c>
      <c r="D436" t="s">
        <v>459</v>
      </c>
      <c r="E436">
        <v>14</v>
      </c>
    </row>
    <row r="437" spans="1:5">
      <c r="A437">
        <v>34120</v>
      </c>
      <c r="B437">
        <v>1830197</v>
      </c>
      <c r="C437" s="5">
        <v>46053</v>
      </c>
      <c r="D437" t="s">
        <v>459</v>
      </c>
      <c r="E437">
        <v>0</v>
      </c>
    </row>
    <row r="438" spans="1:5">
      <c r="A438">
        <v>36055</v>
      </c>
      <c r="B438">
        <v>1830197</v>
      </c>
      <c r="C438" s="5">
        <v>46053</v>
      </c>
      <c r="D438" t="s">
        <v>459</v>
      </c>
      <c r="E438">
        <v>0</v>
      </c>
    </row>
    <row r="439" spans="1:5">
      <c r="A439">
        <v>36061</v>
      </c>
      <c r="B439">
        <v>1830197</v>
      </c>
      <c r="C439" s="5">
        <v>46053</v>
      </c>
      <c r="D439" t="s">
        <v>459</v>
      </c>
      <c r="E439">
        <v>1919</v>
      </c>
    </row>
    <row r="440" spans="1:5">
      <c r="A440">
        <v>37089</v>
      </c>
      <c r="B440">
        <v>1830197</v>
      </c>
      <c r="C440" s="5">
        <v>46053</v>
      </c>
      <c r="D440" t="s">
        <v>459</v>
      </c>
      <c r="E440">
        <v>0</v>
      </c>
    </row>
    <row r="441" spans="1:5">
      <c r="A441">
        <v>39852</v>
      </c>
      <c r="B441">
        <v>1830197</v>
      </c>
      <c r="C441" s="5">
        <v>46053</v>
      </c>
      <c r="D441" t="s">
        <v>459</v>
      </c>
      <c r="E441">
        <v>7000</v>
      </c>
    </row>
    <row r="442" spans="1:5">
      <c r="A442">
        <v>40076</v>
      </c>
      <c r="B442">
        <v>1830197</v>
      </c>
      <c r="C442" s="5">
        <v>46053</v>
      </c>
      <c r="D442" t="s">
        <v>459</v>
      </c>
      <c r="E442">
        <v>1360</v>
      </c>
    </row>
    <row r="443" spans="1:5">
      <c r="A443">
        <v>40077</v>
      </c>
      <c r="B443">
        <v>1830197</v>
      </c>
      <c r="C443" s="5">
        <v>46053</v>
      </c>
      <c r="D443" t="s">
        <v>459</v>
      </c>
      <c r="E443">
        <v>496</v>
      </c>
    </row>
    <row r="444" spans="1:5">
      <c r="A444">
        <v>40078</v>
      </c>
      <c r="B444">
        <v>1830197</v>
      </c>
      <c r="C444" s="5">
        <v>46053</v>
      </c>
      <c r="D444" t="s">
        <v>459</v>
      </c>
      <c r="E444">
        <v>189</v>
      </c>
    </row>
    <row r="445" spans="1:5">
      <c r="A445">
        <v>40079</v>
      </c>
      <c r="B445">
        <v>1830197</v>
      </c>
      <c r="C445" s="5">
        <v>46053</v>
      </c>
      <c r="D445" t="s">
        <v>459</v>
      </c>
      <c r="E445">
        <v>960</v>
      </c>
    </row>
    <row r="446" spans="1:5">
      <c r="A446">
        <v>45695</v>
      </c>
      <c r="B446">
        <v>1830197</v>
      </c>
      <c r="C446" s="5">
        <v>46053</v>
      </c>
      <c r="D446" t="s">
        <v>459</v>
      </c>
      <c r="E446">
        <v>473</v>
      </c>
    </row>
    <row r="447" spans="1:5">
      <c r="A447">
        <v>80174</v>
      </c>
      <c r="B447">
        <v>1830197</v>
      </c>
      <c r="C447" s="5">
        <v>46053</v>
      </c>
      <c r="D447" t="s">
        <v>459</v>
      </c>
      <c r="E447">
        <v>0</v>
      </c>
    </row>
    <row r="448" spans="1:5">
      <c r="A448">
        <v>84522</v>
      </c>
      <c r="B448">
        <v>1830197</v>
      </c>
      <c r="C448" s="5">
        <v>46053</v>
      </c>
      <c r="D448" t="s">
        <v>459</v>
      </c>
      <c r="E448">
        <v>2</v>
      </c>
    </row>
    <row r="449" spans="1:5">
      <c r="A449">
        <v>84523</v>
      </c>
      <c r="B449">
        <v>1830197</v>
      </c>
      <c r="C449" s="5">
        <v>46053</v>
      </c>
      <c r="D449" t="s">
        <v>459</v>
      </c>
      <c r="E449">
        <v>34</v>
      </c>
    </row>
    <row r="450" spans="1:5">
      <c r="A450">
        <v>87096</v>
      </c>
      <c r="B450">
        <v>1830197</v>
      </c>
      <c r="C450" s="5">
        <v>46053</v>
      </c>
      <c r="D450" t="s">
        <v>459</v>
      </c>
      <c r="E450">
        <v>120</v>
      </c>
    </row>
    <row r="451" spans="1:5">
      <c r="A451">
        <v>87098</v>
      </c>
      <c r="B451">
        <v>1830197</v>
      </c>
      <c r="C451" s="5">
        <v>46053</v>
      </c>
      <c r="D451" t="s">
        <v>459</v>
      </c>
      <c r="E451">
        <v>300</v>
      </c>
    </row>
    <row r="452" spans="1:5">
      <c r="A452">
        <v>91426</v>
      </c>
      <c r="B452">
        <v>1830197</v>
      </c>
      <c r="C452" s="5">
        <v>46053</v>
      </c>
      <c r="D452" t="s">
        <v>459</v>
      </c>
      <c r="E452">
        <v>0</v>
      </c>
    </row>
    <row r="453" spans="1:5">
      <c r="A453">
        <v>91427</v>
      </c>
      <c r="B453">
        <v>1830197</v>
      </c>
      <c r="C453" s="5">
        <v>46053</v>
      </c>
      <c r="D453" t="s">
        <v>459</v>
      </c>
      <c r="E453">
        <v>0</v>
      </c>
    </row>
    <row r="454" spans="1:5">
      <c r="A454">
        <v>91428</v>
      </c>
      <c r="B454">
        <v>1830197</v>
      </c>
      <c r="C454" s="5">
        <v>46053</v>
      </c>
      <c r="D454" t="s">
        <v>459</v>
      </c>
      <c r="E454">
        <v>0</v>
      </c>
    </row>
    <row r="455" spans="1:5">
      <c r="A455">
        <v>91429</v>
      </c>
      <c r="B455">
        <v>1830197</v>
      </c>
      <c r="C455" s="5">
        <v>46053</v>
      </c>
      <c r="D455" t="s">
        <v>459</v>
      </c>
      <c r="E455">
        <v>0</v>
      </c>
    </row>
    <row r="456" spans="1:5">
      <c r="A456">
        <v>91430</v>
      </c>
      <c r="B456">
        <v>1830197</v>
      </c>
      <c r="C456" s="5">
        <v>46053</v>
      </c>
      <c r="D456" t="s">
        <v>459</v>
      </c>
      <c r="E456">
        <v>0</v>
      </c>
    </row>
    <row r="457" spans="1:5">
      <c r="A457">
        <v>91431</v>
      </c>
      <c r="B457">
        <v>1830197</v>
      </c>
      <c r="C457" s="5">
        <v>46053</v>
      </c>
      <c r="D457" t="s">
        <v>459</v>
      </c>
      <c r="E457">
        <v>0</v>
      </c>
    </row>
    <row r="458" spans="1:5">
      <c r="A458">
        <v>91432</v>
      </c>
      <c r="B458">
        <v>1830197</v>
      </c>
      <c r="C458" s="5">
        <v>46053</v>
      </c>
      <c r="D458" t="s">
        <v>459</v>
      </c>
      <c r="E458">
        <v>467</v>
      </c>
    </row>
    <row r="459" spans="1:5">
      <c r="A459">
        <v>91433</v>
      </c>
      <c r="B459">
        <v>1830197</v>
      </c>
      <c r="C459" s="5">
        <v>46053</v>
      </c>
      <c r="D459" t="s">
        <v>459</v>
      </c>
      <c r="E459">
        <v>0</v>
      </c>
    </row>
    <row r="460" spans="1:5">
      <c r="A460">
        <v>92009</v>
      </c>
      <c r="B460">
        <v>1830197</v>
      </c>
      <c r="C460" s="5">
        <v>46053</v>
      </c>
      <c r="D460" t="s">
        <v>459</v>
      </c>
      <c r="E460">
        <v>0</v>
      </c>
    </row>
    <row r="461" spans="1:5">
      <c r="A461">
        <v>92084</v>
      </c>
      <c r="B461">
        <v>1830197</v>
      </c>
      <c r="C461" s="5">
        <v>46053</v>
      </c>
      <c r="D461" t="s">
        <v>459</v>
      </c>
      <c r="E461">
        <v>0</v>
      </c>
    </row>
    <row r="462" spans="1:5">
      <c r="A462">
        <v>93111</v>
      </c>
      <c r="B462">
        <v>1830197</v>
      </c>
      <c r="C462" s="5">
        <v>46053</v>
      </c>
      <c r="D462" t="s">
        <v>459</v>
      </c>
      <c r="E462">
        <v>0</v>
      </c>
    </row>
    <row r="463" spans="1:5">
      <c r="A463">
        <v>94827</v>
      </c>
      <c r="B463">
        <v>1830197</v>
      </c>
      <c r="C463" s="5">
        <v>46053</v>
      </c>
      <c r="D463" t="s">
        <v>459</v>
      </c>
      <c r="E463">
        <v>0</v>
      </c>
    </row>
    <row r="464" spans="1:5">
      <c r="A464">
        <v>94830</v>
      </c>
      <c r="B464">
        <v>1830197</v>
      </c>
      <c r="C464" s="5">
        <v>46053</v>
      </c>
      <c r="D464" t="s">
        <v>459</v>
      </c>
      <c r="E464">
        <v>0</v>
      </c>
    </row>
    <row r="465" spans="1:5">
      <c r="A465">
        <v>94833</v>
      </c>
      <c r="B465">
        <v>1830197</v>
      </c>
      <c r="C465" s="5">
        <v>46053</v>
      </c>
      <c r="D465" t="s">
        <v>459</v>
      </c>
      <c r="E465">
        <v>0</v>
      </c>
    </row>
    <row r="466" spans="1:5">
      <c r="A466">
        <v>94836</v>
      </c>
      <c r="B466">
        <v>1830197</v>
      </c>
      <c r="C466" s="5">
        <v>46053</v>
      </c>
      <c r="D466" t="s">
        <v>459</v>
      </c>
      <c r="E466">
        <v>0</v>
      </c>
    </row>
    <row r="467" spans="1:5">
      <c r="A467">
        <v>94839</v>
      </c>
      <c r="B467">
        <v>1830197</v>
      </c>
      <c r="C467" s="5">
        <v>46053</v>
      </c>
      <c r="D467" t="s">
        <v>459</v>
      </c>
      <c r="E467">
        <v>0</v>
      </c>
    </row>
    <row r="468" spans="1:5">
      <c r="A468">
        <v>94842</v>
      </c>
      <c r="B468">
        <v>1830197</v>
      </c>
      <c r="C468" s="5">
        <v>46053</v>
      </c>
      <c r="D468" t="s">
        <v>459</v>
      </c>
      <c r="E468">
        <v>0</v>
      </c>
    </row>
    <row r="469" spans="1:5">
      <c r="A469">
        <v>94845</v>
      </c>
      <c r="B469">
        <v>1830197</v>
      </c>
      <c r="C469" s="5">
        <v>46053</v>
      </c>
      <c r="D469" t="s">
        <v>459</v>
      </c>
      <c r="E469">
        <v>0</v>
      </c>
    </row>
    <row r="470" spans="1:5">
      <c r="A470">
        <v>94848</v>
      </c>
      <c r="B470">
        <v>1830197</v>
      </c>
      <c r="C470" s="5">
        <v>46053</v>
      </c>
      <c r="D470" t="s">
        <v>459</v>
      </c>
      <c r="E470">
        <v>0</v>
      </c>
    </row>
    <row r="471" spans="1:5">
      <c r="A471">
        <v>94872</v>
      </c>
      <c r="B471">
        <v>1830197</v>
      </c>
      <c r="C471" s="5">
        <v>46053</v>
      </c>
      <c r="D471" t="s">
        <v>459</v>
      </c>
      <c r="E471">
        <v>0</v>
      </c>
    </row>
    <row r="472" spans="1:5">
      <c r="A472">
        <v>99078</v>
      </c>
      <c r="B472">
        <v>1830197</v>
      </c>
      <c r="C472" s="5">
        <v>46053</v>
      </c>
      <c r="D472" t="s">
        <v>459</v>
      </c>
      <c r="E472">
        <v>0</v>
      </c>
    </row>
    <row r="473" spans="1:5">
      <c r="A473">
        <v>99165</v>
      </c>
      <c r="B473">
        <v>1830197</v>
      </c>
      <c r="C473" s="5">
        <v>46053</v>
      </c>
      <c r="D473" t="s">
        <v>459</v>
      </c>
      <c r="E473">
        <v>0</v>
      </c>
    </row>
    <row r="474" spans="1:5">
      <c r="A474">
        <v>99166</v>
      </c>
      <c r="B474">
        <v>1830197</v>
      </c>
      <c r="C474" s="5">
        <v>46053</v>
      </c>
      <c r="D474" t="s">
        <v>459</v>
      </c>
      <c r="E474">
        <v>0</v>
      </c>
    </row>
    <row r="475" spans="1:5">
      <c r="A475">
        <v>99168</v>
      </c>
      <c r="B475">
        <v>1830197</v>
      </c>
      <c r="C475" s="5">
        <v>46053</v>
      </c>
      <c r="D475" t="s">
        <v>459</v>
      </c>
      <c r="E475">
        <v>628</v>
      </c>
    </row>
    <row r="476" spans="1:5">
      <c r="A476">
        <v>99169</v>
      </c>
      <c r="B476">
        <v>1830197</v>
      </c>
      <c r="C476" s="5">
        <v>46053</v>
      </c>
      <c r="D476" t="s">
        <v>459</v>
      </c>
      <c r="E476">
        <v>300</v>
      </c>
    </row>
    <row r="477" spans="1:5">
      <c r="A477">
        <v>99170</v>
      </c>
      <c r="B477">
        <v>1830197</v>
      </c>
      <c r="C477" s="5">
        <v>46053</v>
      </c>
      <c r="D477" t="s">
        <v>459</v>
      </c>
      <c r="E477">
        <v>200</v>
      </c>
    </row>
    <row r="478" spans="1:5">
      <c r="A478">
        <v>99216</v>
      </c>
      <c r="B478">
        <v>1830197</v>
      </c>
      <c r="C478" s="5">
        <v>46053</v>
      </c>
      <c r="D478" t="s">
        <v>459</v>
      </c>
      <c r="E478">
        <v>1000</v>
      </c>
    </row>
    <row r="479" spans="1:5">
      <c r="A479">
        <v>99249</v>
      </c>
      <c r="B479">
        <v>1830197</v>
      </c>
      <c r="C479" s="5">
        <v>46053</v>
      </c>
      <c r="D479" t="s">
        <v>459</v>
      </c>
      <c r="E479">
        <v>2</v>
      </c>
    </row>
    <row r="480" spans="1:5">
      <c r="A480">
        <v>99305</v>
      </c>
      <c r="B480">
        <v>1830197</v>
      </c>
      <c r="C480" s="5">
        <v>46053</v>
      </c>
      <c r="D480" t="s">
        <v>459</v>
      </c>
      <c r="E480">
        <v>0</v>
      </c>
    </row>
    <row r="481" spans="1:5">
      <c r="A481">
        <v>99378</v>
      </c>
      <c r="B481">
        <v>1830197</v>
      </c>
      <c r="C481" s="5">
        <v>46053</v>
      </c>
      <c r="D481" t="s">
        <v>459</v>
      </c>
      <c r="E481">
        <v>3.2</v>
      </c>
    </row>
    <row r="482" spans="1:5">
      <c r="A482">
        <v>99422</v>
      </c>
      <c r="B482">
        <v>1830197</v>
      </c>
      <c r="C482" s="5">
        <v>46053</v>
      </c>
      <c r="D482" t="s">
        <v>459</v>
      </c>
      <c r="E482">
        <v>0</v>
      </c>
    </row>
    <row r="483" spans="1:5">
      <c r="A483">
        <v>99903</v>
      </c>
      <c r="B483">
        <v>1830197</v>
      </c>
      <c r="C483" s="5">
        <v>46053</v>
      </c>
      <c r="D483" t="s">
        <v>459</v>
      </c>
      <c r="E483">
        <v>0</v>
      </c>
    </row>
    <row r="484" spans="1:5">
      <c r="A484">
        <v>99906</v>
      </c>
      <c r="B484">
        <v>1830197</v>
      </c>
      <c r="C484" s="5">
        <v>46053</v>
      </c>
      <c r="D484" t="s">
        <v>459</v>
      </c>
      <c r="E484">
        <v>103</v>
      </c>
    </row>
    <row r="485" spans="1:5">
      <c r="A485">
        <v>99907</v>
      </c>
      <c r="B485">
        <v>1830197</v>
      </c>
      <c r="C485" s="5">
        <v>46053</v>
      </c>
      <c r="D485" t="s">
        <v>459</v>
      </c>
      <c r="E485">
        <v>29</v>
      </c>
    </row>
    <row r="486" spans="1:5">
      <c r="A486">
        <v>99908</v>
      </c>
      <c r="B486">
        <v>1830197</v>
      </c>
      <c r="C486" s="5">
        <v>46053</v>
      </c>
      <c r="D486" t="s">
        <v>459</v>
      </c>
      <c r="E486">
        <v>0</v>
      </c>
    </row>
    <row r="487" spans="1:5">
      <c r="A487">
        <v>99912</v>
      </c>
      <c r="B487">
        <v>1830197</v>
      </c>
      <c r="C487" s="5">
        <v>46053</v>
      </c>
      <c r="D487" t="s">
        <v>459</v>
      </c>
      <c r="E487">
        <v>0</v>
      </c>
    </row>
    <row r="488" spans="1:5">
      <c r="A488">
        <v>99913</v>
      </c>
      <c r="B488">
        <v>1830197</v>
      </c>
      <c r="C488" s="5">
        <v>46053</v>
      </c>
      <c r="D488" t="s">
        <v>459</v>
      </c>
      <c r="E488">
        <v>0</v>
      </c>
    </row>
    <row r="489" spans="1:5">
      <c r="A489">
        <v>99914</v>
      </c>
      <c r="B489">
        <v>1830197</v>
      </c>
      <c r="C489" s="5">
        <v>46053</v>
      </c>
      <c r="D489" t="s">
        <v>459</v>
      </c>
      <c r="E489">
        <v>20</v>
      </c>
    </row>
    <row r="490" spans="1:5">
      <c r="A490">
        <v>99915</v>
      </c>
      <c r="B490">
        <v>1830197</v>
      </c>
      <c r="C490" s="5">
        <v>46053</v>
      </c>
      <c r="D490" t="s">
        <v>459</v>
      </c>
      <c r="E490">
        <v>0</v>
      </c>
    </row>
    <row r="491" spans="1:5">
      <c r="A491">
        <v>99916</v>
      </c>
      <c r="B491">
        <v>1830197</v>
      </c>
      <c r="C491" s="5">
        <v>46053</v>
      </c>
      <c r="D491" t="s">
        <v>459</v>
      </c>
      <c r="E491">
        <v>60</v>
      </c>
    </row>
    <row r="492" spans="1:5">
      <c r="A492">
        <v>99917</v>
      </c>
      <c r="B492">
        <v>1830197</v>
      </c>
      <c r="C492" s="5">
        <v>46053</v>
      </c>
      <c r="D492" t="s">
        <v>459</v>
      </c>
      <c r="E492">
        <v>0</v>
      </c>
    </row>
    <row r="493" spans="1:5">
      <c r="A493">
        <v>99920</v>
      </c>
      <c r="B493">
        <v>1830197</v>
      </c>
      <c r="C493" s="5">
        <v>46053</v>
      </c>
      <c r="D493" t="s">
        <v>459</v>
      </c>
      <c r="E493">
        <v>0</v>
      </c>
    </row>
    <row r="494" spans="1:5">
      <c r="A494">
        <v>99929</v>
      </c>
      <c r="B494">
        <v>1830197</v>
      </c>
      <c r="C494" s="5">
        <v>46053</v>
      </c>
      <c r="D494" t="s">
        <v>459</v>
      </c>
      <c r="E494">
        <v>0</v>
      </c>
    </row>
    <row r="495" spans="1:5">
      <c r="A495">
        <v>99931</v>
      </c>
      <c r="B495">
        <v>1830197</v>
      </c>
      <c r="C495" s="5">
        <v>46053</v>
      </c>
      <c r="D495" t="s">
        <v>459</v>
      </c>
      <c r="E495">
        <v>10</v>
      </c>
    </row>
    <row r="496" spans="1:5">
      <c r="A496">
        <v>99932</v>
      </c>
      <c r="B496">
        <v>1830197</v>
      </c>
      <c r="C496" s="5">
        <v>46053</v>
      </c>
      <c r="D496" t="s">
        <v>459</v>
      </c>
      <c r="E496">
        <v>0</v>
      </c>
    </row>
    <row r="497" spans="1:5">
      <c r="A497">
        <v>99946</v>
      </c>
      <c r="B497">
        <v>1830197</v>
      </c>
      <c r="C497" s="5">
        <v>46053</v>
      </c>
      <c r="D497" t="s">
        <v>459</v>
      </c>
      <c r="E497">
        <v>0</v>
      </c>
    </row>
    <row r="498" spans="1:5">
      <c r="A498">
        <v>99967</v>
      </c>
      <c r="B498">
        <v>1830197</v>
      </c>
      <c r="C498" s="5">
        <v>46053</v>
      </c>
      <c r="D498" t="s">
        <v>459</v>
      </c>
      <c r="E498">
        <v>0</v>
      </c>
    </row>
    <row r="499" spans="1:5">
      <c r="A499">
        <v>99968</v>
      </c>
      <c r="B499">
        <v>1830197</v>
      </c>
      <c r="C499" s="5">
        <v>46053</v>
      </c>
      <c r="D499" t="s">
        <v>459</v>
      </c>
      <c r="E499">
        <v>0</v>
      </c>
    </row>
    <row r="500" spans="1:5">
      <c r="A500">
        <v>99969</v>
      </c>
      <c r="B500">
        <v>1830197</v>
      </c>
      <c r="C500" s="5">
        <v>46053</v>
      </c>
      <c r="D500" t="s">
        <v>459</v>
      </c>
      <c r="E500">
        <v>0</v>
      </c>
    </row>
    <row r="501" spans="1:5">
      <c r="A501">
        <v>99970</v>
      </c>
      <c r="B501">
        <v>1830197</v>
      </c>
      <c r="C501" s="5">
        <v>46053</v>
      </c>
      <c r="D501" t="s">
        <v>459</v>
      </c>
      <c r="E501">
        <v>4</v>
      </c>
    </row>
    <row r="502" spans="1:5">
      <c r="A502">
        <v>99971</v>
      </c>
      <c r="B502">
        <v>1830197</v>
      </c>
      <c r="C502" s="5">
        <v>46053</v>
      </c>
      <c r="D502" t="s">
        <v>459</v>
      </c>
      <c r="E502">
        <v>11</v>
      </c>
    </row>
    <row r="503" spans="1:5">
      <c r="A503">
        <v>99972</v>
      </c>
      <c r="B503">
        <v>1830197</v>
      </c>
      <c r="C503" s="5">
        <v>46053</v>
      </c>
      <c r="D503" t="s">
        <v>459</v>
      </c>
      <c r="E503">
        <v>0</v>
      </c>
    </row>
    <row r="504" spans="1:5">
      <c r="A504">
        <v>99973</v>
      </c>
      <c r="B504">
        <v>1830197</v>
      </c>
      <c r="C504" s="5">
        <v>46053</v>
      </c>
      <c r="D504" t="s">
        <v>459</v>
      </c>
      <c r="E504">
        <v>0</v>
      </c>
    </row>
    <row r="505" spans="1:5">
      <c r="A505">
        <v>99974</v>
      </c>
      <c r="B505">
        <v>1830197</v>
      </c>
      <c r="C505" s="5">
        <v>46053</v>
      </c>
      <c r="D505" t="s">
        <v>459</v>
      </c>
      <c r="E505">
        <v>6.8</v>
      </c>
    </row>
    <row r="506" spans="1:5">
      <c r="A506">
        <v>99977</v>
      </c>
      <c r="B506">
        <v>1830197</v>
      </c>
      <c r="C506" s="5">
        <v>46053</v>
      </c>
      <c r="D506" t="s">
        <v>459</v>
      </c>
      <c r="E506">
        <v>678</v>
      </c>
    </row>
    <row r="507" spans="1:5">
      <c r="A507">
        <v>99978</v>
      </c>
      <c r="B507">
        <v>1830197</v>
      </c>
      <c r="C507" s="5">
        <v>46053</v>
      </c>
      <c r="D507" t="s">
        <v>459</v>
      </c>
      <c r="E507">
        <v>688</v>
      </c>
    </row>
    <row r="508" spans="1:5">
      <c r="A508">
        <v>99979</v>
      </c>
      <c r="B508">
        <v>1830197</v>
      </c>
      <c r="C508" s="5">
        <v>46053</v>
      </c>
      <c r="D508" t="s">
        <v>459</v>
      </c>
      <c r="E508">
        <v>1110</v>
      </c>
    </row>
    <row r="509" spans="1:5">
      <c r="A509">
        <v>99980</v>
      </c>
      <c r="B509">
        <v>1830197</v>
      </c>
      <c r="C509" s="5">
        <v>46053</v>
      </c>
      <c r="D509" t="s">
        <v>459</v>
      </c>
      <c r="E509">
        <v>1112</v>
      </c>
    </row>
    <row r="510" spans="1:5">
      <c r="A510">
        <v>99981</v>
      </c>
      <c r="B510">
        <v>1830197</v>
      </c>
      <c r="C510" s="5">
        <v>46053</v>
      </c>
      <c r="D510" t="s">
        <v>459</v>
      </c>
      <c r="E510">
        <v>0</v>
      </c>
    </row>
    <row r="511" spans="1:5">
      <c r="A511">
        <v>99982</v>
      </c>
      <c r="B511">
        <v>1830197</v>
      </c>
      <c r="C511" s="5">
        <v>46053</v>
      </c>
      <c r="D511" t="s">
        <v>459</v>
      </c>
      <c r="E511">
        <v>0</v>
      </c>
    </row>
    <row r="512" spans="1:5">
      <c r="A512">
        <v>99983</v>
      </c>
      <c r="B512">
        <v>1830197</v>
      </c>
      <c r="C512" s="5">
        <v>46053</v>
      </c>
      <c r="D512" t="s">
        <v>459</v>
      </c>
      <c r="E512">
        <v>2000</v>
      </c>
    </row>
    <row r="513" spans="1:5">
      <c r="A513">
        <v>99984</v>
      </c>
      <c r="B513">
        <v>1830197</v>
      </c>
      <c r="C513" s="5">
        <v>46053</v>
      </c>
      <c r="D513" t="s">
        <v>459</v>
      </c>
      <c r="E513">
        <v>2000</v>
      </c>
    </row>
    <row r="514" spans="1:5">
      <c r="A514">
        <v>99985</v>
      </c>
      <c r="B514">
        <v>1830197</v>
      </c>
      <c r="C514" s="5">
        <v>46053</v>
      </c>
      <c r="D514" t="s">
        <v>459</v>
      </c>
      <c r="E514">
        <v>0</v>
      </c>
    </row>
    <row r="515" spans="1:5">
      <c r="A515">
        <v>99988</v>
      </c>
      <c r="B515">
        <v>1830197</v>
      </c>
      <c r="C515" s="5">
        <v>46053</v>
      </c>
      <c r="D515" t="s">
        <v>459</v>
      </c>
      <c r="E515">
        <v>0</v>
      </c>
    </row>
    <row r="516" spans="1:5">
      <c r="A516">
        <v>99989</v>
      </c>
      <c r="B516">
        <v>1830197</v>
      </c>
      <c r="C516" s="5">
        <v>46053</v>
      </c>
      <c r="D516" t="s">
        <v>459</v>
      </c>
      <c r="E516">
        <v>0</v>
      </c>
    </row>
    <row r="517" spans="1:5">
      <c r="A517">
        <v>99990</v>
      </c>
      <c r="B517">
        <v>1830197</v>
      </c>
      <c r="C517" s="5">
        <v>46053</v>
      </c>
      <c r="D517" t="s">
        <v>459</v>
      </c>
      <c r="E517">
        <v>0</v>
      </c>
    </row>
    <row r="518" spans="1:5">
      <c r="A518">
        <v>99991</v>
      </c>
      <c r="B518">
        <v>1830197</v>
      </c>
      <c r="C518" s="5">
        <v>46053</v>
      </c>
      <c r="D518" t="s">
        <v>459</v>
      </c>
      <c r="E518">
        <v>0</v>
      </c>
    </row>
    <row r="519" spans="1:5">
      <c r="A519">
        <v>99992</v>
      </c>
      <c r="B519">
        <v>1830197</v>
      </c>
      <c r="C519" s="5">
        <v>46053</v>
      </c>
      <c r="D519" t="s">
        <v>459</v>
      </c>
      <c r="E519">
        <v>0</v>
      </c>
    </row>
    <row r="520" spans="1:5">
      <c r="A520">
        <v>99993</v>
      </c>
      <c r="B520">
        <v>1830197</v>
      </c>
      <c r="C520" s="5">
        <v>46053</v>
      </c>
      <c r="D520" t="s">
        <v>459</v>
      </c>
      <c r="E520">
        <v>0</v>
      </c>
    </row>
    <row r="521" spans="1:5">
      <c r="A521">
        <v>99994</v>
      </c>
      <c r="B521">
        <v>1830197</v>
      </c>
      <c r="C521" s="5">
        <v>46053</v>
      </c>
      <c r="D521" t="s">
        <v>459</v>
      </c>
      <c r="E521">
        <v>0</v>
      </c>
    </row>
    <row r="522" spans="1:5">
      <c r="A522">
        <v>99995</v>
      </c>
      <c r="B522">
        <v>1830197</v>
      </c>
      <c r="C522" s="5">
        <v>46053</v>
      </c>
      <c r="D522" t="s">
        <v>459</v>
      </c>
      <c r="E522">
        <v>0</v>
      </c>
    </row>
    <row r="523" spans="1:5">
      <c r="A523">
        <v>99996</v>
      </c>
      <c r="B523">
        <v>1830197</v>
      </c>
      <c r="C523" s="5">
        <v>46053</v>
      </c>
      <c r="D523" t="s">
        <v>459</v>
      </c>
      <c r="E523">
        <v>0</v>
      </c>
    </row>
    <row r="524" spans="1:5">
      <c r="A524">
        <v>99999</v>
      </c>
      <c r="B524">
        <v>1830197</v>
      </c>
      <c r="C524" s="5">
        <v>46053</v>
      </c>
      <c r="D524" t="s">
        <v>459</v>
      </c>
      <c r="E5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46D0-E5E0-4CE5-8D8C-64C29A9B9FC0}">
  <dimension ref="A1"/>
  <sheetViews>
    <sheetView workbookViewId="0">
      <selection activeCell="G7" sqref="G7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Calculation</vt:lpstr>
      <vt:lpstr>Additional Details</vt:lpstr>
      <vt:lpstr>Usage</vt:lpstr>
      <vt:lpstr>Closing Stock 31st Jan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</dc:creator>
  <cp:lastModifiedBy>Thangadurai, Kannan (SA_RIY)</cp:lastModifiedBy>
  <cp:lastPrinted>2025-03-17T22:45:00Z</cp:lastPrinted>
  <dcterms:created xsi:type="dcterms:W3CDTF">2009-03-13T12:38:00Z</dcterms:created>
  <dcterms:modified xsi:type="dcterms:W3CDTF">2026-02-25T14:45:38Z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11E1C47094D443A8B44A28336A2336F0_13</vt:lpwstr>
  </property>
  <property fmtid="{D5CDD505-2E9C-101B-9397-08002B2CF9AE}" pid="3" name="KSOProductBuildVer">
    <vt:lpwstr>2057-12.2.0.23155</vt:lpwstr>
  </property>
</Properties>
</file>